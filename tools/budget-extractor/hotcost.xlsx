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" sheetId="2" state="visible" r:id="rId2"/>
    <sheet name="101317 PRESHOOT" sheetId="3" state="visible" r:id="rId3"/>
    <sheet name="101617" sheetId="4" state="visible" r:id="rId4"/>
    <sheet name="101717" sheetId="5" state="visible" r:id="rId5"/>
    <sheet name="101817" sheetId="6" state="visible" r:id="rId6"/>
    <sheet name="101917" sheetId="7" state="visible" r:id="rId7"/>
    <sheet name="102017" sheetId="8" state="visible" r:id="rId8"/>
    <sheet name="102317" sheetId="9" state="visible" r:id="rId9"/>
    <sheet name="102417" sheetId="10" state="visible" r:id="rId10"/>
    <sheet name="102517" sheetId="11" state="visible" r:id="rId11"/>
    <sheet name="102617" sheetId="12" state="visible" r:id="rId12"/>
    <sheet name="102717" sheetId="13" state="visible" r:id="rId13"/>
    <sheet name="103017" sheetId="14" state="visible" r:id="rId14"/>
    <sheet name="103117" sheetId="15" state="visible" r:id="rId15"/>
    <sheet name="110117" sheetId="16" state="visible" r:id="rId16"/>
    <sheet name="110217" sheetId="17" state="visible" r:id="rId17"/>
    <sheet name="110317" sheetId="18" state="visible" r:id="rId18"/>
    <sheet name="110617" sheetId="19" state="visible" r:id="rId19"/>
    <sheet name="110717" sheetId="20" state="visible" r:id="rId20"/>
    <sheet name="110817" sheetId="21" state="visible" r:id="rId21"/>
    <sheet name="110917" sheetId="22" state="visible" r:id="rId22"/>
    <sheet name="111017" sheetId="23" state="visible" r:id="rId23"/>
    <sheet name="111317" sheetId="24" state="visible" r:id="rId24"/>
    <sheet name="111417" sheetId="25" state="visible" r:id="rId25"/>
    <sheet name="111517" sheetId="26" state="visible" r:id="rId26"/>
    <sheet name="111617" sheetId="27" state="visible" r:id="rId27"/>
    <sheet name="11171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1F5C4D"/>
      <sz val="9"/>
    </font>
    <font>
      <i val="1"/>
      <color rgb="00808080"/>
      <sz val="8"/>
    </font>
    <font>
      <b val="1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DF1EC"/>
      </patternFill>
    </fill>
  </fills>
  <borders count="3">
    <border>
      <left/>
      <right/>
      <top/>
      <bottom/>
      <diagonal/>
    </border>
    <border>
      <bottom style="thin">
        <color rgb="00D0D0D0"/>
      </bottom>
    </border>
    <border>
      <top style="thin">
        <color rgb="00141917"/>
      </top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textRotation="90"/>
    </xf>
    <xf numFmtId="0" fontId="2" fillId="0" borderId="0" pivotButton="0" quotePrefix="0" xfId="0"/>
    <xf numFmtId="3" fontId="0" fillId="0" borderId="0" pivotButton="0" quotePrefix="0" xfId="0"/>
    <xf numFmtId="3" fontId="5" fillId="0" borderId="0" pivotButton="0" quotePrefix="0" xfId="0"/>
    <xf numFmtId="3" fontId="5" fillId="0" borderId="2" pivotButton="0" quotePrefix="0" xfId="0"/>
    <xf numFmtId="0" fontId="4" fillId="0" borderId="0" applyAlignment="1" pivotButton="0" quotePrefix="0" xfId="0">
      <alignment horizontal="center" wrapText="1"/>
    </xf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4" fontId="0" fillId="0" borderId="0" pivotButton="0" quotePrefix="0" xfId="0"/>
    <xf numFmtId="164" fontId="0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6E7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</cols>
  <sheetData>
    <row r="1">
      <c r="A1" s="1" t="inlineStr">
        <is>
          <t>HOT COST — DEPARTMENT SUMMARY</t>
        </is>
      </c>
    </row>
    <row r="2">
      <c r="A2" s="2" t="inlineStr">
        <is>
          <t>(over) / under against the budgeted day. Negative is over. Updates as day sheets are filled in.</t>
        </is>
      </c>
    </row>
    <row r="4">
      <c r="A4" s="3" t="inlineStr">
        <is>
          <t>DEPARTMENT</t>
        </is>
      </c>
      <c r="B4" s="4" t="inlineStr">
        <is>
          <t>preshoot</t>
        </is>
      </c>
      <c r="C4" s="4" t="inlineStr">
        <is>
          <t>16 Oct</t>
        </is>
      </c>
      <c r="D4" s="4" t="inlineStr">
        <is>
          <t>17 Oct</t>
        </is>
      </c>
      <c r="E4" s="4" t="inlineStr">
        <is>
          <t>18 Oct</t>
        </is>
      </c>
      <c r="F4" s="4" t="inlineStr">
        <is>
          <t>19 Oct</t>
        </is>
      </c>
      <c r="G4" s="4" t="inlineStr">
        <is>
          <t>20 Oct</t>
        </is>
      </c>
      <c r="H4" s="4" t="inlineStr">
        <is>
          <t>23 Oct</t>
        </is>
      </c>
      <c r="I4" s="4" t="inlineStr">
        <is>
          <t>24 Oct</t>
        </is>
      </c>
      <c r="J4" s="4" t="inlineStr">
        <is>
          <t>25 Oct</t>
        </is>
      </c>
      <c r="K4" s="4" t="inlineStr">
        <is>
          <t>26 Oct</t>
        </is>
      </c>
      <c r="L4" s="4" t="inlineStr">
        <is>
          <t>27 Oct</t>
        </is>
      </c>
      <c r="M4" s="4" t="inlineStr">
        <is>
          <t>30 Oct</t>
        </is>
      </c>
      <c r="N4" s="4" t="inlineStr">
        <is>
          <t>31 Oct</t>
        </is>
      </c>
      <c r="O4" s="4" t="inlineStr">
        <is>
          <t>01 Nov</t>
        </is>
      </c>
      <c r="P4" s="4" t="inlineStr">
        <is>
          <t>02 Nov</t>
        </is>
      </c>
      <c r="Q4" s="4" t="inlineStr">
        <is>
          <t>03 Nov</t>
        </is>
      </c>
      <c r="R4" s="4" t="inlineStr">
        <is>
          <t>06 Nov</t>
        </is>
      </c>
      <c r="S4" s="4" t="inlineStr">
        <is>
          <t>07 Nov</t>
        </is>
      </c>
      <c r="T4" s="4" t="inlineStr">
        <is>
          <t>08 Nov</t>
        </is>
      </c>
      <c r="U4" s="4" t="inlineStr">
        <is>
          <t>09 Nov</t>
        </is>
      </c>
      <c r="V4" s="4" t="inlineStr">
        <is>
          <t>10 Nov</t>
        </is>
      </c>
      <c r="W4" s="4" t="inlineStr">
        <is>
          <t>13 Nov</t>
        </is>
      </c>
      <c r="X4" s="4" t="inlineStr">
        <is>
          <t>14 Nov</t>
        </is>
      </c>
      <c r="Y4" s="4" t="inlineStr">
        <is>
          <t>15 Nov</t>
        </is>
      </c>
      <c r="Z4" s="4" t="inlineStr">
        <is>
          <t>16 Nov</t>
        </is>
      </c>
      <c r="AA4" s="4" t="inlineStr">
        <is>
          <t>17 Nov</t>
        </is>
      </c>
      <c r="AB4" s="3" t="inlineStr">
        <is>
          <t>TOTAL</t>
        </is>
      </c>
    </row>
    <row r="5">
      <c r="A5" s="5" t="inlineStr">
        <is>
          <t>CAST</t>
        </is>
      </c>
      <c r="B5" s="6">
        <f>'101317 PRESHOOT'!R28+'101317 PRESHOOT'!R29</f>
        <v/>
      </c>
      <c r="C5" s="6">
        <f>'101617'!R28+'101617'!R29</f>
        <v/>
      </c>
      <c r="D5" s="6">
        <f>'101717'!R28+'101717'!R29</f>
        <v/>
      </c>
      <c r="E5" s="6">
        <f>'101817'!R28+'101817'!R29</f>
        <v/>
      </c>
      <c r="F5" s="6">
        <f>'101917'!R28+'101917'!R29</f>
        <v/>
      </c>
      <c r="G5" s="6">
        <f>'102017'!R28+'102017'!R29</f>
        <v/>
      </c>
      <c r="H5" s="6">
        <f>'102317'!R28+'102317'!R29</f>
        <v/>
      </c>
      <c r="I5" s="6">
        <f>'102417'!R28+'102417'!R29</f>
        <v/>
      </c>
      <c r="J5" s="6">
        <f>'102517'!R28+'102517'!R29</f>
        <v/>
      </c>
      <c r="K5" s="6">
        <f>'102617'!R28+'102617'!R29</f>
        <v/>
      </c>
      <c r="L5" s="6">
        <f>'102717'!R28+'102717'!R29</f>
        <v/>
      </c>
      <c r="M5" s="6">
        <f>'103017'!R28+'103017'!R29</f>
        <v/>
      </c>
      <c r="N5" s="6">
        <f>'103117'!R28+'103117'!R29</f>
        <v/>
      </c>
      <c r="O5" s="6">
        <f>'110117'!R28+'110117'!R29</f>
        <v/>
      </c>
      <c r="P5" s="6">
        <f>'110217'!R28+'110217'!R29</f>
        <v/>
      </c>
      <c r="Q5" s="6">
        <f>'110317'!R28+'110317'!R29</f>
        <v/>
      </c>
      <c r="R5" s="6">
        <f>'110617'!R28+'110617'!R29</f>
        <v/>
      </c>
      <c r="S5" s="6">
        <f>'110717'!R28+'110717'!R29</f>
        <v/>
      </c>
      <c r="T5" s="6">
        <f>'110817'!R28+'110817'!R29</f>
        <v/>
      </c>
      <c r="U5" s="6">
        <f>'110917'!R28+'110917'!R29</f>
        <v/>
      </c>
      <c r="V5" s="6">
        <f>'111017'!R28+'111017'!R29</f>
        <v/>
      </c>
      <c r="W5" s="6">
        <f>'111317'!R28+'111317'!R29</f>
        <v/>
      </c>
      <c r="X5" s="6">
        <f>'111417'!R28+'111417'!R29</f>
        <v/>
      </c>
      <c r="Y5" s="6">
        <f>'111517'!R28+'111517'!R29</f>
        <v/>
      </c>
      <c r="Z5" s="6">
        <f>'111617'!R28+'111617'!R29</f>
        <v/>
      </c>
      <c r="AA5" s="6">
        <f>'111717'!R28+'111717'!R29</f>
        <v/>
      </c>
      <c r="AB5" s="7">
        <f>SUM(B5:AA5)</f>
        <v/>
      </c>
    </row>
    <row r="6">
      <c r="A6" s="5" t="inlineStr">
        <is>
          <t>PRODUCTION STAFF</t>
        </is>
      </c>
      <c r="B6" s="6">
        <f>'101317 PRESHOOT'!R51+'101317 PRESHOOT'!R52</f>
        <v/>
      </c>
      <c r="C6" s="6">
        <f>'101617'!R51+'101617'!R52</f>
        <v/>
      </c>
      <c r="D6" s="6">
        <f>'101717'!R51+'101717'!R52</f>
        <v/>
      </c>
      <c r="E6" s="6">
        <f>'101817'!R51+'101817'!R52</f>
        <v/>
      </c>
      <c r="F6" s="6">
        <f>'101917'!R51+'101917'!R52</f>
        <v/>
      </c>
      <c r="G6" s="6">
        <f>'102017'!R51+'102017'!R52</f>
        <v/>
      </c>
      <c r="H6" s="6">
        <f>'102317'!R51+'102317'!R52</f>
        <v/>
      </c>
      <c r="I6" s="6">
        <f>'102417'!R51+'102417'!R52</f>
        <v/>
      </c>
      <c r="J6" s="6">
        <f>'102517'!R51+'102517'!R52</f>
        <v/>
      </c>
      <c r="K6" s="6">
        <f>'102617'!R51+'102617'!R52</f>
        <v/>
      </c>
      <c r="L6" s="6">
        <f>'102717'!R51+'102717'!R52</f>
        <v/>
      </c>
      <c r="M6" s="6">
        <f>'103017'!R51+'103017'!R52</f>
        <v/>
      </c>
      <c r="N6" s="6">
        <f>'103117'!R51+'103117'!R52</f>
        <v/>
      </c>
      <c r="O6" s="6">
        <f>'110117'!R51+'110117'!R52</f>
        <v/>
      </c>
      <c r="P6" s="6">
        <f>'110217'!R51+'110217'!R52</f>
        <v/>
      </c>
      <c r="Q6" s="6">
        <f>'110317'!R51+'110317'!R52</f>
        <v/>
      </c>
      <c r="R6" s="6">
        <f>'110617'!R51+'110617'!R52</f>
        <v/>
      </c>
      <c r="S6" s="6">
        <f>'110717'!R51+'110717'!R52</f>
        <v/>
      </c>
      <c r="T6" s="6">
        <f>'110817'!R51+'110817'!R52</f>
        <v/>
      </c>
      <c r="U6" s="6">
        <f>'110917'!R51+'110917'!R52</f>
        <v/>
      </c>
      <c r="V6" s="6">
        <f>'111017'!R51+'111017'!R52</f>
        <v/>
      </c>
      <c r="W6" s="6">
        <f>'111317'!R51+'111317'!R52</f>
        <v/>
      </c>
      <c r="X6" s="6">
        <f>'111417'!R51+'111417'!R52</f>
        <v/>
      </c>
      <c r="Y6" s="6">
        <f>'111517'!R51+'111517'!R52</f>
        <v/>
      </c>
      <c r="Z6" s="6">
        <f>'111617'!R51+'111617'!R52</f>
        <v/>
      </c>
      <c r="AA6" s="6">
        <f>'111717'!R51+'111717'!R52</f>
        <v/>
      </c>
      <c r="AB6" s="7">
        <f>SUM(B6:AA6)</f>
        <v/>
      </c>
    </row>
    <row r="7">
      <c r="A7" s="5" t="inlineStr">
        <is>
          <t>SET CONSTRUCTION</t>
        </is>
      </c>
      <c r="B7" s="6">
        <f>'101317 PRESHOOT'!R58+'101317 PRESHOOT'!R59</f>
        <v/>
      </c>
      <c r="C7" s="6">
        <f>'101617'!R58+'101617'!R59</f>
        <v/>
      </c>
      <c r="D7" s="6">
        <f>'101717'!R58+'101717'!R59</f>
        <v/>
      </c>
      <c r="E7" s="6">
        <f>'101817'!R58+'101817'!R59</f>
        <v/>
      </c>
      <c r="F7" s="6">
        <f>'101917'!R58+'101917'!R59</f>
        <v/>
      </c>
      <c r="G7" s="6">
        <f>'102017'!R58+'102017'!R59</f>
        <v/>
      </c>
      <c r="H7" s="6">
        <f>'102317'!R58+'102317'!R59</f>
        <v/>
      </c>
      <c r="I7" s="6">
        <f>'102417'!R58+'102417'!R59</f>
        <v/>
      </c>
      <c r="J7" s="6">
        <f>'102517'!R58+'102517'!R59</f>
        <v/>
      </c>
      <c r="K7" s="6">
        <f>'102617'!R58+'102617'!R59</f>
        <v/>
      </c>
      <c r="L7" s="6">
        <f>'102717'!R58+'102717'!R59</f>
        <v/>
      </c>
      <c r="M7" s="6">
        <f>'103017'!R58+'103017'!R59</f>
        <v/>
      </c>
      <c r="N7" s="6">
        <f>'103117'!R58+'103117'!R59</f>
        <v/>
      </c>
      <c r="O7" s="6">
        <f>'110117'!R58+'110117'!R59</f>
        <v/>
      </c>
      <c r="P7" s="6">
        <f>'110217'!R58+'110217'!R59</f>
        <v/>
      </c>
      <c r="Q7" s="6">
        <f>'110317'!R58+'110317'!R59</f>
        <v/>
      </c>
      <c r="R7" s="6">
        <f>'110617'!R58+'110617'!R59</f>
        <v/>
      </c>
      <c r="S7" s="6">
        <f>'110717'!R58+'110717'!R59</f>
        <v/>
      </c>
      <c r="T7" s="6">
        <f>'110817'!R58+'110817'!R59</f>
        <v/>
      </c>
      <c r="U7" s="6">
        <f>'110917'!R58+'110917'!R59</f>
        <v/>
      </c>
      <c r="V7" s="6">
        <f>'111017'!R58+'111017'!R59</f>
        <v/>
      </c>
      <c r="W7" s="6">
        <f>'111317'!R58+'111317'!R59</f>
        <v/>
      </c>
      <c r="X7" s="6">
        <f>'111417'!R58+'111417'!R59</f>
        <v/>
      </c>
      <c r="Y7" s="6">
        <f>'111517'!R58+'111517'!R59</f>
        <v/>
      </c>
      <c r="Z7" s="6">
        <f>'111617'!R58+'111617'!R59</f>
        <v/>
      </c>
      <c r="AA7" s="6">
        <f>'111717'!R58+'111717'!R59</f>
        <v/>
      </c>
      <c r="AB7" s="7">
        <f>SUM(B7:AA7)</f>
        <v/>
      </c>
    </row>
    <row r="8">
      <c r="A8" s="5" t="inlineStr">
        <is>
          <t>SET OPERATIONS</t>
        </is>
      </c>
      <c r="B8" s="6">
        <f>'101317 PRESHOOT'!R77+'101317 PRESHOOT'!R78</f>
        <v/>
      </c>
      <c r="C8" s="6">
        <f>'101617'!R77+'101617'!R78</f>
        <v/>
      </c>
      <c r="D8" s="6">
        <f>'101717'!R77+'101717'!R78</f>
        <v/>
      </c>
      <c r="E8" s="6">
        <f>'101817'!R77+'101817'!R78</f>
        <v/>
      </c>
      <c r="F8" s="6">
        <f>'101917'!R77+'101917'!R78</f>
        <v/>
      </c>
      <c r="G8" s="6">
        <f>'102017'!R77+'102017'!R78</f>
        <v/>
      </c>
      <c r="H8" s="6">
        <f>'102317'!R77+'102317'!R78</f>
        <v/>
      </c>
      <c r="I8" s="6">
        <f>'102417'!R77+'102417'!R78</f>
        <v/>
      </c>
      <c r="J8" s="6">
        <f>'102517'!R77+'102517'!R78</f>
        <v/>
      </c>
      <c r="K8" s="6">
        <f>'102617'!R77+'102617'!R78</f>
        <v/>
      </c>
      <c r="L8" s="6">
        <f>'102717'!R77+'102717'!R78</f>
        <v/>
      </c>
      <c r="M8" s="6">
        <f>'103017'!R77+'103017'!R78</f>
        <v/>
      </c>
      <c r="N8" s="6">
        <f>'103117'!R77+'103117'!R78</f>
        <v/>
      </c>
      <c r="O8" s="6">
        <f>'110117'!R77+'110117'!R78</f>
        <v/>
      </c>
      <c r="P8" s="6">
        <f>'110217'!R77+'110217'!R78</f>
        <v/>
      </c>
      <c r="Q8" s="6">
        <f>'110317'!R77+'110317'!R78</f>
        <v/>
      </c>
      <c r="R8" s="6">
        <f>'110617'!R77+'110617'!R78</f>
        <v/>
      </c>
      <c r="S8" s="6">
        <f>'110717'!R77+'110717'!R78</f>
        <v/>
      </c>
      <c r="T8" s="6">
        <f>'110817'!R77+'110817'!R78</f>
        <v/>
      </c>
      <c r="U8" s="6">
        <f>'110917'!R77+'110917'!R78</f>
        <v/>
      </c>
      <c r="V8" s="6">
        <f>'111017'!R77+'111017'!R78</f>
        <v/>
      </c>
      <c r="W8" s="6">
        <f>'111317'!R77+'111317'!R78</f>
        <v/>
      </c>
      <c r="X8" s="6">
        <f>'111417'!R77+'111417'!R78</f>
        <v/>
      </c>
      <c r="Y8" s="6">
        <f>'111517'!R77+'111517'!R78</f>
        <v/>
      </c>
      <c r="Z8" s="6">
        <f>'111617'!R77+'111617'!R78</f>
        <v/>
      </c>
      <c r="AA8" s="6">
        <f>'111717'!R77+'111717'!R78</f>
        <v/>
      </c>
      <c r="AB8" s="7">
        <f>SUM(B8:AA8)</f>
        <v/>
      </c>
    </row>
    <row r="9">
      <c r="A9" s="5" t="inlineStr">
        <is>
          <t>SPECIAL EFFECTS</t>
        </is>
      </c>
      <c r="B9" s="6">
        <f>'101317 PRESHOOT'!R85+'101317 PRESHOOT'!R86</f>
        <v/>
      </c>
      <c r="C9" s="6">
        <f>'101617'!R85+'101617'!R86</f>
        <v/>
      </c>
      <c r="D9" s="6">
        <f>'101717'!R85+'101717'!R86</f>
        <v/>
      </c>
      <c r="E9" s="6">
        <f>'101817'!R85+'101817'!R86</f>
        <v/>
      </c>
      <c r="F9" s="6">
        <f>'101917'!R85+'101917'!R86</f>
        <v/>
      </c>
      <c r="G9" s="6">
        <f>'102017'!R85+'102017'!R86</f>
        <v/>
      </c>
      <c r="H9" s="6">
        <f>'102317'!R85+'102317'!R86</f>
        <v/>
      </c>
      <c r="I9" s="6">
        <f>'102417'!R85+'102417'!R86</f>
        <v/>
      </c>
      <c r="J9" s="6">
        <f>'102517'!R85+'102517'!R86</f>
        <v/>
      </c>
      <c r="K9" s="6">
        <f>'102617'!R85+'102617'!R86</f>
        <v/>
      </c>
      <c r="L9" s="6">
        <f>'102717'!R85+'102717'!R86</f>
        <v/>
      </c>
      <c r="M9" s="6">
        <f>'103017'!R85+'103017'!R86</f>
        <v/>
      </c>
      <c r="N9" s="6">
        <f>'103117'!R85+'103117'!R86</f>
        <v/>
      </c>
      <c r="O9" s="6">
        <f>'110117'!R85+'110117'!R86</f>
        <v/>
      </c>
      <c r="P9" s="6">
        <f>'110217'!R85+'110217'!R86</f>
        <v/>
      </c>
      <c r="Q9" s="6">
        <f>'110317'!R85+'110317'!R86</f>
        <v/>
      </c>
      <c r="R9" s="6">
        <f>'110617'!R85+'110617'!R86</f>
        <v/>
      </c>
      <c r="S9" s="6">
        <f>'110717'!R85+'110717'!R86</f>
        <v/>
      </c>
      <c r="T9" s="6">
        <f>'110817'!R85+'110817'!R86</f>
        <v/>
      </c>
      <c r="U9" s="6">
        <f>'110917'!R85+'110917'!R86</f>
        <v/>
      </c>
      <c r="V9" s="6">
        <f>'111017'!R85+'111017'!R86</f>
        <v/>
      </c>
      <c r="W9" s="6">
        <f>'111317'!R85+'111317'!R86</f>
        <v/>
      </c>
      <c r="X9" s="6">
        <f>'111417'!R85+'111417'!R86</f>
        <v/>
      </c>
      <c r="Y9" s="6">
        <f>'111517'!R85+'111517'!R86</f>
        <v/>
      </c>
      <c r="Z9" s="6">
        <f>'111617'!R85+'111617'!R86</f>
        <v/>
      </c>
      <c r="AA9" s="6">
        <f>'111717'!R85+'111717'!R86</f>
        <v/>
      </c>
      <c r="AB9" s="7">
        <f>SUM(B9:AA9)</f>
        <v/>
      </c>
    </row>
    <row r="10">
      <c r="A10" s="5" t="inlineStr">
        <is>
          <t>SET DRESSING</t>
        </is>
      </c>
      <c r="B10" s="6">
        <f>'101317 PRESHOOT'!R96+'101317 PRESHOOT'!R97</f>
        <v/>
      </c>
      <c r="C10" s="6">
        <f>'101617'!R96+'101617'!R97</f>
        <v/>
      </c>
      <c r="D10" s="6">
        <f>'101717'!R96+'101717'!R97</f>
        <v/>
      </c>
      <c r="E10" s="6">
        <f>'101817'!R96+'101817'!R97</f>
        <v/>
      </c>
      <c r="F10" s="6">
        <f>'101917'!R96+'101917'!R97</f>
        <v/>
      </c>
      <c r="G10" s="6">
        <f>'102017'!R96+'102017'!R97</f>
        <v/>
      </c>
      <c r="H10" s="6">
        <f>'102317'!R96+'102317'!R97</f>
        <v/>
      </c>
      <c r="I10" s="6">
        <f>'102417'!R96+'102417'!R97</f>
        <v/>
      </c>
      <c r="J10" s="6">
        <f>'102517'!R96+'102517'!R97</f>
        <v/>
      </c>
      <c r="K10" s="6">
        <f>'102617'!R96+'102617'!R97</f>
        <v/>
      </c>
      <c r="L10" s="6">
        <f>'102717'!R96+'102717'!R97</f>
        <v/>
      </c>
      <c r="M10" s="6">
        <f>'103017'!R96+'103017'!R97</f>
        <v/>
      </c>
      <c r="N10" s="6">
        <f>'103117'!R96+'103117'!R97</f>
        <v/>
      </c>
      <c r="O10" s="6">
        <f>'110117'!R96+'110117'!R97</f>
        <v/>
      </c>
      <c r="P10" s="6">
        <f>'110217'!R96+'110217'!R97</f>
        <v/>
      </c>
      <c r="Q10" s="6">
        <f>'110317'!R96+'110317'!R97</f>
        <v/>
      </c>
      <c r="R10" s="6">
        <f>'110617'!R96+'110617'!R97</f>
        <v/>
      </c>
      <c r="S10" s="6">
        <f>'110717'!R96+'110717'!R97</f>
        <v/>
      </c>
      <c r="T10" s="6">
        <f>'110817'!R96+'110817'!R97</f>
        <v/>
      </c>
      <c r="U10" s="6">
        <f>'110917'!R96+'110917'!R97</f>
        <v/>
      </c>
      <c r="V10" s="6">
        <f>'111017'!R96+'111017'!R97</f>
        <v/>
      </c>
      <c r="W10" s="6">
        <f>'111317'!R96+'111317'!R97</f>
        <v/>
      </c>
      <c r="X10" s="6">
        <f>'111417'!R96+'111417'!R97</f>
        <v/>
      </c>
      <c r="Y10" s="6">
        <f>'111517'!R96+'111517'!R97</f>
        <v/>
      </c>
      <c r="Z10" s="6">
        <f>'111617'!R96+'111617'!R97</f>
        <v/>
      </c>
      <c r="AA10" s="6">
        <f>'111717'!R96+'111717'!R97</f>
        <v/>
      </c>
      <c r="AB10" s="7">
        <f>SUM(B10:AA10)</f>
        <v/>
      </c>
    </row>
    <row r="11">
      <c r="A11" s="5" t="inlineStr">
        <is>
          <t>PROPERTY</t>
        </is>
      </c>
      <c r="B11" s="6">
        <f>'101317 PRESHOOT'!R102+'101317 PRESHOOT'!R103</f>
        <v/>
      </c>
      <c r="C11" s="6">
        <f>'101617'!R102+'101617'!R103</f>
        <v/>
      </c>
      <c r="D11" s="6">
        <f>'101717'!R102+'101717'!R103</f>
        <v/>
      </c>
      <c r="E11" s="6">
        <f>'101817'!R102+'101817'!R103</f>
        <v/>
      </c>
      <c r="F11" s="6">
        <f>'101917'!R102+'101917'!R103</f>
        <v/>
      </c>
      <c r="G11" s="6">
        <f>'102017'!R102+'102017'!R103</f>
        <v/>
      </c>
      <c r="H11" s="6">
        <f>'102317'!R102+'102317'!R103</f>
        <v/>
      </c>
      <c r="I11" s="6">
        <f>'102417'!R102+'102417'!R103</f>
        <v/>
      </c>
      <c r="J11" s="6">
        <f>'102517'!R102+'102517'!R103</f>
        <v/>
      </c>
      <c r="K11" s="6">
        <f>'102617'!R102+'102617'!R103</f>
        <v/>
      </c>
      <c r="L11" s="6">
        <f>'102717'!R102+'102717'!R103</f>
        <v/>
      </c>
      <c r="M11" s="6">
        <f>'103017'!R102+'103017'!R103</f>
        <v/>
      </c>
      <c r="N11" s="6">
        <f>'103117'!R102+'103117'!R103</f>
        <v/>
      </c>
      <c r="O11" s="6">
        <f>'110117'!R102+'110117'!R103</f>
        <v/>
      </c>
      <c r="P11" s="6">
        <f>'110217'!R102+'110217'!R103</f>
        <v/>
      </c>
      <c r="Q11" s="6">
        <f>'110317'!R102+'110317'!R103</f>
        <v/>
      </c>
      <c r="R11" s="6">
        <f>'110617'!R102+'110617'!R103</f>
        <v/>
      </c>
      <c r="S11" s="6">
        <f>'110717'!R102+'110717'!R103</f>
        <v/>
      </c>
      <c r="T11" s="6">
        <f>'110817'!R102+'110817'!R103</f>
        <v/>
      </c>
      <c r="U11" s="6">
        <f>'110917'!R102+'110917'!R103</f>
        <v/>
      </c>
      <c r="V11" s="6">
        <f>'111017'!R102+'111017'!R103</f>
        <v/>
      </c>
      <c r="W11" s="6">
        <f>'111317'!R102+'111317'!R103</f>
        <v/>
      </c>
      <c r="X11" s="6">
        <f>'111417'!R102+'111417'!R103</f>
        <v/>
      </c>
      <c r="Y11" s="6">
        <f>'111517'!R102+'111517'!R103</f>
        <v/>
      </c>
      <c r="Z11" s="6">
        <f>'111617'!R102+'111617'!R103</f>
        <v/>
      </c>
      <c r="AA11" s="6">
        <f>'111717'!R102+'111717'!R103</f>
        <v/>
      </c>
      <c r="AB11" s="7">
        <f>SUM(B11:AA11)</f>
        <v/>
      </c>
    </row>
    <row r="12">
      <c r="A12" s="5" t="inlineStr">
        <is>
          <t>WARDROBE</t>
        </is>
      </c>
      <c r="B12" s="6">
        <f>'101317 PRESHOOT'!R110+'101317 PRESHOOT'!R111</f>
        <v/>
      </c>
      <c r="C12" s="6">
        <f>'101617'!R110+'101617'!R111</f>
        <v/>
      </c>
      <c r="D12" s="6">
        <f>'101717'!R110+'101717'!R111</f>
        <v/>
      </c>
      <c r="E12" s="6">
        <f>'101817'!R110+'101817'!R111</f>
        <v/>
      </c>
      <c r="F12" s="6">
        <f>'101917'!R110+'101917'!R111</f>
        <v/>
      </c>
      <c r="G12" s="6">
        <f>'102017'!R110+'102017'!R111</f>
        <v/>
      </c>
      <c r="H12" s="6">
        <f>'102317'!R110+'102317'!R111</f>
        <v/>
      </c>
      <c r="I12" s="6">
        <f>'102417'!R110+'102417'!R111</f>
        <v/>
      </c>
      <c r="J12" s="6">
        <f>'102517'!R110+'102517'!R111</f>
        <v/>
      </c>
      <c r="K12" s="6">
        <f>'102617'!R110+'102617'!R111</f>
        <v/>
      </c>
      <c r="L12" s="6">
        <f>'102717'!R110+'102717'!R111</f>
        <v/>
      </c>
      <c r="M12" s="6">
        <f>'103017'!R110+'103017'!R111</f>
        <v/>
      </c>
      <c r="N12" s="6">
        <f>'103117'!R110+'103117'!R111</f>
        <v/>
      </c>
      <c r="O12" s="6">
        <f>'110117'!R110+'110117'!R111</f>
        <v/>
      </c>
      <c r="P12" s="6">
        <f>'110217'!R110+'110217'!R111</f>
        <v/>
      </c>
      <c r="Q12" s="6">
        <f>'110317'!R110+'110317'!R111</f>
        <v/>
      </c>
      <c r="R12" s="6">
        <f>'110617'!R110+'110617'!R111</f>
        <v/>
      </c>
      <c r="S12" s="6">
        <f>'110717'!R110+'110717'!R111</f>
        <v/>
      </c>
      <c r="T12" s="6">
        <f>'110817'!R110+'110817'!R111</f>
        <v/>
      </c>
      <c r="U12" s="6">
        <f>'110917'!R110+'110917'!R111</f>
        <v/>
      </c>
      <c r="V12" s="6">
        <f>'111017'!R110+'111017'!R111</f>
        <v/>
      </c>
      <c r="W12" s="6">
        <f>'111317'!R110+'111317'!R111</f>
        <v/>
      </c>
      <c r="X12" s="6">
        <f>'111417'!R110+'111417'!R111</f>
        <v/>
      </c>
      <c r="Y12" s="6">
        <f>'111517'!R110+'111517'!R111</f>
        <v/>
      </c>
      <c r="Z12" s="6">
        <f>'111617'!R110+'111617'!R111</f>
        <v/>
      </c>
      <c r="AA12" s="6">
        <f>'111717'!R110+'111717'!R111</f>
        <v/>
      </c>
      <c r="AB12" s="7">
        <f>SUM(B12:AA12)</f>
        <v/>
      </c>
    </row>
    <row r="13">
      <c r="A13" s="5" t="inlineStr">
        <is>
          <t>MAKE-UP&amp;HAIR</t>
        </is>
      </c>
      <c r="B13" s="6">
        <f>'101317 PRESHOOT'!R122+'101317 PRESHOOT'!R123</f>
        <v/>
      </c>
      <c r="C13" s="6">
        <f>'101617'!R122+'101617'!R123</f>
        <v/>
      </c>
      <c r="D13" s="6">
        <f>'101717'!R122+'101717'!R123</f>
        <v/>
      </c>
      <c r="E13" s="6">
        <f>'101817'!R122+'101817'!R123</f>
        <v/>
      </c>
      <c r="F13" s="6">
        <f>'101917'!R122+'101917'!R123</f>
        <v/>
      </c>
      <c r="G13" s="6">
        <f>'102017'!R122+'102017'!R123</f>
        <v/>
      </c>
      <c r="H13" s="6">
        <f>'102317'!R122+'102317'!R123</f>
        <v/>
      </c>
      <c r="I13" s="6">
        <f>'102417'!R122+'102417'!R123</f>
        <v/>
      </c>
      <c r="J13" s="6">
        <f>'102517'!R122+'102517'!R123</f>
        <v/>
      </c>
      <c r="K13" s="6">
        <f>'102617'!R122+'102617'!R123</f>
        <v/>
      </c>
      <c r="L13" s="6">
        <f>'102717'!R122+'102717'!R123</f>
        <v/>
      </c>
      <c r="M13" s="6">
        <f>'103017'!R122+'103017'!R123</f>
        <v/>
      </c>
      <c r="N13" s="6">
        <f>'103117'!R122+'103117'!R123</f>
        <v/>
      </c>
      <c r="O13" s="6">
        <f>'110117'!R122+'110117'!R123</f>
        <v/>
      </c>
      <c r="P13" s="6">
        <f>'110217'!R122+'110217'!R123</f>
        <v/>
      </c>
      <c r="Q13" s="6">
        <f>'110317'!R122+'110317'!R123</f>
        <v/>
      </c>
      <c r="R13" s="6">
        <f>'110617'!R122+'110617'!R123</f>
        <v/>
      </c>
      <c r="S13" s="6">
        <f>'110717'!R122+'110717'!R123</f>
        <v/>
      </c>
      <c r="T13" s="6">
        <f>'110817'!R122+'110817'!R123</f>
        <v/>
      </c>
      <c r="U13" s="6">
        <f>'110917'!R122+'110917'!R123</f>
        <v/>
      </c>
      <c r="V13" s="6">
        <f>'111017'!R122+'111017'!R123</f>
        <v/>
      </c>
      <c r="W13" s="6">
        <f>'111317'!R122+'111317'!R123</f>
        <v/>
      </c>
      <c r="X13" s="6">
        <f>'111417'!R122+'111417'!R123</f>
        <v/>
      </c>
      <c r="Y13" s="6">
        <f>'111517'!R122+'111517'!R123</f>
        <v/>
      </c>
      <c r="Z13" s="6">
        <f>'111617'!R122+'111617'!R123</f>
        <v/>
      </c>
      <c r="AA13" s="6">
        <f>'111717'!R122+'111717'!R123</f>
        <v/>
      </c>
      <c r="AB13" s="7">
        <f>SUM(B13:AA13)</f>
        <v/>
      </c>
    </row>
    <row r="14">
      <c r="A14" s="5" t="inlineStr">
        <is>
          <t>SET LIGHTING</t>
        </is>
      </c>
      <c r="B14" s="6">
        <f>'101317 PRESHOOT'!R133+'101317 PRESHOOT'!R134</f>
        <v/>
      </c>
      <c r="C14" s="6">
        <f>'101617'!R133+'101617'!R134</f>
        <v/>
      </c>
      <c r="D14" s="6">
        <f>'101717'!R133+'101717'!R134</f>
        <v/>
      </c>
      <c r="E14" s="6">
        <f>'101817'!R133+'101817'!R134</f>
        <v/>
      </c>
      <c r="F14" s="6">
        <f>'101917'!R133+'101917'!R134</f>
        <v/>
      </c>
      <c r="G14" s="6">
        <f>'102017'!R133+'102017'!R134</f>
        <v/>
      </c>
      <c r="H14" s="6">
        <f>'102317'!R133+'102317'!R134</f>
        <v/>
      </c>
      <c r="I14" s="6">
        <f>'102417'!R133+'102417'!R134</f>
        <v/>
      </c>
      <c r="J14" s="6">
        <f>'102517'!R133+'102517'!R134</f>
        <v/>
      </c>
      <c r="K14" s="6">
        <f>'102617'!R133+'102617'!R134</f>
        <v/>
      </c>
      <c r="L14" s="6">
        <f>'102717'!R133+'102717'!R134</f>
        <v/>
      </c>
      <c r="M14" s="6">
        <f>'103017'!R133+'103017'!R134</f>
        <v/>
      </c>
      <c r="N14" s="6">
        <f>'103117'!R133+'103117'!R134</f>
        <v/>
      </c>
      <c r="O14" s="6">
        <f>'110117'!R133+'110117'!R134</f>
        <v/>
      </c>
      <c r="P14" s="6">
        <f>'110217'!R133+'110217'!R134</f>
        <v/>
      </c>
      <c r="Q14" s="6">
        <f>'110317'!R133+'110317'!R134</f>
        <v/>
      </c>
      <c r="R14" s="6">
        <f>'110617'!R133+'110617'!R134</f>
        <v/>
      </c>
      <c r="S14" s="6">
        <f>'110717'!R133+'110717'!R134</f>
        <v/>
      </c>
      <c r="T14" s="6">
        <f>'110817'!R133+'110817'!R134</f>
        <v/>
      </c>
      <c r="U14" s="6">
        <f>'110917'!R133+'110917'!R134</f>
        <v/>
      </c>
      <c r="V14" s="6">
        <f>'111017'!R133+'111017'!R134</f>
        <v/>
      </c>
      <c r="W14" s="6">
        <f>'111317'!R133+'111317'!R134</f>
        <v/>
      </c>
      <c r="X14" s="6">
        <f>'111417'!R133+'111417'!R134</f>
        <v/>
      </c>
      <c r="Y14" s="6">
        <f>'111517'!R133+'111517'!R134</f>
        <v/>
      </c>
      <c r="Z14" s="6">
        <f>'111617'!R133+'111617'!R134</f>
        <v/>
      </c>
      <c r="AA14" s="6">
        <f>'111717'!R133+'111717'!R134</f>
        <v/>
      </c>
      <c r="AB14" s="7">
        <f>SUM(B14:AA14)</f>
        <v/>
      </c>
    </row>
    <row r="15">
      <c r="A15" s="5" t="inlineStr">
        <is>
          <t>CAMERA</t>
        </is>
      </c>
      <c r="B15" s="6">
        <f>'101317 PRESHOOT'!R146+'101317 PRESHOOT'!R147</f>
        <v/>
      </c>
      <c r="C15" s="6">
        <f>'101617'!R146+'101617'!R147</f>
        <v/>
      </c>
      <c r="D15" s="6">
        <f>'101717'!R146+'101717'!R147</f>
        <v/>
      </c>
      <c r="E15" s="6">
        <f>'101817'!R146+'101817'!R147</f>
        <v/>
      </c>
      <c r="F15" s="6">
        <f>'101917'!R146+'101917'!R147</f>
        <v/>
      </c>
      <c r="G15" s="6">
        <f>'102017'!R146+'102017'!R147</f>
        <v/>
      </c>
      <c r="H15" s="6">
        <f>'102317'!R146+'102317'!R147</f>
        <v/>
      </c>
      <c r="I15" s="6">
        <f>'102417'!R146+'102417'!R147</f>
        <v/>
      </c>
      <c r="J15" s="6">
        <f>'102517'!R146+'102517'!R147</f>
        <v/>
      </c>
      <c r="K15" s="6">
        <f>'102617'!R146+'102617'!R147</f>
        <v/>
      </c>
      <c r="L15" s="6">
        <f>'102717'!R146+'102717'!R147</f>
        <v/>
      </c>
      <c r="M15" s="6">
        <f>'103017'!R146+'103017'!R147</f>
        <v/>
      </c>
      <c r="N15" s="6">
        <f>'103117'!R146+'103117'!R147</f>
        <v/>
      </c>
      <c r="O15" s="6">
        <f>'110117'!R146+'110117'!R147</f>
        <v/>
      </c>
      <c r="P15" s="6">
        <f>'110217'!R146+'110217'!R147</f>
        <v/>
      </c>
      <c r="Q15" s="6">
        <f>'110317'!R146+'110317'!R147</f>
        <v/>
      </c>
      <c r="R15" s="6">
        <f>'110617'!R146+'110617'!R147</f>
        <v/>
      </c>
      <c r="S15" s="6">
        <f>'110717'!R146+'110717'!R147</f>
        <v/>
      </c>
      <c r="T15" s="6">
        <f>'110817'!R146+'110817'!R147</f>
        <v/>
      </c>
      <c r="U15" s="6">
        <f>'110917'!R146+'110917'!R147</f>
        <v/>
      </c>
      <c r="V15" s="6">
        <f>'111017'!R146+'111017'!R147</f>
        <v/>
      </c>
      <c r="W15" s="6">
        <f>'111317'!R146+'111317'!R147</f>
        <v/>
      </c>
      <c r="X15" s="6">
        <f>'111417'!R146+'111417'!R147</f>
        <v/>
      </c>
      <c r="Y15" s="6">
        <f>'111517'!R146+'111517'!R147</f>
        <v/>
      </c>
      <c r="Z15" s="6">
        <f>'111617'!R146+'111617'!R147</f>
        <v/>
      </c>
      <c r="AA15" s="6">
        <f>'111717'!R146+'111717'!R147</f>
        <v/>
      </c>
      <c r="AB15" s="7">
        <f>SUM(B15:AA15)</f>
        <v/>
      </c>
    </row>
    <row r="16">
      <c r="A16" s="5" t="inlineStr">
        <is>
          <t>PRODUCTION SOUND</t>
        </is>
      </c>
      <c r="B16" s="6">
        <f>'101317 PRESHOOT'!R154+'101317 PRESHOOT'!R155</f>
        <v/>
      </c>
      <c r="C16" s="6">
        <f>'101617'!R154+'101617'!R155</f>
        <v/>
      </c>
      <c r="D16" s="6">
        <f>'101717'!R154+'101717'!R155</f>
        <v/>
      </c>
      <c r="E16" s="6">
        <f>'101817'!R154+'101817'!R155</f>
        <v/>
      </c>
      <c r="F16" s="6">
        <f>'101917'!R154+'101917'!R155</f>
        <v/>
      </c>
      <c r="G16" s="6">
        <f>'102017'!R154+'102017'!R155</f>
        <v/>
      </c>
      <c r="H16" s="6">
        <f>'102317'!R154+'102317'!R155</f>
        <v/>
      </c>
      <c r="I16" s="6">
        <f>'102417'!R154+'102417'!R155</f>
        <v/>
      </c>
      <c r="J16" s="6">
        <f>'102517'!R154+'102517'!R155</f>
        <v/>
      </c>
      <c r="K16" s="6">
        <f>'102617'!R154+'102617'!R155</f>
        <v/>
      </c>
      <c r="L16" s="6">
        <f>'102717'!R154+'102717'!R155</f>
        <v/>
      </c>
      <c r="M16" s="6">
        <f>'103017'!R154+'103017'!R155</f>
        <v/>
      </c>
      <c r="N16" s="6">
        <f>'103117'!R154+'103117'!R155</f>
        <v/>
      </c>
      <c r="O16" s="6">
        <f>'110117'!R154+'110117'!R155</f>
        <v/>
      </c>
      <c r="P16" s="6">
        <f>'110217'!R154+'110217'!R155</f>
        <v/>
      </c>
      <c r="Q16" s="6">
        <f>'110317'!R154+'110317'!R155</f>
        <v/>
      </c>
      <c r="R16" s="6">
        <f>'110617'!R154+'110617'!R155</f>
        <v/>
      </c>
      <c r="S16" s="6">
        <f>'110717'!R154+'110717'!R155</f>
        <v/>
      </c>
      <c r="T16" s="6">
        <f>'110817'!R154+'110817'!R155</f>
        <v/>
      </c>
      <c r="U16" s="6">
        <f>'110917'!R154+'110917'!R155</f>
        <v/>
      </c>
      <c r="V16" s="6">
        <f>'111017'!R154+'111017'!R155</f>
        <v/>
      </c>
      <c r="W16" s="6">
        <f>'111317'!R154+'111317'!R155</f>
        <v/>
      </c>
      <c r="X16" s="6">
        <f>'111417'!R154+'111417'!R155</f>
        <v/>
      </c>
      <c r="Y16" s="6">
        <f>'111517'!R154+'111517'!R155</f>
        <v/>
      </c>
      <c r="Z16" s="6">
        <f>'111617'!R154+'111617'!R155</f>
        <v/>
      </c>
      <c r="AA16" s="6">
        <f>'111717'!R154+'111717'!R155</f>
        <v/>
      </c>
      <c r="AB16" s="7">
        <f>SUM(B16:AA16)</f>
        <v/>
      </c>
    </row>
    <row r="17">
      <c r="A17" s="5" t="inlineStr">
        <is>
          <t>TRANSPORTATION</t>
        </is>
      </c>
      <c r="B17" s="6">
        <f>'101317 PRESHOOT'!R172+'101317 PRESHOOT'!R173</f>
        <v/>
      </c>
      <c r="C17" s="6">
        <f>'101617'!R172+'101617'!R173</f>
        <v/>
      </c>
      <c r="D17" s="6">
        <f>'101717'!R172+'101717'!R173</f>
        <v/>
      </c>
      <c r="E17" s="6">
        <f>'101817'!R172+'101817'!R173</f>
        <v/>
      </c>
      <c r="F17" s="6">
        <f>'101917'!R172+'101917'!R173</f>
        <v/>
      </c>
      <c r="G17" s="6">
        <f>'102017'!R172+'102017'!R173</f>
        <v/>
      </c>
      <c r="H17" s="6">
        <f>'102317'!R172+'102317'!R173</f>
        <v/>
      </c>
      <c r="I17" s="6">
        <f>'102417'!R172+'102417'!R173</f>
        <v/>
      </c>
      <c r="J17" s="6">
        <f>'102517'!R172+'102517'!R173</f>
        <v/>
      </c>
      <c r="K17" s="6">
        <f>'102617'!R172+'102617'!R173</f>
        <v/>
      </c>
      <c r="L17" s="6">
        <f>'102717'!R172+'102717'!R173</f>
        <v/>
      </c>
      <c r="M17" s="6">
        <f>'103017'!R172+'103017'!R173</f>
        <v/>
      </c>
      <c r="N17" s="6">
        <f>'103117'!R172+'103117'!R173</f>
        <v/>
      </c>
      <c r="O17" s="6">
        <f>'110117'!R172+'110117'!R173</f>
        <v/>
      </c>
      <c r="P17" s="6">
        <f>'110217'!R172+'110217'!R173</f>
        <v/>
      </c>
      <c r="Q17" s="6">
        <f>'110317'!R172+'110317'!R173</f>
        <v/>
      </c>
      <c r="R17" s="6">
        <f>'110617'!R172+'110617'!R173</f>
        <v/>
      </c>
      <c r="S17" s="6">
        <f>'110717'!R172+'110717'!R173</f>
        <v/>
      </c>
      <c r="T17" s="6">
        <f>'110817'!R172+'110817'!R173</f>
        <v/>
      </c>
      <c r="U17" s="6">
        <f>'110917'!R172+'110917'!R173</f>
        <v/>
      </c>
      <c r="V17" s="6">
        <f>'111017'!R172+'111017'!R173</f>
        <v/>
      </c>
      <c r="W17" s="6">
        <f>'111317'!R172+'111317'!R173</f>
        <v/>
      </c>
      <c r="X17" s="6">
        <f>'111417'!R172+'111417'!R173</f>
        <v/>
      </c>
      <c r="Y17" s="6">
        <f>'111517'!R172+'111517'!R173</f>
        <v/>
      </c>
      <c r="Z17" s="6">
        <f>'111617'!R172+'111617'!R173</f>
        <v/>
      </c>
      <c r="AA17" s="6">
        <f>'111717'!R172+'111717'!R173</f>
        <v/>
      </c>
      <c r="AB17" s="7">
        <f>SUM(B17:AA17)</f>
        <v/>
      </c>
    </row>
    <row r="18">
      <c r="A18" s="5" t="inlineStr">
        <is>
          <t>LOCATIONS</t>
        </is>
      </c>
      <c r="B18" s="6">
        <f>'101317 PRESHOOT'!R180+'101317 PRESHOOT'!R181</f>
        <v/>
      </c>
      <c r="C18" s="6">
        <f>'101617'!R180+'101617'!R181</f>
        <v/>
      </c>
      <c r="D18" s="6">
        <f>'101717'!R180+'101717'!R181</f>
        <v/>
      </c>
      <c r="E18" s="6">
        <f>'101817'!R180+'101817'!R181</f>
        <v/>
      </c>
      <c r="F18" s="6">
        <f>'101917'!R180+'101917'!R181</f>
        <v/>
      </c>
      <c r="G18" s="6">
        <f>'102017'!R180+'102017'!R181</f>
        <v/>
      </c>
      <c r="H18" s="6">
        <f>'102317'!R180+'102317'!R181</f>
        <v/>
      </c>
      <c r="I18" s="6">
        <f>'102417'!R180+'102417'!R181</f>
        <v/>
      </c>
      <c r="J18" s="6">
        <f>'102517'!R180+'102517'!R181</f>
        <v/>
      </c>
      <c r="K18" s="6">
        <f>'102617'!R180+'102617'!R181</f>
        <v/>
      </c>
      <c r="L18" s="6">
        <f>'102717'!R180+'102717'!R181</f>
        <v/>
      </c>
      <c r="M18" s="6">
        <f>'103017'!R180+'103017'!R181</f>
        <v/>
      </c>
      <c r="N18" s="6">
        <f>'103117'!R180+'103117'!R181</f>
        <v/>
      </c>
      <c r="O18" s="6">
        <f>'110117'!R180+'110117'!R181</f>
        <v/>
      </c>
      <c r="P18" s="6">
        <f>'110217'!R180+'110217'!R181</f>
        <v/>
      </c>
      <c r="Q18" s="6">
        <f>'110317'!R180+'110317'!R181</f>
        <v/>
      </c>
      <c r="R18" s="6">
        <f>'110617'!R180+'110617'!R181</f>
        <v/>
      </c>
      <c r="S18" s="6">
        <f>'110717'!R180+'110717'!R181</f>
        <v/>
      </c>
      <c r="T18" s="6">
        <f>'110817'!R180+'110817'!R181</f>
        <v/>
      </c>
      <c r="U18" s="6">
        <f>'110917'!R180+'110917'!R181</f>
        <v/>
      </c>
      <c r="V18" s="6">
        <f>'111017'!R180+'111017'!R181</f>
        <v/>
      </c>
      <c r="W18" s="6">
        <f>'111317'!R180+'111317'!R181</f>
        <v/>
      </c>
      <c r="X18" s="6">
        <f>'111417'!R180+'111417'!R181</f>
        <v/>
      </c>
      <c r="Y18" s="6">
        <f>'111517'!R180+'111517'!R181</f>
        <v/>
      </c>
      <c r="Z18" s="6">
        <f>'111617'!R180+'111617'!R181</f>
        <v/>
      </c>
      <c r="AA18" s="6">
        <f>'111717'!R180+'111717'!R181</f>
        <v/>
      </c>
      <c r="AB18" s="7">
        <f>SUM(B18:AA18)</f>
        <v/>
      </c>
    </row>
    <row r="19">
      <c r="A19" s="3" t="inlineStr">
        <is>
          <t>TOTAL</t>
        </is>
      </c>
      <c r="B19" s="8">
        <f>SUM(B5:B18)</f>
        <v/>
      </c>
      <c r="C19" s="8">
        <f>SUM(C5:C18)</f>
        <v/>
      </c>
      <c r="D19" s="8">
        <f>SUM(D5:D18)</f>
        <v/>
      </c>
      <c r="E19" s="8">
        <f>SUM(E5:E18)</f>
        <v/>
      </c>
      <c r="F19" s="8">
        <f>SUM(F5:F18)</f>
        <v/>
      </c>
      <c r="G19" s="8">
        <f>SUM(G5:G18)</f>
        <v/>
      </c>
      <c r="H19" s="8">
        <f>SUM(H5:H18)</f>
        <v/>
      </c>
      <c r="I19" s="8">
        <f>SUM(I5:I18)</f>
        <v/>
      </c>
      <c r="J19" s="8">
        <f>SUM(J5:J18)</f>
        <v/>
      </c>
      <c r="K19" s="8">
        <f>SUM(K5:K18)</f>
        <v/>
      </c>
      <c r="L19" s="8">
        <f>SUM(L5:L18)</f>
        <v/>
      </c>
      <c r="M19" s="8">
        <f>SUM(M5:M18)</f>
        <v/>
      </c>
      <c r="N19" s="8">
        <f>SUM(N5:N18)</f>
        <v/>
      </c>
      <c r="O19" s="8">
        <f>SUM(O5:O18)</f>
        <v/>
      </c>
      <c r="P19" s="8">
        <f>SUM(P5:P18)</f>
        <v/>
      </c>
      <c r="Q19" s="8">
        <f>SUM(Q5:Q18)</f>
        <v/>
      </c>
      <c r="R19" s="8">
        <f>SUM(R5:R18)</f>
        <v/>
      </c>
      <c r="S19" s="8">
        <f>SUM(S5:S18)</f>
        <v/>
      </c>
      <c r="T19" s="8">
        <f>SUM(T5:T18)</f>
        <v/>
      </c>
      <c r="U19" s="8">
        <f>SUM(U5:U18)</f>
        <v/>
      </c>
      <c r="V19" s="8">
        <f>SUM(V5:V18)</f>
        <v/>
      </c>
      <c r="W19" s="8">
        <f>SUM(W5:W18)</f>
        <v/>
      </c>
      <c r="X19" s="8">
        <f>SUM(X5:X18)</f>
        <v/>
      </c>
      <c r="Y19" s="8">
        <f>SUM(Y5:Y18)</f>
        <v/>
      </c>
      <c r="Z19" s="8">
        <f>SUM(Z5:Z18)</f>
        <v/>
      </c>
      <c r="AA19" s="8">
        <f>SUM(AA5:AA18)</f>
        <v/>
      </c>
      <c r="AB19" s="8">
        <f>SUM(AB5:AB18)</f>
        <v/>
      </c>
    </row>
  </sheetData>
  <conditionalFormatting sqref="B5:AB19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HOT COST — WEEKLY ROLL-UP</t>
        </is>
      </c>
    </row>
    <row r="2">
      <c r="A2" s="2" t="inlineStr">
        <is>
          <t>actual, budget and variance by department by shoot week</t>
        </is>
      </c>
    </row>
    <row r="3">
      <c r="B3" s="3" t="inlineStr">
        <is>
          <t>Preshoot</t>
        </is>
      </c>
      <c r="E3" s="3" t="inlineStr">
        <is>
          <t>Week 1</t>
        </is>
      </c>
      <c r="H3" s="3" t="inlineStr">
        <is>
          <t>Week 2</t>
        </is>
      </c>
      <c r="K3" s="3" t="inlineStr">
        <is>
          <t>Week 3</t>
        </is>
      </c>
      <c r="N3" s="3" t="inlineStr">
        <is>
          <t>Week 4</t>
        </is>
      </c>
      <c r="Q3" s="3" t="inlineStr">
        <is>
          <t>Week 5</t>
        </is>
      </c>
    </row>
    <row r="4">
      <c r="A4" s="3" t="inlineStr">
        <is>
          <t>DEPARTMENT</t>
        </is>
      </c>
      <c r="B4" s="9" t="inlineStr">
        <is>
          <t>ACTUAL</t>
        </is>
      </c>
      <c r="C4" s="9" t="inlineStr">
        <is>
          <t>BUDGET</t>
        </is>
      </c>
      <c r="D4" s="9" t="inlineStr">
        <is>
          <t>(OVER)/UNDER</t>
        </is>
      </c>
      <c r="E4" s="9" t="inlineStr">
        <is>
          <t>ACTUAL</t>
        </is>
      </c>
      <c r="F4" s="9" t="inlineStr">
        <is>
          <t>BUDGET</t>
        </is>
      </c>
      <c r="G4" s="9" t="inlineStr">
        <is>
          <t>(OVER)/UNDER</t>
        </is>
      </c>
      <c r="H4" s="9" t="inlineStr">
        <is>
          <t>ACTUAL</t>
        </is>
      </c>
      <c r="I4" s="9" t="inlineStr">
        <is>
          <t>BUDGET</t>
        </is>
      </c>
      <c r="J4" s="9" t="inlineStr">
        <is>
          <t>(OVER)/UNDER</t>
        </is>
      </c>
      <c r="K4" s="9" t="inlineStr">
        <is>
          <t>ACTUAL</t>
        </is>
      </c>
      <c r="L4" s="9" t="inlineStr">
        <is>
          <t>BUDGET</t>
        </is>
      </c>
      <c r="M4" s="9" t="inlineStr">
        <is>
          <t>(OVER)/UNDER</t>
        </is>
      </c>
      <c r="N4" s="9" t="inlineStr">
        <is>
          <t>ACTUAL</t>
        </is>
      </c>
      <c r="O4" s="9" t="inlineStr">
        <is>
          <t>BUDGET</t>
        </is>
      </c>
      <c r="P4" s="9" t="inlineStr">
        <is>
          <t>(OVER)/UNDER</t>
        </is>
      </c>
      <c r="Q4" s="9" t="inlineStr">
        <is>
          <t>ACTUAL</t>
        </is>
      </c>
      <c r="R4" s="9" t="inlineStr">
        <is>
          <t>BUDGET</t>
        </is>
      </c>
      <c r="S4" s="9" t="inlineStr">
        <is>
          <t>(OVER)/UNDER</t>
        </is>
      </c>
    </row>
    <row r="5">
      <c r="A5" s="5" t="inlineStr">
        <is>
          <t>CAST</t>
        </is>
      </c>
      <c r="B5" s="6">
        <f>'101317 PRESHOOT'!P28+'101317 PRESHOOT'!P29</f>
        <v/>
      </c>
      <c r="C5" s="6">
        <f>'101317 PRESHOOT'!Q28+'101317 PRESHOOT'!Q29</f>
        <v/>
      </c>
      <c r="D5" s="6">
        <f>'101317 PRESHOOT'!R28+'101317 PRESHOOT'!R29</f>
        <v/>
      </c>
      <c r="E5" s="6">
        <f>'101617'!P28+'101617'!P29+'101717'!P28+'101717'!P29+'101817'!P28+'101817'!P29+'101917'!P28+'101917'!P29+'102017'!P28+'102017'!P29</f>
        <v/>
      </c>
      <c r="F5" s="6">
        <f>'101617'!Q28+'101617'!Q29+'101717'!Q28+'101717'!Q29+'101817'!Q28+'101817'!Q29+'101917'!Q28+'101917'!Q29+'102017'!Q28+'102017'!Q29</f>
        <v/>
      </c>
      <c r="G5" s="6">
        <f>'101617'!R28+'101617'!R29+'101717'!R28+'101717'!R29+'101817'!R28+'101817'!R29+'101917'!R28+'101917'!R29+'102017'!R28+'102017'!R29</f>
        <v/>
      </c>
      <c r="H5" s="6">
        <f>'102317'!P28+'102317'!P29+'102417'!P28+'102417'!P29+'102517'!P28+'102517'!P29+'102617'!P28+'102617'!P29+'102717'!P28+'102717'!P29</f>
        <v/>
      </c>
      <c r="I5" s="6">
        <f>'102317'!Q28+'102317'!Q29+'102417'!Q28+'102417'!Q29+'102517'!Q28+'102517'!Q29+'102617'!Q28+'102617'!Q29+'102717'!Q28+'102717'!Q29</f>
        <v/>
      </c>
      <c r="J5" s="6">
        <f>'102317'!R28+'102317'!R29+'102417'!R28+'102417'!R29+'102517'!R28+'102517'!R29+'102617'!R28+'102617'!R29+'102717'!R28+'102717'!R29</f>
        <v/>
      </c>
      <c r="K5" s="6">
        <f>'103017'!P28+'103017'!P29+'103117'!P28+'103117'!P29+'110117'!P28+'110117'!P29+'110217'!P28+'110217'!P29+'110317'!P28+'110317'!P29</f>
        <v/>
      </c>
      <c r="L5" s="6">
        <f>'103017'!Q28+'103017'!Q29+'103117'!Q28+'103117'!Q29+'110117'!Q28+'110117'!Q29+'110217'!Q28+'110217'!Q29+'110317'!Q28+'110317'!Q29</f>
        <v/>
      </c>
      <c r="M5" s="6">
        <f>'103017'!R28+'103017'!R29+'103117'!R28+'103117'!R29+'110117'!R28+'110117'!R29+'110217'!R28+'110217'!R29+'110317'!R28+'110317'!R29</f>
        <v/>
      </c>
      <c r="N5" s="6">
        <f>'110617'!P28+'110617'!P29+'110717'!P28+'110717'!P29+'110817'!P28+'110817'!P29+'110917'!P28+'110917'!P29+'111017'!P28+'111017'!P29</f>
        <v/>
      </c>
      <c r="O5" s="6">
        <f>'110617'!Q28+'110617'!Q29+'110717'!Q28+'110717'!Q29+'110817'!Q28+'110817'!Q29+'110917'!Q28+'110917'!Q29+'111017'!Q28+'111017'!Q29</f>
        <v/>
      </c>
      <c r="P5" s="6">
        <f>'110617'!R28+'110617'!R29+'110717'!R28+'110717'!R29+'110817'!R28+'110817'!R29+'110917'!R28+'110917'!R29+'111017'!R28+'111017'!R29</f>
        <v/>
      </c>
      <c r="Q5" s="6">
        <f>'111317'!P28+'111317'!P29+'111417'!P28+'111417'!P29+'111517'!P28+'111517'!P29+'111617'!P28+'111617'!P29+'111717'!P28+'111717'!P29</f>
        <v/>
      </c>
      <c r="R5" s="6">
        <f>'111317'!Q28+'111317'!Q29+'111417'!Q28+'111417'!Q29+'111517'!Q28+'111517'!Q29+'111617'!Q28+'111617'!Q29+'111717'!Q28+'111717'!Q29</f>
        <v/>
      </c>
      <c r="S5" s="6">
        <f>'111317'!R28+'111317'!R29+'111417'!R28+'111417'!R29+'111517'!R28+'111517'!R29+'111617'!R28+'111617'!R29+'111717'!R28+'111717'!R29</f>
        <v/>
      </c>
    </row>
    <row r="6">
      <c r="A6" s="5" t="inlineStr">
        <is>
          <t>PRODUCTION STAFF</t>
        </is>
      </c>
      <c r="B6" s="6">
        <f>'101317 PRESHOOT'!P51+'101317 PRESHOOT'!P52</f>
        <v/>
      </c>
      <c r="C6" s="6">
        <f>'101317 PRESHOOT'!Q51+'101317 PRESHOOT'!Q52</f>
        <v/>
      </c>
      <c r="D6" s="6">
        <f>'101317 PRESHOOT'!R51+'101317 PRESHOOT'!R52</f>
        <v/>
      </c>
      <c r="E6" s="6">
        <f>'101617'!P51+'101617'!P52+'101717'!P51+'101717'!P52+'101817'!P51+'101817'!P52+'101917'!P51+'101917'!P52+'102017'!P51+'102017'!P52</f>
        <v/>
      </c>
      <c r="F6" s="6">
        <f>'101617'!Q51+'101617'!Q52+'101717'!Q51+'101717'!Q52+'101817'!Q51+'101817'!Q52+'101917'!Q51+'101917'!Q52+'102017'!Q51+'102017'!Q52</f>
        <v/>
      </c>
      <c r="G6" s="6">
        <f>'101617'!R51+'101617'!R52+'101717'!R51+'101717'!R52+'101817'!R51+'101817'!R52+'101917'!R51+'101917'!R52+'102017'!R51+'102017'!R52</f>
        <v/>
      </c>
      <c r="H6" s="6">
        <f>'102317'!P51+'102317'!P52+'102417'!P51+'102417'!P52+'102517'!P51+'102517'!P52+'102617'!P51+'102617'!P52+'102717'!P51+'102717'!P52</f>
        <v/>
      </c>
      <c r="I6" s="6">
        <f>'102317'!Q51+'102317'!Q52+'102417'!Q51+'102417'!Q52+'102517'!Q51+'102517'!Q52+'102617'!Q51+'102617'!Q52+'102717'!Q51+'102717'!Q52</f>
        <v/>
      </c>
      <c r="J6" s="6">
        <f>'102317'!R51+'102317'!R52+'102417'!R51+'102417'!R52+'102517'!R51+'102517'!R52+'102617'!R51+'102617'!R52+'102717'!R51+'102717'!R52</f>
        <v/>
      </c>
      <c r="K6" s="6">
        <f>'103017'!P51+'103017'!P52+'103117'!P51+'103117'!P52+'110117'!P51+'110117'!P52+'110217'!P51+'110217'!P52+'110317'!P51+'110317'!P52</f>
        <v/>
      </c>
      <c r="L6" s="6">
        <f>'103017'!Q51+'103017'!Q52+'103117'!Q51+'103117'!Q52+'110117'!Q51+'110117'!Q52+'110217'!Q51+'110217'!Q52+'110317'!Q51+'110317'!Q52</f>
        <v/>
      </c>
      <c r="M6" s="6">
        <f>'103017'!R51+'103017'!R52+'103117'!R51+'103117'!R52+'110117'!R51+'110117'!R52+'110217'!R51+'110217'!R52+'110317'!R51+'110317'!R52</f>
        <v/>
      </c>
      <c r="N6" s="6">
        <f>'110617'!P51+'110617'!P52+'110717'!P51+'110717'!P52+'110817'!P51+'110817'!P52+'110917'!P51+'110917'!P52+'111017'!P51+'111017'!P52</f>
        <v/>
      </c>
      <c r="O6" s="6">
        <f>'110617'!Q51+'110617'!Q52+'110717'!Q51+'110717'!Q52+'110817'!Q51+'110817'!Q52+'110917'!Q51+'110917'!Q52+'111017'!Q51+'111017'!Q52</f>
        <v/>
      </c>
      <c r="P6" s="6">
        <f>'110617'!R51+'110617'!R52+'110717'!R51+'110717'!R52+'110817'!R51+'110817'!R52+'110917'!R51+'110917'!R52+'111017'!R51+'111017'!R52</f>
        <v/>
      </c>
      <c r="Q6" s="6">
        <f>'111317'!P51+'111317'!P52+'111417'!P51+'111417'!P52+'111517'!P51+'111517'!P52+'111617'!P51+'111617'!P52+'111717'!P51+'111717'!P52</f>
        <v/>
      </c>
      <c r="R6" s="6">
        <f>'111317'!Q51+'111317'!Q52+'111417'!Q51+'111417'!Q52+'111517'!Q51+'111517'!Q52+'111617'!Q51+'111617'!Q52+'111717'!Q51+'111717'!Q52</f>
        <v/>
      </c>
      <c r="S6" s="6">
        <f>'111317'!R51+'111317'!R52+'111417'!R51+'111417'!R52+'111517'!R51+'111517'!R52+'111617'!R51+'111617'!R52+'111717'!R51+'111717'!R52</f>
        <v/>
      </c>
    </row>
    <row r="7">
      <c r="A7" s="5" t="inlineStr">
        <is>
          <t>SET CONSTRUCTION</t>
        </is>
      </c>
      <c r="B7" s="6">
        <f>'101317 PRESHOOT'!P58+'101317 PRESHOOT'!P59</f>
        <v/>
      </c>
      <c r="C7" s="6">
        <f>'101317 PRESHOOT'!Q58+'101317 PRESHOOT'!Q59</f>
        <v/>
      </c>
      <c r="D7" s="6">
        <f>'101317 PRESHOOT'!R58+'101317 PRESHOOT'!R59</f>
        <v/>
      </c>
      <c r="E7" s="6">
        <f>'101617'!P58+'101617'!P59+'101717'!P58+'101717'!P59+'101817'!P58+'101817'!P59+'101917'!P58+'101917'!P59+'102017'!P58+'102017'!P59</f>
        <v/>
      </c>
      <c r="F7" s="6">
        <f>'101617'!Q58+'101617'!Q59+'101717'!Q58+'101717'!Q59+'101817'!Q58+'101817'!Q59+'101917'!Q58+'101917'!Q59+'102017'!Q58+'102017'!Q59</f>
        <v/>
      </c>
      <c r="G7" s="6">
        <f>'101617'!R58+'101617'!R59+'101717'!R58+'101717'!R59+'101817'!R58+'101817'!R59+'101917'!R58+'101917'!R59+'102017'!R58+'102017'!R59</f>
        <v/>
      </c>
      <c r="H7" s="6">
        <f>'102317'!P58+'102317'!P59+'102417'!P58+'102417'!P59+'102517'!P58+'102517'!P59+'102617'!P58+'102617'!P59+'102717'!P58+'102717'!P59</f>
        <v/>
      </c>
      <c r="I7" s="6">
        <f>'102317'!Q58+'102317'!Q59+'102417'!Q58+'102417'!Q59+'102517'!Q58+'102517'!Q59+'102617'!Q58+'102617'!Q59+'102717'!Q58+'102717'!Q59</f>
        <v/>
      </c>
      <c r="J7" s="6">
        <f>'102317'!R58+'102317'!R59+'102417'!R58+'102417'!R59+'102517'!R58+'102517'!R59+'102617'!R58+'102617'!R59+'102717'!R58+'102717'!R59</f>
        <v/>
      </c>
      <c r="K7" s="6">
        <f>'103017'!P58+'103017'!P59+'103117'!P58+'103117'!P59+'110117'!P58+'110117'!P59+'110217'!P58+'110217'!P59+'110317'!P58+'110317'!P59</f>
        <v/>
      </c>
      <c r="L7" s="6">
        <f>'103017'!Q58+'103017'!Q59+'103117'!Q58+'103117'!Q59+'110117'!Q58+'110117'!Q59+'110217'!Q58+'110217'!Q59+'110317'!Q58+'110317'!Q59</f>
        <v/>
      </c>
      <c r="M7" s="6">
        <f>'103017'!R58+'103017'!R59+'103117'!R58+'103117'!R59+'110117'!R58+'110117'!R59+'110217'!R58+'110217'!R59+'110317'!R58+'110317'!R59</f>
        <v/>
      </c>
      <c r="N7" s="6">
        <f>'110617'!P58+'110617'!P59+'110717'!P58+'110717'!P59+'110817'!P58+'110817'!P59+'110917'!P58+'110917'!P59+'111017'!P58+'111017'!P59</f>
        <v/>
      </c>
      <c r="O7" s="6">
        <f>'110617'!Q58+'110617'!Q59+'110717'!Q58+'110717'!Q59+'110817'!Q58+'110817'!Q59+'110917'!Q58+'110917'!Q59+'111017'!Q58+'111017'!Q59</f>
        <v/>
      </c>
      <c r="P7" s="6">
        <f>'110617'!R58+'110617'!R59+'110717'!R58+'110717'!R59+'110817'!R58+'110817'!R59+'110917'!R58+'110917'!R59+'111017'!R58+'111017'!R59</f>
        <v/>
      </c>
      <c r="Q7" s="6">
        <f>'111317'!P58+'111317'!P59+'111417'!P58+'111417'!P59+'111517'!P58+'111517'!P59+'111617'!P58+'111617'!P59+'111717'!P58+'111717'!P59</f>
        <v/>
      </c>
      <c r="R7" s="6">
        <f>'111317'!Q58+'111317'!Q59+'111417'!Q58+'111417'!Q59+'111517'!Q58+'111517'!Q59+'111617'!Q58+'111617'!Q59+'111717'!Q58+'111717'!Q59</f>
        <v/>
      </c>
      <c r="S7" s="6">
        <f>'111317'!R58+'111317'!R59+'111417'!R58+'111417'!R59+'111517'!R58+'111517'!R59+'111617'!R58+'111617'!R59+'111717'!R58+'111717'!R59</f>
        <v/>
      </c>
    </row>
    <row r="8">
      <c r="A8" s="5" t="inlineStr">
        <is>
          <t>SET OPERATIONS</t>
        </is>
      </c>
      <c r="B8" s="6">
        <f>'101317 PRESHOOT'!P77+'101317 PRESHOOT'!P78</f>
        <v/>
      </c>
      <c r="C8" s="6">
        <f>'101317 PRESHOOT'!Q77+'101317 PRESHOOT'!Q78</f>
        <v/>
      </c>
      <c r="D8" s="6">
        <f>'101317 PRESHOOT'!R77+'101317 PRESHOOT'!R78</f>
        <v/>
      </c>
      <c r="E8" s="6">
        <f>'101617'!P77+'101617'!P78+'101717'!P77+'101717'!P78+'101817'!P77+'101817'!P78+'101917'!P77+'101917'!P78+'102017'!P77+'102017'!P78</f>
        <v/>
      </c>
      <c r="F8" s="6">
        <f>'101617'!Q77+'101617'!Q78+'101717'!Q77+'101717'!Q78+'101817'!Q77+'101817'!Q78+'101917'!Q77+'101917'!Q78+'102017'!Q77+'102017'!Q78</f>
        <v/>
      </c>
      <c r="G8" s="6">
        <f>'101617'!R77+'101617'!R78+'101717'!R77+'101717'!R78+'101817'!R77+'101817'!R78+'101917'!R77+'101917'!R78+'102017'!R77+'102017'!R78</f>
        <v/>
      </c>
      <c r="H8" s="6">
        <f>'102317'!P77+'102317'!P78+'102417'!P77+'102417'!P78+'102517'!P77+'102517'!P78+'102617'!P77+'102617'!P78+'102717'!P77+'102717'!P78</f>
        <v/>
      </c>
      <c r="I8" s="6">
        <f>'102317'!Q77+'102317'!Q78+'102417'!Q77+'102417'!Q78+'102517'!Q77+'102517'!Q78+'102617'!Q77+'102617'!Q78+'102717'!Q77+'102717'!Q78</f>
        <v/>
      </c>
      <c r="J8" s="6">
        <f>'102317'!R77+'102317'!R78+'102417'!R77+'102417'!R78+'102517'!R77+'102517'!R78+'102617'!R77+'102617'!R78+'102717'!R77+'102717'!R78</f>
        <v/>
      </c>
      <c r="K8" s="6">
        <f>'103017'!P77+'103017'!P78+'103117'!P77+'103117'!P78+'110117'!P77+'110117'!P78+'110217'!P77+'110217'!P78+'110317'!P77+'110317'!P78</f>
        <v/>
      </c>
      <c r="L8" s="6">
        <f>'103017'!Q77+'103017'!Q78+'103117'!Q77+'103117'!Q78+'110117'!Q77+'110117'!Q78+'110217'!Q77+'110217'!Q78+'110317'!Q77+'110317'!Q78</f>
        <v/>
      </c>
      <c r="M8" s="6">
        <f>'103017'!R77+'103017'!R78+'103117'!R77+'103117'!R78+'110117'!R77+'110117'!R78+'110217'!R77+'110217'!R78+'110317'!R77+'110317'!R78</f>
        <v/>
      </c>
      <c r="N8" s="6">
        <f>'110617'!P77+'110617'!P78+'110717'!P77+'110717'!P78+'110817'!P77+'110817'!P78+'110917'!P77+'110917'!P78+'111017'!P77+'111017'!P78</f>
        <v/>
      </c>
      <c r="O8" s="6">
        <f>'110617'!Q77+'110617'!Q78+'110717'!Q77+'110717'!Q78+'110817'!Q77+'110817'!Q78+'110917'!Q77+'110917'!Q78+'111017'!Q77+'111017'!Q78</f>
        <v/>
      </c>
      <c r="P8" s="6">
        <f>'110617'!R77+'110617'!R78+'110717'!R77+'110717'!R78+'110817'!R77+'110817'!R78+'110917'!R77+'110917'!R78+'111017'!R77+'111017'!R78</f>
        <v/>
      </c>
      <c r="Q8" s="6">
        <f>'111317'!P77+'111317'!P78+'111417'!P77+'111417'!P78+'111517'!P77+'111517'!P78+'111617'!P77+'111617'!P78+'111717'!P77+'111717'!P78</f>
        <v/>
      </c>
      <c r="R8" s="6">
        <f>'111317'!Q77+'111317'!Q78+'111417'!Q77+'111417'!Q78+'111517'!Q77+'111517'!Q78+'111617'!Q77+'111617'!Q78+'111717'!Q77+'111717'!Q78</f>
        <v/>
      </c>
      <c r="S8" s="6">
        <f>'111317'!R77+'111317'!R78+'111417'!R77+'111417'!R78+'111517'!R77+'111517'!R78+'111617'!R77+'111617'!R78+'111717'!R77+'111717'!R78</f>
        <v/>
      </c>
    </row>
    <row r="9">
      <c r="A9" s="5" t="inlineStr">
        <is>
          <t>SPECIAL EFFECTS</t>
        </is>
      </c>
      <c r="B9" s="6">
        <f>'101317 PRESHOOT'!P85+'101317 PRESHOOT'!P86</f>
        <v/>
      </c>
      <c r="C9" s="6">
        <f>'101317 PRESHOOT'!Q85+'101317 PRESHOOT'!Q86</f>
        <v/>
      </c>
      <c r="D9" s="6">
        <f>'101317 PRESHOOT'!R85+'101317 PRESHOOT'!R86</f>
        <v/>
      </c>
      <c r="E9" s="6">
        <f>'101617'!P85+'101617'!P86+'101717'!P85+'101717'!P86+'101817'!P85+'101817'!P86+'101917'!P85+'101917'!P86+'102017'!P85+'102017'!P86</f>
        <v/>
      </c>
      <c r="F9" s="6">
        <f>'101617'!Q85+'101617'!Q86+'101717'!Q85+'101717'!Q86+'101817'!Q85+'101817'!Q86+'101917'!Q85+'101917'!Q86+'102017'!Q85+'102017'!Q86</f>
        <v/>
      </c>
      <c r="G9" s="6">
        <f>'101617'!R85+'101617'!R86+'101717'!R85+'101717'!R86+'101817'!R85+'101817'!R86+'101917'!R85+'101917'!R86+'102017'!R85+'102017'!R86</f>
        <v/>
      </c>
      <c r="H9" s="6">
        <f>'102317'!P85+'102317'!P86+'102417'!P85+'102417'!P86+'102517'!P85+'102517'!P86+'102617'!P85+'102617'!P86+'102717'!P85+'102717'!P86</f>
        <v/>
      </c>
      <c r="I9" s="6">
        <f>'102317'!Q85+'102317'!Q86+'102417'!Q85+'102417'!Q86+'102517'!Q85+'102517'!Q86+'102617'!Q85+'102617'!Q86+'102717'!Q85+'102717'!Q86</f>
        <v/>
      </c>
      <c r="J9" s="6">
        <f>'102317'!R85+'102317'!R86+'102417'!R85+'102417'!R86+'102517'!R85+'102517'!R86+'102617'!R85+'102617'!R86+'102717'!R85+'102717'!R86</f>
        <v/>
      </c>
      <c r="K9" s="6">
        <f>'103017'!P85+'103017'!P86+'103117'!P85+'103117'!P86+'110117'!P85+'110117'!P86+'110217'!P85+'110217'!P86+'110317'!P85+'110317'!P86</f>
        <v/>
      </c>
      <c r="L9" s="6">
        <f>'103017'!Q85+'103017'!Q86+'103117'!Q85+'103117'!Q86+'110117'!Q85+'110117'!Q86+'110217'!Q85+'110217'!Q86+'110317'!Q85+'110317'!Q86</f>
        <v/>
      </c>
      <c r="M9" s="6">
        <f>'103017'!R85+'103017'!R86+'103117'!R85+'103117'!R86+'110117'!R85+'110117'!R86+'110217'!R85+'110217'!R86+'110317'!R85+'110317'!R86</f>
        <v/>
      </c>
      <c r="N9" s="6">
        <f>'110617'!P85+'110617'!P86+'110717'!P85+'110717'!P86+'110817'!P85+'110817'!P86+'110917'!P85+'110917'!P86+'111017'!P85+'111017'!P86</f>
        <v/>
      </c>
      <c r="O9" s="6">
        <f>'110617'!Q85+'110617'!Q86+'110717'!Q85+'110717'!Q86+'110817'!Q85+'110817'!Q86+'110917'!Q85+'110917'!Q86+'111017'!Q85+'111017'!Q86</f>
        <v/>
      </c>
      <c r="P9" s="6">
        <f>'110617'!R85+'110617'!R86+'110717'!R85+'110717'!R86+'110817'!R85+'110817'!R86+'110917'!R85+'110917'!R86+'111017'!R85+'111017'!R86</f>
        <v/>
      </c>
      <c r="Q9" s="6">
        <f>'111317'!P85+'111317'!P86+'111417'!P85+'111417'!P86+'111517'!P85+'111517'!P86+'111617'!P85+'111617'!P86+'111717'!P85+'111717'!P86</f>
        <v/>
      </c>
      <c r="R9" s="6">
        <f>'111317'!Q85+'111317'!Q86+'111417'!Q85+'111417'!Q86+'111517'!Q85+'111517'!Q86+'111617'!Q85+'111617'!Q86+'111717'!Q85+'111717'!Q86</f>
        <v/>
      </c>
      <c r="S9" s="6">
        <f>'111317'!R85+'111317'!R86+'111417'!R85+'111417'!R86+'111517'!R85+'111517'!R86+'111617'!R85+'111617'!R86+'111717'!R85+'111717'!R86</f>
        <v/>
      </c>
    </row>
    <row r="10">
      <c r="A10" s="5" t="inlineStr">
        <is>
          <t>SET DRESSING</t>
        </is>
      </c>
      <c r="B10" s="6">
        <f>'101317 PRESHOOT'!P96+'101317 PRESHOOT'!P97</f>
        <v/>
      </c>
      <c r="C10" s="6">
        <f>'101317 PRESHOOT'!Q96+'101317 PRESHOOT'!Q97</f>
        <v/>
      </c>
      <c r="D10" s="6">
        <f>'101317 PRESHOOT'!R96+'101317 PRESHOOT'!R97</f>
        <v/>
      </c>
      <c r="E10" s="6">
        <f>'101617'!P96+'101617'!P97+'101717'!P96+'101717'!P97+'101817'!P96+'101817'!P97+'101917'!P96+'101917'!P97+'102017'!P96+'102017'!P97</f>
        <v/>
      </c>
      <c r="F10" s="6">
        <f>'101617'!Q96+'101617'!Q97+'101717'!Q96+'101717'!Q97+'101817'!Q96+'101817'!Q97+'101917'!Q96+'101917'!Q97+'102017'!Q96+'102017'!Q97</f>
        <v/>
      </c>
      <c r="G10" s="6">
        <f>'101617'!R96+'101617'!R97+'101717'!R96+'101717'!R97+'101817'!R96+'101817'!R97+'101917'!R96+'101917'!R97+'102017'!R96+'102017'!R97</f>
        <v/>
      </c>
      <c r="H10" s="6">
        <f>'102317'!P96+'102317'!P97+'102417'!P96+'102417'!P97+'102517'!P96+'102517'!P97+'102617'!P96+'102617'!P97+'102717'!P96+'102717'!P97</f>
        <v/>
      </c>
      <c r="I10" s="6">
        <f>'102317'!Q96+'102317'!Q97+'102417'!Q96+'102417'!Q97+'102517'!Q96+'102517'!Q97+'102617'!Q96+'102617'!Q97+'102717'!Q96+'102717'!Q97</f>
        <v/>
      </c>
      <c r="J10" s="6">
        <f>'102317'!R96+'102317'!R97+'102417'!R96+'102417'!R97+'102517'!R96+'102517'!R97+'102617'!R96+'102617'!R97+'102717'!R96+'102717'!R97</f>
        <v/>
      </c>
      <c r="K10" s="6">
        <f>'103017'!P96+'103017'!P97+'103117'!P96+'103117'!P97+'110117'!P96+'110117'!P97+'110217'!P96+'110217'!P97+'110317'!P96+'110317'!P97</f>
        <v/>
      </c>
      <c r="L10" s="6">
        <f>'103017'!Q96+'103017'!Q97+'103117'!Q96+'103117'!Q97+'110117'!Q96+'110117'!Q97+'110217'!Q96+'110217'!Q97+'110317'!Q96+'110317'!Q97</f>
        <v/>
      </c>
      <c r="M10" s="6">
        <f>'103017'!R96+'103017'!R97+'103117'!R96+'103117'!R97+'110117'!R96+'110117'!R97+'110217'!R96+'110217'!R97+'110317'!R96+'110317'!R97</f>
        <v/>
      </c>
      <c r="N10" s="6">
        <f>'110617'!P96+'110617'!P97+'110717'!P96+'110717'!P97+'110817'!P96+'110817'!P97+'110917'!P96+'110917'!P97+'111017'!P96+'111017'!P97</f>
        <v/>
      </c>
      <c r="O10" s="6">
        <f>'110617'!Q96+'110617'!Q97+'110717'!Q96+'110717'!Q97+'110817'!Q96+'110817'!Q97+'110917'!Q96+'110917'!Q97+'111017'!Q96+'111017'!Q97</f>
        <v/>
      </c>
      <c r="P10" s="6">
        <f>'110617'!R96+'110617'!R97+'110717'!R96+'110717'!R97+'110817'!R96+'110817'!R97+'110917'!R96+'110917'!R97+'111017'!R96+'111017'!R97</f>
        <v/>
      </c>
      <c r="Q10" s="6">
        <f>'111317'!P96+'111317'!P97+'111417'!P96+'111417'!P97+'111517'!P96+'111517'!P97+'111617'!P96+'111617'!P97+'111717'!P96+'111717'!P97</f>
        <v/>
      </c>
      <c r="R10" s="6">
        <f>'111317'!Q96+'111317'!Q97+'111417'!Q96+'111417'!Q97+'111517'!Q96+'111517'!Q97+'111617'!Q96+'111617'!Q97+'111717'!Q96+'111717'!Q97</f>
        <v/>
      </c>
      <c r="S10" s="6">
        <f>'111317'!R96+'111317'!R97+'111417'!R96+'111417'!R97+'111517'!R96+'111517'!R97+'111617'!R96+'111617'!R97+'111717'!R96+'111717'!R97</f>
        <v/>
      </c>
    </row>
    <row r="11">
      <c r="A11" s="5" t="inlineStr">
        <is>
          <t>PROPERTY</t>
        </is>
      </c>
      <c r="B11" s="6">
        <f>'101317 PRESHOOT'!P102+'101317 PRESHOOT'!P103</f>
        <v/>
      </c>
      <c r="C11" s="6">
        <f>'101317 PRESHOOT'!Q102+'101317 PRESHOOT'!Q103</f>
        <v/>
      </c>
      <c r="D11" s="6">
        <f>'101317 PRESHOOT'!R102+'101317 PRESHOOT'!R103</f>
        <v/>
      </c>
      <c r="E11" s="6">
        <f>'101617'!P102+'101617'!P103+'101717'!P102+'101717'!P103+'101817'!P102+'101817'!P103+'101917'!P102+'101917'!P103+'102017'!P102+'102017'!P103</f>
        <v/>
      </c>
      <c r="F11" s="6">
        <f>'101617'!Q102+'101617'!Q103+'101717'!Q102+'101717'!Q103+'101817'!Q102+'101817'!Q103+'101917'!Q102+'101917'!Q103+'102017'!Q102+'102017'!Q103</f>
        <v/>
      </c>
      <c r="G11" s="6">
        <f>'101617'!R102+'101617'!R103+'101717'!R102+'101717'!R103+'101817'!R102+'101817'!R103+'101917'!R102+'101917'!R103+'102017'!R102+'102017'!R103</f>
        <v/>
      </c>
      <c r="H11" s="6">
        <f>'102317'!P102+'102317'!P103+'102417'!P102+'102417'!P103+'102517'!P102+'102517'!P103+'102617'!P102+'102617'!P103+'102717'!P102+'102717'!P103</f>
        <v/>
      </c>
      <c r="I11" s="6">
        <f>'102317'!Q102+'102317'!Q103+'102417'!Q102+'102417'!Q103+'102517'!Q102+'102517'!Q103+'102617'!Q102+'102617'!Q103+'102717'!Q102+'102717'!Q103</f>
        <v/>
      </c>
      <c r="J11" s="6">
        <f>'102317'!R102+'102317'!R103+'102417'!R102+'102417'!R103+'102517'!R102+'102517'!R103+'102617'!R102+'102617'!R103+'102717'!R102+'102717'!R103</f>
        <v/>
      </c>
      <c r="K11" s="6">
        <f>'103017'!P102+'103017'!P103+'103117'!P102+'103117'!P103+'110117'!P102+'110117'!P103+'110217'!P102+'110217'!P103+'110317'!P102+'110317'!P103</f>
        <v/>
      </c>
      <c r="L11" s="6">
        <f>'103017'!Q102+'103017'!Q103+'103117'!Q102+'103117'!Q103+'110117'!Q102+'110117'!Q103+'110217'!Q102+'110217'!Q103+'110317'!Q102+'110317'!Q103</f>
        <v/>
      </c>
      <c r="M11" s="6">
        <f>'103017'!R102+'103017'!R103+'103117'!R102+'103117'!R103+'110117'!R102+'110117'!R103+'110217'!R102+'110217'!R103+'110317'!R102+'110317'!R103</f>
        <v/>
      </c>
      <c r="N11" s="6">
        <f>'110617'!P102+'110617'!P103+'110717'!P102+'110717'!P103+'110817'!P102+'110817'!P103+'110917'!P102+'110917'!P103+'111017'!P102+'111017'!P103</f>
        <v/>
      </c>
      <c r="O11" s="6">
        <f>'110617'!Q102+'110617'!Q103+'110717'!Q102+'110717'!Q103+'110817'!Q102+'110817'!Q103+'110917'!Q102+'110917'!Q103+'111017'!Q102+'111017'!Q103</f>
        <v/>
      </c>
      <c r="P11" s="6">
        <f>'110617'!R102+'110617'!R103+'110717'!R102+'110717'!R103+'110817'!R102+'110817'!R103+'110917'!R102+'110917'!R103+'111017'!R102+'111017'!R103</f>
        <v/>
      </c>
      <c r="Q11" s="6">
        <f>'111317'!P102+'111317'!P103+'111417'!P102+'111417'!P103+'111517'!P102+'111517'!P103+'111617'!P102+'111617'!P103+'111717'!P102+'111717'!P103</f>
        <v/>
      </c>
      <c r="R11" s="6">
        <f>'111317'!Q102+'111317'!Q103+'111417'!Q102+'111417'!Q103+'111517'!Q102+'111517'!Q103+'111617'!Q102+'111617'!Q103+'111717'!Q102+'111717'!Q103</f>
        <v/>
      </c>
      <c r="S11" s="6">
        <f>'111317'!R102+'111317'!R103+'111417'!R102+'111417'!R103+'111517'!R102+'111517'!R103+'111617'!R102+'111617'!R103+'111717'!R102+'111717'!R103</f>
        <v/>
      </c>
    </row>
    <row r="12">
      <c r="A12" s="5" t="inlineStr">
        <is>
          <t>WARDROBE</t>
        </is>
      </c>
      <c r="B12" s="6">
        <f>'101317 PRESHOOT'!P110+'101317 PRESHOOT'!P111</f>
        <v/>
      </c>
      <c r="C12" s="6">
        <f>'101317 PRESHOOT'!Q110+'101317 PRESHOOT'!Q111</f>
        <v/>
      </c>
      <c r="D12" s="6">
        <f>'101317 PRESHOOT'!R110+'101317 PRESHOOT'!R111</f>
        <v/>
      </c>
      <c r="E12" s="6">
        <f>'101617'!P110+'101617'!P111+'101717'!P110+'101717'!P111+'101817'!P110+'101817'!P111+'101917'!P110+'101917'!P111+'102017'!P110+'102017'!P111</f>
        <v/>
      </c>
      <c r="F12" s="6">
        <f>'101617'!Q110+'101617'!Q111+'101717'!Q110+'101717'!Q111+'101817'!Q110+'101817'!Q111+'101917'!Q110+'101917'!Q111+'102017'!Q110+'102017'!Q111</f>
        <v/>
      </c>
      <c r="G12" s="6">
        <f>'101617'!R110+'101617'!R111+'101717'!R110+'101717'!R111+'101817'!R110+'101817'!R111+'101917'!R110+'101917'!R111+'102017'!R110+'102017'!R111</f>
        <v/>
      </c>
      <c r="H12" s="6">
        <f>'102317'!P110+'102317'!P111+'102417'!P110+'102417'!P111+'102517'!P110+'102517'!P111+'102617'!P110+'102617'!P111+'102717'!P110+'102717'!P111</f>
        <v/>
      </c>
      <c r="I12" s="6">
        <f>'102317'!Q110+'102317'!Q111+'102417'!Q110+'102417'!Q111+'102517'!Q110+'102517'!Q111+'102617'!Q110+'102617'!Q111+'102717'!Q110+'102717'!Q111</f>
        <v/>
      </c>
      <c r="J12" s="6">
        <f>'102317'!R110+'102317'!R111+'102417'!R110+'102417'!R111+'102517'!R110+'102517'!R111+'102617'!R110+'102617'!R111+'102717'!R110+'102717'!R111</f>
        <v/>
      </c>
      <c r="K12" s="6">
        <f>'103017'!P110+'103017'!P111+'103117'!P110+'103117'!P111+'110117'!P110+'110117'!P111+'110217'!P110+'110217'!P111+'110317'!P110+'110317'!P111</f>
        <v/>
      </c>
      <c r="L12" s="6">
        <f>'103017'!Q110+'103017'!Q111+'103117'!Q110+'103117'!Q111+'110117'!Q110+'110117'!Q111+'110217'!Q110+'110217'!Q111+'110317'!Q110+'110317'!Q111</f>
        <v/>
      </c>
      <c r="M12" s="6">
        <f>'103017'!R110+'103017'!R111+'103117'!R110+'103117'!R111+'110117'!R110+'110117'!R111+'110217'!R110+'110217'!R111+'110317'!R110+'110317'!R111</f>
        <v/>
      </c>
      <c r="N12" s="6">
        <f>'110617'!P110+'110617'!P111+'110717'!P110+'110717'!P111+'110817'!P110+'110817'!P111+'110917'!P110+'110917'!P111+'111017'!P110+'111017'!P111</f>
        <v/>
      </c>
      <c r="O12" s="6">
        <f>'110617'!Q110+'110617'!Q111+'110717'!Q110+'110717'!Q111+'110817'!Q110+'110817'!Q111+'110917'!Q110+'110917'!Q111+'111017'!Q110+'111017'!Q111</f>
        <v/>
      </c>
      <c r="P12" s="6">
        <f>'110617'!R110+'110617'!R111+'110717'!R110+'110717'!R111+'110817'!R110+'110817'!R111+'110917'!R110+'110917'!R111+'111017'!R110+'111017'!R111</f>
        <v/>
      </c>
      <c r="Q12" s="6">
        <f>'111317'!P110+'111317'!P111+'111417'!P110+'111417'!P111+'111517'!P110+'111517'!P111+'111617'!P110+'111617'!P111+'111717'!P110+'111717'!P111</f>
        <v/>
      </c>
      <c r="R12" s="6">
        <f>'111317'!Q110+'111317'!Q111+'111417'!Q110+'111417'!Q111+'111517'!Q110+'111517'!Q111+'111617'!Q110+'111617'!Q111+'111717'!Q110+'111717'!Q111</f>
        <v/>
      </c>
      <c r="S12" s="6">
        <f>'111317'!R110+'111317'!R111+'111417'!R110+'111417'!R111+'111517'!R110+'111517'!R111+'111617'!R110+'111617'!R111+'111717'!R110+'111717'!R111</f>
        <v/>
      </c>
    </row>
    <row r="13">
      <c r="A13" s="5" t="inlineStr">
        <is>
          <t>MAKE-UP&amp;HAIR</t>
        </is>
      </c>
      <c r="B13" s="6">
        <f>'101317 PRESHOOT'!P122+'101317 PRESHOOT'!P123</f>
        <v/>
      </c>
      <c r="C13" s="6">
        <f>'101317 PRESHOOT'!Q122+'101317 PRESHOOT'!Q123</f>
        <v/>
      </c>
      <c r="D13" s="6">
        <f>'101317 PRESHOOT'!R122+'101317 PRESHOOT'!R123</f>
        <v/>
      </c>
      <c r="E13" s="6">
        <f>'101617'!P122+'101617'!P123+'101717'!P122+'101717'!P123+'101817'!P122+'101817'!P123+'101917'!P122+'101917'!P123+'102017'!P122+'102017'!P123</f>
        <v/>
      </c>
      <c r="F13" s="6">
        <f>'101617'!Q122+'101617'!Q123+'101717'!Q122+'101717'!Q123+'101817'!Q122+'101817'!Q123+'101917'!Q122+'101917'!Q123+'102017'!Q122+'102017'!Q123</f>
        <v/>
      </c>
      <c r="G13" s="6">
        <f>'101617'!R122+'101617'!R123+'101717'!R122+'101717'!R123+'101817'!R122+'101817'!R123+'101917'!R122+'101917'!R123+'102017'!R122+'102017'!R123</f>
        <v/>
      </c>
      <c r="H13" s="6">
        <f>'102317'!P122+'102317'!P123+'102417'!P122+'102417'!P123+'102517'!P122+'102517'!P123+'102617'!P122+'102617'!P123+'102717'!P122+'102717'!P123</f>
        <v/>
      </c>
      <c r="I13" s="6">
        <f>'102317'!Q122+'102317'!Q123+'102417'!Q122+'102417'!Q123+'102517'!Q122+'102517'!Q123+'102617'!Q122+'102617'!Q123+'102717'!Q122+'102717'!Q123</f>
        <v/>
      </c>
      <c r="J13" s="6">
        <f>'102317'!R122+'102317'!R123+'102417'!R122+'102417'!R123+'102517'!R122+'102517'!R123+'102617'!R122+'102617'!R123+'102717'!R122+'102717'!R123</f>
        <v/>
      </c>
      <c r="K13" s="6">
        <f>'103017'!P122+'103017'!P123+'103117'!P122+'103117'!P123+'110117'!P122+'110117'!P123+'110217'!P122+'110217'!P123+'110317'!P122+'110317'!P123</f>
        <v/>
      </c>
      <c r="L13" s="6">
        <f>'103017'!Q122+'103017'!Q123+'103117'!Q122+'103117'!Q123+'110117'!Q122+'110117'!Q123+'110217'!Q122+'110217'!Q123+'110317'!Q122+'110317'!Q123</f>
        <v/>
      </c>
      <c r="M13" s="6">
        <f>'103017'!R122+'103017'!R123+'103117'!R122+'103117'!R123+'110117'!R122+'110117'!R123+'110217'!R122+'110217'!R123+'110317'!R122+'110317'!R123</f>
        <v/>
      </c>
      <c r="N13" s="6">
        <f>'110617'!P122+'110617'!P123+'110717'!P122+'110717'!P123+'110817'!P122+'110817'!P123+'110917'!P122+'110917'!P123+'111017'!P122+'111017'!P123</f>
        <v/>
      </c>
      <c r="O13" s="6">
        <f>'110617'!Q122+'110617'!Q123+'110717'!Q122+'110717'!Q123+'110817'!Q122+'110817'!Q123+'110917'!Q122+'110917'!Q123+'111017'!Q122+'111017'!Q123</f>
        <v/>
      </c>
      <c r="P13" s="6">
        <f>'110617'!R122+'110617'!R123+'110717'!R122+'110717'!R123+'110817'!R122+'110817'!R123+'110917'!R122+'110917'!R123+'111017'!R122+'111017'!R123</f>
        <v/>
      </c>
      <c r="Q13" s="6">
        <f>'111317'!P122+'111317'!P123+'111417'!P122+'111417'!P123+'111517'!P122+'111517'!P123+'111617'!P122+'111617'!P123+'111717'!P122+'111717'!P123</f>
        <v/>
      </c>
      <c r="R13" s="6">
        <f>'111317'!Q122+'111317'!Q123+'111417'!Q122+'111417'!Q123+'111517'!Q122+'111517'!Q123+'111617'!Q122+'111617'!Q123+'111717'!Q122+'111717'!Q123</f>
        <v/>
      </c>
      <c r="S13" s="6">
        <f>'111317'!R122+'111317'!R123+'111417'!R122+'111417'!R123+'111517'!R122+'111517'!R123+'111617'!R122+'111617'!R123+'111717'!R122+'111717'!R123</f>
        <v/>
      </c>
    </row>
    <row r="14">
      <c r="A14" s="5" t="inlineStr">
        <is>
          <t>SET LIGHTING</t>
        </is>
      </c>
      <c r="B14" s="6">
        <f>'101317 PRESHOOT'!P133+'101317 PRESHOOT'!P134</f>
        <v/>
      </c>
      <c r="C14" s="6">
        <f>'101317 PRESHOOT'!Q133+'101317 PRESHOOT'!Q134</f>
        <v/>
      </c>
      <c r="D14" s="6">
        <f>'101317 PRESHOOT'!R133+'101317 PRESHOOT'!R134</f>
        <v/>
      </c>
      <c r="E14" s="6">
        <f>'101617'!P133+'101617'!P134+'101717'!P133+'101717'!P134+'101817'!P133+'101817'!P134+'101917'!P133+'101917'!P134+'102017'!P133+'102017'!P134</f>
        <v/>
      </c>
      <c r="F14" s="6">
        <f>'101617'!Q133+'101617'!Q134+'101717'!Q133+'101717'!Q134+'101817'!Q133+'101817'!Q134+'101917'!Q133+'101917'!Q134+'102017'!Q133+'102017'!Q134</f>
        <v/>
      </c>
      <c r="G14" s="6">
        <f>'101617'!R133+'101617'!R134+'101717'!R133+'101717'!R134+'101817'!R133+'101817'!R134+'101917'!R133+'101917'!R134+'102017'!R133+'102017'!R134</f>
        <v/>
      </c>
      <c r="H14" s="6">
        <f>'102317'!P133+'102317'!P134+'102417'!P133+'102417'!P134+'102517'!P133+'102517'!P134+'102617'!P133+'102617'!P134+'102717'!P133+'102717'!P134</f>
        <v/>
      </c>
      <c r="I14" s="6">
        <f>'102317'!Q133+'102317'!Q134+'102417'!Q133+'102417'!Q134+'102517'!Q133+'102517'!Q134+'102617'!Q133+'102617'!Q134+'102717'!Q133+'102717'!Q134</f>
        <v/>
      </c>
      <c r="J14" s="6">
        <f>'102317'!R133+'102317'!R134+'102417'!R133+'102417'!R134+'102517'!R133+'102517'!R134+'102617'!R133+'102617'!R134+'102717'!R133+'102717'!R134</f>
        <v/>
      </c>
      <c r="K14" s="6">
        <f>'103017'!P133+'103017'!P134+'103117'!P133+'103117'!P134+'110117'!P133+'110117'!P134+'110217'!P133+'110217'!P134+'110317'!P133+'110317'!P134</f>
        <v/>
      </c>
      <c r="L14" s="6">
        <f>'103017'!Q133+'103017'!Q134+'103117'!Q133+'103117'!Q134+'110117'!Q133+'110117'!Q134+'110217'!Q133+'110217'!Q134+'110317'!Q133+'110317'!Q134</f>
        <v/>
      </c>
      <c r="M14" s="6">
        <f>'103017'!R133+'103017'!R134+'103117'!R133+'103117'!R134+'110117'!R133+'110117'!R134+'110217'!R133+'110217'!R134+'110317'!R133+'110317'!R134</f>
        <v/>
      </c>
      <c r="N14" s="6">
        <f>'110617'!P133+'110617'!P134+'110717'!P133+'110717'!P134+'110817'!P133+'110817'!P134+'110917'!P133+'110917'!P134+'111017'!P133+'111017'!P134</f>
        <v/>
      </c>
      <c r="O14" s="6">
        <f>'110617'!Q133+'110617'!Q134+'110717'!Q133+'110717'!Q134+'110817'!Q133+'110817'!Q134+'110917'!Q133+'110917'!Q134+'111017'!Q133+'111017'!Q134</f>
        <v/>
      </c>
      <c r="P14" s="6">
        <f>'110617'!R133+'110617'!R134+'110717'!R133+'110717'!R134+'110817'!R133+'110817'!R134+'110917'!R133+'110917'!R134+'111017'!R133+'111017'!R134</f>
        <v/>
      </c>
      <c r="Q14" s="6">
        <f>'111317'!P133+'111317'!P134+'111417'!P133+'111417'!P134+'111517'!P133+'111517'!P134+'111617'!P133+'111617'!P134+'111717'!P133+'111717'!P134</f>
        <v/>
      </c>
      <c r="R14" s="6">
        <f>'111317'!Q133+'111317'!Q134+'111417'!Q133+'111417'!Q134+'111517'!Q133+'111517'!Q134+'111617'!Q133+'111617'!Q134+'111717'!Q133+'111717'!Q134</f>
        <v/>
      </c>
      <c r="S14" s="6">
        <f>'111317'!R133+'111317'!R134+'111417'!R133+'111417'!R134+'111517'!R133+'111517'!R134+'111617'!R133+'111617'!R134+'111717'!R133+'111717'!R134</f>
        <v/>
      </c>
    </row>
    <row r="15">
      <c r="A15" s="5" t="inlineStr">
        <is>
          <t>CAMERA</t>
        </is>
      </c>
      <c r="B15" s="6">
        <f>'101317 PRESHOOT'!P146+'101317 PRESHOOT'!P147</f>
        <v/>
      </c>
      <c r="C15" s="6">
        <f>'101317 PRESHOOT'!Q146+'101317 PRESHOOT'!Q147</f>
        <v/>
      </c>
      <c r="D15" s="6">
        <f>'101317 PRESHOOT'!R146+'101317 PRESHOOT'!R147</f>
        <v/>
      </c>
      <c r="E15" s="6">
        <f>'101617'!P146+'101617'!P147+'101717'!P146+'101717'!P147+'101817'!P146+'101817'!P147+'101917'!P146+'101917'!P147+'102017'!P146+'102017'!P147</f>
        <v/>
      </c>
      <c r="F15" s="6">
        <f>'101617'!Q146+'101617'!Q147+'101717'!Q146+'101717'!Q147+'101817'!Q146+'101817'!Q147+'101917'!Q146+'101917'!Q147+'102017'!Q146+'102017'!Q147</f>
        <v/>
      </c>
      <c r="G15" s="6">
        <f>'101617'!R146+'101617'!R147+'101717'!R146+'101717'!R147+'101817'!R146+'101817'!R147+'101917'!R146+'101917'!R147+'102017'!R146+'102017'!R147</f>
        <v/>
      </c>
      <c r="H15" s="6">
        <f>'102317'!P146+'102317'!P147+'102417'!P146+'102417'!P147+'102517'!P146+'102517'!P147+'102617'!P146+'102617'!P147+'102717'!P146+'102717'!P147</f>
        <v/>
      </c>
      <c r="I15" s="6">
        <f>'102317'!Q146+'102317'!Q147+'102417'!Q146+'102417'!Q147+'102517'!Q146+'102517'!Q147+'102617'!Q146+'102617'!Q147+'102717'!Q146+'102717'!Q147</f>
        <v/>
      </c>
      <c r="J15" s="6">
        <f>'102317'!R146+'102317'!R147+'102417'!R146+'102417'!R147+'102517'!R146+'102517'!R147+'102617'!R146+'102617'!R147+'102717'!R146+'102717'!R147</f>
        <v/>
      </c>
      <c r="K15" s="6">
        <f>'103017'!P146+'103017'!P147+'103117'!P146+'103117'!P147+'110117'!P146+'110117'!P147+'110217'!P146+'110217'!P147+'110317'!P146+'110317'!P147</f>
        <v/>
      </c>
      <c r="L15" s="6">
        <f>'103017'!Q146+'103017'!Q147+'103117'!Q146+'103117'!Q147+'110117'!Q146+'110117'!Q147+'110217'!Q146+'110217'!Q147+'110317'!Q146+'110317'!Q147</f>
        <v/>
      </c>
      <c r="M15" s="6">
        <f>'103017'!R146+'103017'!R147+'103117'!R146+'103117'!R147+'110117'!R146+'110117'!R147+'110217'!R146+'110217'!R147+'110317'!R146+'110317'!R147</f>
        <v/>
      </c>
      <c r="N15" s="6">
        <f>'110617'!P146+'110617'!P147+'110717'!P146+'110717'!P147+'110817'!P146+'110817'!P147+'110917'!P146+'110917'!P147+'111017'!P146+'111017'!P147</f>
        <v/>
      </c>
      <c r="O15" s="6">
        <f>'110617'!Q146+'110617'!Q147+'110717'!Q146+'110717'!Q147+'110817'!Q146+'110817'!Q147+'110917'!Q146+'110917'!Q147+'111017'!Q146+'111017'!Q147</f>
        <v/>
      </c>
      <c r="P15" s="6">
        <f>'110617'!R146+'110617'!R147+'110717'!R146+'110717'!R147+'110817'!R146+'110817'!R147+'110917'!R146+'110917'!R147+'111017'!R146+'111017'!R147</f>
        <v/>
      </c>
      <c r="Q15" s="6">
        <f>'111317'!P146+'111317'!P147+'111417'!P146+'111417'!P147+'111517'!P146+'111517'!P147+'111617'!P146+'111617'!P147+'111717'!P146+'111717'!P147</f>
        <v/>
      </c>
      <c r="R15" s="6">
        <f>'111317'!Q146+'111317'!Q147+'111417'!Q146+'111417'!Q147+'111517'!Q146+'111517'!Q147+'111617'!Q146+'111617'!Q147+'111717'!Q146+'111717'!Q147</f>
        <v/>
      </c>
      <c r="S15" s="6">
        <f>'111317'!R146+'111317'!R147+'111417'!R146+'111417'!R147+'111517'!R146+'111517'!R147+'111617'!R146+'111617'!R147+'111717'!R146+'111717'!R147</f>
        <v/>
      </c>
    </row>
    <row r="16">
      <c r="A16" s="5" t="inlineStr">
        <is>
          <t>PRODUCTION SOUND</t>
        </is>
      </c>
      <c r="B16" s="6">
        <f>'101317 PRESHOOT'!P154+'101317 PRESHOOT'!P155</f>
        <v/>
      </c>
      <c r="C16" s="6">
        <f>'101317 PRESHOOT'!Q154+'101317 PRESHOOT'!Q155</f>
        <v/>
      </c>
      <c r="D16" s="6">
        <f>'101317 PRESHOOT'!R154+'101317 PRESHOOT'!R155</f>
        <v/>
      </c>
      <c r="E16" s="6">
        <f>'101617'!P154+'101617'!P155+'101717'!P154+'101717'!P155+'101817'!P154+'101817'!P155+'101917'!P154+'101917'!P155+'102017'!P154+'102017'!P155</f>
        <v/>
      </c>
      <c r="F16" s="6">
        <f>'101617'!Q154+'101617'!Q155+'101717'!Q154+'101717'!Q155+'101817'!Q154+'101817'!Q155+'101917'!Q154+'101917'!Q155+'102017'!Q154+'102017'!Q155</f>
        <v/>
      </c>
      <c r="G16" s="6">
        <f>'101617'!R154+'101617'!R155+'101717'!R154+'101717'!R155+'101817'!R154+'101817'!R155+'101917'!R154+'101917'!R155+'102017'!R154+'102017'!R155</f>
        <v/>
      </c>
      <c r="H16" s="6">
        <f>'102317'!P154+'102317'!P155+'102417'!P154+'102417'!P155+'102517'!P154+'102517'!P155+'102617'!P154+'102617'!P155+'102717'!P154+'102717'!P155</f>
        <v/>
      </c>
      <c r="I16" s="6">
        <f>'102317'!Q154+'102317'!Q155+'102417'!Q154+'102417'!Q155+'102517'!Q154+'102517'!Q155+'102617'!Q154+'102617'!Q155+'102717'!Q154+'102717'!Q155</f>
        <v/>
      </c>
      <c r="J16" s="6">
        <f>'102317'!R154+'102317'!R155+'102417'!R154+'102417'!R155+'102517'!R154+'102517'!R155+'102617'!R154+'102617'!R155+'102717'!R154+'102717'!R155</f>
        <v/>
      </c>
      <c r="K16" s="6">
        <f>'103017'!P154+'103017'!P155+'103117'!P154+'103117'!P155+'110117'!P154+'110117'!P155+'110217'!P154+'110217'!P155+'110317'!P154+'110317'!P155</f>
        <v/>
      </c>
      <c r="L16" s="6">
        <f>'103017'!Q154+'103017'!Q155+'103117'!Q154+'103117'!Q155+'110117'!Q154+'110117'!Q155+'110217'!Q154+'110217'!Q155+'110317'!Q154+'110317'!Q155</f>
        <v/>
      </c>
      <c r="M16" s="6">
        <f>'103017'!R154+'103017'!R155+'103117'!R154+'103117'!R155+'110117'!R154+'110117'!R155+'110217'!R154+'110217'!R155+'110317'!R154+'110317'!R155</f>
        <v/>
      </c>
      <c r="N16" s="6">
        <f>'110617'!P154+'110617'!P155+'110717'!P154+'110717'!P155+'110817'!P154+'110817'!P155+'110917'!P154+'110917'!P155+'111017'!P154+'111017'!P155</f>
        <v/>
      </c>
      <c r="O16" s="6">
        <f>'110617'!Q154+'110617'!Q155+'110717'!Q154+'110717'!Q155+'110817'!Q154+'110817'!Q155+'110917'!Q154+'110917'!Q155+'111017'!Q154+'111017'!Q155</f>
        <v/>
      </c>
      <c r="P16" s="6">
        <f>'110617'!R154+'110617'!R155+'110717'!R154+'110717'!R155+'110817'!R154+'110817'!R155+'110917'!R154+'110917'!R155+'111017'!R154+'111017'!R155</f>
        <v/>
      </c>
      <c r="Q16" s="6">
        <f>'111317'!P154+'111317'!P155+'111417'!P154+'111417'!P155+'111517'!P154+'111517'!P155+'111617'!P154+'111617'!P155+'111717'!P154+'111717'!P155</f>
        <v/>
      </c>
      <c r="R16" s="6">
        <f>'111317'!Q154+'111317'!Q155+'111417'!Q154+'111417'!Q155+'111517'!Q154+'111517'!Q155+'111617'!Q154+'111617'!Q155+'111717'!Q154+'111717'!Q155</f>
        <v/>
      </c>
      <c r="S16" s="6">
        <f>'111317'!R154+'111317'!R155+'111417'!R154+'111417'!R155+'111517'!R154+'111517'!R155+'111617'!R154+'111617'!R155+'111717'!R154+'111717'!R155</f>
        <v/>
      </c>
    </row>
    <row r="17">
      <c r="A17" s="5" t="inlineStr">
        <is>
          <t>TRANSPORTATION</t>
        </is>
      </c>
      <c r="B17" s="6">
        <f>'101317 PRESHOOT'!P172+'101317 PRESHOOT'!P173</f>
        <v/>
      </c>
      <c r="C17" s="6">
        <f>'101317 PRESHOOT'!Q172+'101317 PRESHOOT'!Q173</f>
        <v/>
      </c>
      <c r="D17" s="6">
        <f>'101317 PRESHOOT'!R172+'101317 PRESHOOT'!R173</f>
        <v/>
      </c>
      <c r="E17" s="6">
        <f>'101617'!P172+'101617'!P173+'101717'!P172+'101717'!P173+'101817'!P172+'101817'!P173+'101917'!P172+'101917'!P173+'102017'!P172+'102017'!P173</f>
        <v/>
      </c>
      <c r="F17" s="6">
        <f>'101617'!Q172+'101617'!Q173+'101717'!Q172+'101717'!Q173+'101817'!Q172+'101817'!Q173+'101917'!Q172+'101917'!Q173+'102017'!Q172+'102017'!Q173</f>
        <v/>
      </c>
      <c r="G17" s="6">
        <f>'101617'!R172+'101617'!R173+'101717'!R172+'101717'!R173+'101817'!R172+'101817'!R173+'101917'!R172+'101917'!R173+'102017'!R172+'102017'!R173</f>
        <v/>
      </c>
      <c r="H17" s="6">
        <f>'102317'!P172+'102317'!P173+'102417'!P172+'102417'!P173+'102517'!P172+'102517'!P173+'102617'!P172+'102617'!P173+'102717'!P172+'102717'!P173</f>
        <v/>
      </c>
      <c r="I17" s="6">
        <f>'102317'!Q172+'102317'!Q173+'102417'!Q172+'102417'!Q173+'102517'!Q172+'102517'!Q173+'102617'!Q172+'102617'!Q173+'102717'!Q172+'102717'!Q173</f>
        <v/>
      </c>
      <c r="J17" s="6">
        <f>'102317'!R172+'102317'!R173+'102417'!R172+'102417'!R173+'102517'!R172+'102517'!R173+'102617'!R172+'102617'!R173+'102717'!R172+'102717'!R173</f>
        <v/>
      </c>
      <c r="K17" s="6">
        <f>'103017'!P172+'103017'!P173+'103117'!P172+'103117'!P173+'110117'!P172+'110117'!P173+'110217'!P172+'110217'!P173+'110317'!P172+'110317'!P173</f>
        <v/>
      </c>
      <c r="L17" s="6">
        <f>'103017'!Q172+'103017'!Q173+'103117'!Q172+'103117'!Q173+'110117'!Q172+'110117'!Q173+'110217'!Q172+'110217'!Q173+'110317'!Q172+'110317'!Q173</f>
        <v/>
      </c>
      <c r="M17" s="6">
        <f>'103017'!R172+'103017'!R173+'103117'!R172+'103117'!R173+'110117'!R172+'110117'!R173+'110217'!R172+'110217'!R173+'110317'!R172+'110317'!R173</f>
        <v/>
      </c>
      <c r="N17" s="6">
        <f>'110617'!P172+'110617'!P173+'110717'!P172+'110717'!P173+'110817'!P172+'110817'!P173+'110917'!P172+'110917'!P173+'111017'!P172+'111017'!P173</f>
        <v/>
      </c>
      <c r="O17" s="6">
        <f>'110617'!Q172+'110617'!Q173+'110717'!Q172+'110717'!Q173+'110817'!Q172+'110817'!Q173+'110917'!Q172+'110917'!Q173+'111017'!Q172+'111017'!Q173</f>
        <v/>
      </c>
      <c r="P17" s="6">
        <f>'110617'!R172+'110617'!R173+'110717'!R172+'110717'!R173+'110817'!R172+'110817'!R173+'110917'!R172+'110917'!R173+'111017'!R172+'111017'!R173</f>
        <v/>
      </c>
      <c r="Q17" s="6">
        <f>'111317'!P172+'111317'!P173+'111417'!P172+'111417'!P173+'111517'!P172+'111517'!P173+'111617'!P172+'111617'!P173+'111717'!P172+'111717'!P173</f>
        <v/>
      </c>
      <c r="R17" s="6">
        <f>'111317'!Q172+'111317'!Q173+'111417'!Q172+'111417'!Q173+'111517'!Q172+'111517'!Q173+'111617'!Q172+'111617'!Q173+'111717'!Q172+'111717'!Q173</f>
        <v/>
      </c>
      <c r="S17" s="6">
        <f>'111317'!R172+'111317'!R173+'111417'!R172+'111417'!R173+'111517'!R172+'111517'!R173+'111617'!R172+'111617'!R173+'111717'!R172+'111717'!R173</f>
        <v/>
      </c>
    </row>
    <row r="18">
      <c r="A18" s="5" t="inlineStr">
        <is>
          <t>LOCATIONS</t>
        </is>
      </c>
      <c r="B18" s="6">
        <f>'101317 PRESHOOT'!P180+'101317 PRESHOOT'!P181</f>
        <v/>
      </c>
      <c r="C18" s="6">
        <f>'101317 PRESHOOT'!Q180+'101317 PRESHOOT'!Q181</f>
        <v/>
      </c>
      <c r="D18" s="6">
        <f>'101317 PRESHOOT'!R180+'101317 PRESHOOT'!R181</f>
        <v/>
      </c>
      <c r="E18" s="6">
        <f>'101617'!P180+'101617'!P181+'101717'!P180+'101717'!P181+'101817'!P180+'101817'!P181+'101917'!P180+'101917'!P181+'102017'!P180+'102017'!P181</f>
        <v/>
      </c>
      <c r="F18" s="6">
        <f>'101617'!Q180+'101617'!Q181+'101717'!Q180+'101717'!Q181+'101817'!Q180+'101817'!Q181+'101917'!Q180+'101917'!Q181+'102017'!Q180+'102017'!Q181</f>
        <v/>
      </c>
      <c r="G18" s="6">
        <f>'101617'!R180+'101617'!R181+'101717'!R180+'101717'!R181+'101817'!R180+'101817'!R181+'101917'!R180+'101917'!R181+'102017'!R180+'102017'!R181</f>
        <v/>
      </c>
      <c r="H18" s="6">
        <f>'102317'!P180+'102317'!P181+'102417'!P180+'102417'!P181+'102517'!P180+'102517'!P181+'102617'!P180+'102617'!P181+'102717'!P180+'102717'!P181</f>
        <v/>
      </c>
      <c r="I18" s="6">
        <f>'102317'!Q180+'102317'!Q181+'102417'!Q180+'102417'!Q181+'102517'!Q180+'102517'!Q181+'102617'!Q180+'102617'!Q181+'102717'!Q180+'102717'!Q181</f>
        <v/>
      </c>
      <c r="J18" s="6">
        <f>'102317'!R180+'102317'!R181+'102417'!R180+'102417'!R181+'102517'!R180+'102517'!R181+'102617'!R180+'102617'!R181+'102717'!R180+'102717'!R181</f>
        <v/>
      </c>
      <c r="K18" s="6">
        <f>'103017'!P180+'103017'!P181+'103117'!P180+'103117'!P181+'110117'!P180+'110117'!P181+'110217'!P180+'110217'!P181+'110317'!P180+'110317'!P181</f>
        <v/>
      </c>
      <c r="L18" s="6">
        <f>'103017'!Q180+'103017'!Q181+'103117'!Q180+'103117'!Q181+'110117'!Q180+'110117'!Q181+'110217'!Q180+'110217'!Q181+'110317'!Q180+'110317'!Q181</f>
        <v/>
      </c>
      <c r="M18" s="6">
        <f>'103017'!R180+'103017'!R181+'103117'!R180+'103117'!R181+'110117'!R180+'110117'!R181+'110217'!R180+'110217'!R181+'110317'!R180+'110317'!R181</f>
        <v/>
      </c>
      <c r="N18" s="6">
        <f>'110617'!P180+'110617'!P181+'110717'!P180+'110717'!P181+'110817'!P180+'110817'!P181+'110917'!P180+'110917'!P181+'111017'!P180+'111017'!P181</f>
        <v/>
      </c>
      <c r="O18" s="6">
        <f>'110617'!Q180+'110617'!Q181+'110717'!Q180+'110717'!Q181+'110817'!Q180+'110817'!Q181+'110917'!Q180+'110917'!Q181+'111017'!Q180+'111017'!Q181</f>
        <v/>
      </c>
      <c r="P18" s="6">
        <f>'110617'!R180+'110617'!R181+'110717'!R180+'110717'!R181+'110817'!R180+'110817'!R181+'110917'!R180+'110917'!R181+'111017'!R180+'111017'!R181</f>
        <v/>
      </c>
      <c r="Q18" s="6">
        <f>'111317'!P180+'111317'!P181+'111417'!P180+'111417'!P181+'111517'!P180+'111517'!P181+'111617'!P180+'111617'!P181+'111717'!P180+'111717'!P181</f>
        <v/>
      </c>
      <c r="R18" s="6">
        <f>'111317'!Q180+'111317'!Q181+'111417'!Q180+'111417'!Q181+'111517'!Q180+'111517'!Q181+'111617'!Q180+'111617'!Q181+'111717'!Q180+'111717'!Q181</f>
        <v/>
      </c>
      <c r="S18" s="6">
        <f>'111317'!R180+'111317'!R181+'111417'!R180+'111417'!R181+'111517'!R180+'111517'!R181+'111617'!R180+'111617'!R181+'111717'!R180+'111717'!R181</f>
        <v/>
      </c>
    </row>
    <row r="19">
      <c r="A19" s="3" t="inlineStr">
        <is>
          <t>TOTAL</t>
        </is>
      </c>
      <c r="B19" s="8">
        <f>SUM(B5:B18)</f>
        <v/>
      </c>
      <c r="C19" s="8">
        <f>SUM(C5:C18)</f>
        <v/>
      </c>
      <c r="D19" s="8">
        <f>SUM(D5:D18)</f>
        <v/>
      </c>
      <c r="E19" s="8">
        <f>SUM(E5:E18)</f>
        <v/>
      </c>
      <c r="F19" s="8">
        <f>SUM(F5:F18)</f>
        <v/>
      </c>
      <c r="G19" s="8">
        <f>SUM(G5:G18)</f>
        <v/>
      </c>
      <c r="H19" s="8">
        <f>SUM(H5:H18)</f>
        <v/>
      </c>
      <c r="I19" s="8">
        <f>SUM(I5:I18)</f>
        <v/>
      </c>
      <c r="J19" s="8">
        <f>SUM(J5:J18)</f>
        <v/>
      </c>
      <c r="K19" s="8">
        <f>SUM(K5:K18)</f>
        <v/>
      </c>
      <c r="L19" s="8">
        <f>SUM(L5:L18)</f>
        <v/>
      </c>
      <c r="M19" s="8">
        <f>SUM(M5:M18)</f>
        <v/>
      </c>
      <c r="N19" s="8">
        <f>SUM(N5:N18)</f>
        <v/>
      </c>
      <c r="O19" s="8">
        <f>SUM(O5:O18)</f>
        <v/>
      </c>
      <c r="P19" s="8">
        <f>SUM(P5:P18)</f>
        <v/>
      </c>
      <c r="Q19" s="8">
        <f>SUM(Q5:Q18)</f>
        <v/>
      </c>
      <c r="R19" s="8">
        <f>SUM(R5:R18)</f>
        <v/>
      </c>
      <c r="S19" s="8">
        <f>SUM(S5:S18)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Friday 13 Oct 2017</t>
        </is>
      </c>
      <c r="F1" s="5" t="inlineStr">
        <is>
          <t>PRESHOOT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1" t="n"/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453.04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453.04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280.5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247.5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247.5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1" t="n"/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2" t="n">
        <v>400</v>
      </c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2" t="n">
        <v>322.56</v>
      </c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2" t="n">
        <v>253.44</v>
      </c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462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1" t="n"/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1" t="n"/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1" t="n"/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2" t="n">
        <v>253.44</v>
      </c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280.5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253.44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226.27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280.5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253.44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1" t="n"/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280.5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550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280.5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253.44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1" t="n"/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280.5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253.44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473.55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226.27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226.27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226.27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1" t="n"/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495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385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280.5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280.5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253.44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253.44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1" t="n"/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1" t="n"/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291.5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253.44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226.27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253.44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409.31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520.9400000000001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355.96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355.96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417.89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355.96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417.89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355.96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453.04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355.96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355.96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1" t="n"/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453.04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238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224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Monday 16 Oct 2017</t>
        </is>
      </c>
      <c r="F1" s="5" t="inlineStr">
        <is>
          <t>DAY #1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Tuesday 17 Oct 2017</t>
        </is>
      </c>
      <c r="F1" s="5" t="inlineStr">
        <is>
          <t>DAY #2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Wednesday 18 Oct 2017</t>
        </is>
      </c>
      <c r="F1" s="5" t="inlineStr">
        <is>
          <t>DAY #3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Thursday 19 Oct 2017</t>
        </is>
      </c>
      <c r="F1" s="5" t="inlineStr">
        <is>
          <t>DAY #4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Friday 20 Oct 2017</t>
        </is>
      </c>
      <c r="F1" s="5" t="inlineStr">
        <is>
          <t>DAY #5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Monday 23 Oct 2017</t>
        </is>
      </c>
      <c r="F1" s="5" t="inlineStr">
        <is>
          <t>DAY #6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Tuesday 24 Oct 2017</t>
        </is>
      </c>
      <c r="F1" s="5" t="inlineStr">
        <is>
          <t>DAY #7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Wednesday 25 Oct 2017</t>
        </is>
      </c>
      <c r="F1" s="5" t="inlineStr">
        <is>
          <t>DAY #8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Thursday 26 Oct 2017</t>
        </is>
      </c>
      <c r="F1" s="5" t="inlineStr">
        <is>
          <t>DAY #9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Friday 27 Oct 2017</t>
        </is>
      </c>
      <c r="F1" s="5" t="inlineStr">
        <is>
          <t>DAY #10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Monday 30 Oct 2017</t>
        </is>
      </c>
      <c r="F1" s="5" t="inlineStr">
        <is>
          <t>DAY #11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Tuesday 31 Oct 2017</t>
        </is>
      </c>
      <c r="F1" s="5" t="inlineStr">
        <is>
          <t>DAY #12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Wednesday 01 Nov 2017</t>
        </is>
      </c>
      <c r="F1" s="5" t="inlineStr">
        <is>
          <t>DAY #13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Thursday 02 Nov 2017</t>
        </is>
      </c>
      <c r="F1" s="5" t="inlineStr">
        <is>
          <t>DAY #14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Friday 03 Nov 2017</t>
        </is>
      </c>
      <c r="F1" s="5" t="inlineStr">
        <is>
          <t>DAY #15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Monday 06 Nov 2017</t>
        </is>
      </c>
      <c r="F1" s="5" t="inlineStr">
        <is>
          <t>DAY #16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Tuesday 07 Nov 2017</t>
        </is>
      </c>
      <c r="F1" s="5" t="inlineStr">
        <is>
          <t>DAY #17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Wednesday 08 Nov 2017</t>
        </is>
      </c>
      <c r="F1" s="5" t="inlineStr">
        <is>
          <t>DAY #18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Thursday 09 Nov 2017</t>
        </is>
      </c>
      <c r="F1" s="5" t="inlineStr">
        <is>
          <t>DAY #19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Friday 10 Nov 2017</t>
        </is>
      </c>
      <c r="F1" s="5" t="inlineStr">
        <is>
          <t>DAY #20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Monday 13 Nov 2017</t>
        </is>
      </c>
      <c r="F1" s="5" t="inlineStr">
        <is>
          <t>DAY #21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Tuesday 14 Nov 2017</t>
        </is>
      </c>
      <c r="F1" s="5" t="inlineStr">
        <is>
          <t>DAY #22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Wednesday 15 Nov 2017</t>
        </is>
      </c>
      <c r="F1" s="5" t="inlineStr">
        <is>
          <t>DAY #23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Thursday 16 Nov 2017</t>
        </is>
      </c>
      <c r="F1" s="5" t="inlineStr">
        <is>
          <t>DAY #24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9" customWidth="1" min="4" max="4"/>
    <col width="9" customWidth="1" min="5" max="5"/>
    <col width="7" customWidth="1" min="6" max="6"/>
    <col width="7" customWidth="1" min="7" max="7"/>
    <col width="8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12" customWidth="1" min="16" max="16"/>
    <col width="13" customWidth="1" min="17" max="17"/>
    <col width="14" customWidth="1" min="18" max="18"/>
  </cols>
  <sheetData>
    <row r="1">
      <c r="A1" s="1" t="inlineStr">
        <is>
          <t>HOT COST</t>
        </is>
      </c>
      <c r="C1" t="inlineStr">
        <is>
          <t>Friday 17 Nov 2017</t>
        </is>
      </c>
      <c r="F1" s="5" t="inlineStr">
        <is>
          <t>DAY #25</t>
        </is>
      </c>
    </row>
    <row r="2">
      <c r="A2" s="2" t="inlineStr">
        <is>
          <t>enter CALL, LUNCH, WRAP as decimal hours (e.g. 7.5) — everything right of WRAP computes</t>
        </is>
      </c>
    </row>
    <row r="4">
      <c r="A4" s="10" t="inlineStr">
        <is>
          <t>ACCT</t>
        </is>
      </c>
      <c r="B4" s="10" t="inlineStr">
        <is>
          <t>NAME</t>
        </is>
      </c>
      <c r="C4" s="10" t="inlineStr">
        <is>
          <t>POSITION</t>
        </is>
      </c>
      <c r="D4" s="10" t="inlineStr">
        <is>
          <t>UNION</t>
        </is>
      </c>
      <c r="E4" s="10" t="inlineStr">
        <is>
          <t>RATE</t>
        </is>
      </c>
      <c r="F4" s="10" t="inlineStr">
        <is>
          <t>CALL</t>
        </is>
      </c>
      <c r="G4" s="10" t="inlineStr">
        <is>
          <t>LUNCH</t>
        </is>
      </c>
      <c r="H4" s="10" t="inlineStr">
        <is>
          <t>LUNCH 2</t>
        </is>
      </c>
      <c r="I4" s="10" t="inlineStr">
        <is>
          <t>WRAP</t>
        </is>
      </c>
      <c r="J4" s="10" t="inlineStr">
        <is>
          <t>HRS</t>
        </is>
      </c>
      <c r="K4" s="10" t="inlineStr">
        <is>
          <t>MP'S</t>
        </is>
      </c>
      <c r="L4" s="10" t="inlineStr">
        <is>
          <t>ST</t>
        </is>
      </c>
      <c r="M4" s="10" t="inlineStr">
        <is>
          <t>1.5X</t>
        </is>
      </c>
      <c r="N4" s="10" t="inlineStr">
        <is>
          <t>2X</t>
        </is>
      </c>
      <c r="O4" s="10" t="inlineStr">
        <is>
          <t>3X</t>
        </is>
      </c>
      <c r="P4" s="10" t="inlineStr">
        <is>
          <t>TOTAL / DAY</t>
        </is>
      </c>
      <c r="Q4" s="10" t="inlineStr">
        <is>
          <t>BUDGET / DAY</t>
        </is>
      </c>
      <c r="R4" s="10" t="inlineStr">
        <is>
          <t>(OVER) / UNDER</t>
        </is>
      </c>
    </row>
    <row r="5">
      <c r="B5" s="5" t="inlineStr">
        <is>
          <t>CAST</t>
        </is>
      </c>
    </row>
    <row r="6">
      <c r="A6" s="11" t="inlineStr">
        <is>
          <t>1401</t>
        </is>
      </c>
      <c r="B6" s="11" t="inlineStr">
        <is>
          <t>Linda Cardellini</t>
        </is>
      </c>
      <c r="C6" s="11" t="inlineStr">
        <is>
          <t>"ANNA"</t>
        </is>
      </c>
      <c r="D6" s="11" t="inlineStr"/>
      <c r="E6" s="12" t="n">
        <v>1211.8</v>
      </c>
      <c r="F6" s="11" t="n"/>
      <c r="G6" s="11" t="n"/>
      <c r="H6" s="11" t="n"/>
      <c r="I6" s="11" t="n"/>
      <c r="J6" s="13">
        <f>IF(AND(N(F6)&gt;0,N(I6)&gt;0),I6-F6-IF(N(G6)&gt;0,0.5,0)-IF(N(H6)&gt;0,0.5,0),0)</f>
        <v/>
      </c>
      <c r="K6" s="11" t="n"/>
      <c r="L6" s="13">
        <f>MIN(J6,8.0)</f>
        <v/>
      </c>
      <c r="M6" s="13">
        <f>MAX(0,MIN(J6,12)-8.0)</f>
        <v/>
      </c>
      <c r="N6" s="13">
        <f>MAX(0,J6-12)</f>
        <v/>
      </c>
      <c r="O6" s="11" t="n"/>
      <c r="P6" s="12">
        <f>E6*(L6+M6*1.5+N6*2+O6*3+N(K6))</f>
        <v/>
      </c>
      <c r="Q6" s="12" t="n">
        <v>1211.8</v>
      </c>
      <c r="R6" s="12">
        <f>Q6-P6</f>
        <v/>
      </c>
    </row>
    <row r="7">
      <c r="A7" s="11" t="inlineStr">
        <is>
          <t>1402</t>
        </is>
      </c>
      <c r="B7" s="11" t="inlineStr">
        <is>
          <t>Roman Christou</t>
        </is>
      </c>
      <c r="C7" s="11" t="inlineStr">
        <is>
          <t>"CHRIS"(Minor)</t>
        </is>
      </c>
      <c r="D7" s="11" t="inlineStr"/>
      <c r="E7" s="12" t="n">
        <v>755.4</v>
      </c>
      <c r="F7" s="11" t="n"/>
      <c r="G7" s="11" t="n"/>
      <c r="H7" s="11" t="n"/>
      <c r="I7" s="11" t="n"/>
      <c r="J7" s="13">
        <f>IF(AND(N(F7)&gt;0,N(I7)&gt;0),I7-F7-IF(N(G7)&gt;0,0.5,0)-IF(N(H7)&gt;0,0.5,0),0)</f>
        <v/>
      </c>
      <c r="K7" s="11" t="n"/>
      <c r="L7" s="13">
        <f>MIN(J7,8.0)</f>
        <v/>
      </c>
      <c r="M7" s="13">
        <f>MAX(0,MIN(J7,12)-8.0)</f>
        <v/>
      </c>
      <c r="N7" s="13">
        <f>MAX(0,J7-12)</f>
        <v/>
      </c>
      <c r="O7" s="11" t="n"/>
      <c r="P7" s="12">
        <f>E7*(L7+M7*1.5+N7*2+O7*3+N(K7))</f>
        <v/>
      </c>
      <c r="Q7" s="12" t="n">
        <v>755.4</v>
      </c>
      <c r="R7" s="12">
        <f>Q7-P7</f>
        <v/>
      </c>
    </row>
    <row r="8">
      <c r="A8" s="11" t="inlineStr">
        <is>
          <t>1402</t>
        </is>
      </c>
      <c r="B8" s="11" t="inlineStr">
        <is>
          <t>Jaynee Lynee Kinchen</t>
        </is>
      </c>
      <c r="C8" s="11" t="inlineStr">
        <is>
          <t>"SAMANTHA"(Minor)</t>
        </is>
      </c>
      <c r="D8" s="11" t="inlineStr"/>
      <c r="E8" s="12" t="n">
        <v>755.4</v>
      </c>
      <c r="F8" s="11" t="n"/>
      <c r="G8" s="11" t="n"/>
      <c r="H8" s="11" t="n"/>
      <c r="I8" s="11" t="n"/>
      <c r="J8" s="13">
        <f>IF(AND(N(F8)&gt;0,N(I8)&gt;0),I8-F8-IF(N(G8)&gt;0,0.5,0)-IF(N(H8)&gt;0,0.5,0),0)</f>
        <v/>
      </c>
      <c r="K8" s="11" t="n"/>
      <c r="L8" s="13">
        <f>MIN(J8,8.0)</f>
        <v/>
      </c>
      <c r="M8" s="13">
        <f>MAX(0,MIN(J8,12)-8.0)</f>
        <v/>
      </c>
      <c r="N8" s="13">
        <f>MAX(0,J8-12)</f>
        <v/>
      </c>
      <c r="O8" s="11" t="n"/>
      <c r="P8" s="12">
        <f>E8*(L8+M8*1.5+N8*2+O8*3+N(K8))</f>
        <v/>
      </c>
      <c r="Q8" s="12" t="n">
        <v>755.4</v>
      </c>
      <c r="R8" s="12">
        <f>Q8-P8</f>
        <v/>
      </c>
    </row>
    <row r="9">
      <c r="A9" s="11" t="inlineStr">
        <is>
          <t>1403</t>
        </is>
      </c>
      <c r="B9" s="11" t="inlineStr">
        <is>
          <t>Raymond Cruz</t>
        </is>
      </c>
      <c r="C9" s="11" t="inlineStr">
        <is>
          <t>"RAFAELOLVERA"</t>
        </is>
      </c>
      <c r="D9" s="11" t="inlineStr"/>
      <c r="E9" s="12" t="n">
        <v>1211.8</v>
      </c>
      <c r="F9" s="11" t="n"/>
      <c r="G9" s="11" t="n"/>
      <c r="H9" s="11" t="n"/>
      <c r="I9" s="11" t="n"/>
      <c r="J9" s="13">
        <f>IF(AND(N(F9)&gt;0,N(I9)&gt;0),I9-F9-IF(N(G9)&gt;0,0.5,0)-IF(N(H9)&gt;0,0.5,0),0)</f>
        <v/>
      </c>
      <c r="K9" s="11" t="n"/>
      <c r="L9" s="13">
        <f>MIN(J9,8.0)</f>
        <v/>
      </c>
      <c r="M9" s="13">
        <f>MAX(0,MIN(J9,12)-8.0)</f>
        <v/>
      </c>
      <c r="N9" s="13">
        <f>MAX(0,J9-12)</f>
        <v/>
      </c>
      <c r="O9" s="11" t="n"/>
      <c r="P9" s="12">
        <f>E9*(L9+M9*1.5+N9*2+O9*3+N(K9))</f>
        <v/>
      </c>
      <c r="Q9" s="12" t="n">
        <v>1211.8</v>
      </c>
      <c r="R9" s="12">
        <f>Q9-P9</f>
        <v/>
      </c>
    </row>
    <row r="10">
      <c r="A10" s="11" t="inlineStr">
        <is>
          <t>1403</t>
        </is>
      </c>
      <c r="B10" s="11" t="inlineStr">
        <is>
          <t>Marisol Ramirez</t>
        </is>
      </c>
      <c r="C10" s="11" t="inlineStr">
        <is>
          <t>"LALLORONA"</t>
        </is>
      </c>
      <c r="D10" s="11" t="inlineStr"/>
      <c r="E10" s="12" t="n">
        <v>1211.8</v>
      </c>
      <c r="F10" s="11" t="n"/>
      <c r="G10" s="11" t="n"/>
      <c r="H10" s="11" t="n"/>
      <c r="I10" s="11" t="n"/>
      <c r="J10" s="13">
        <f>IF(AND(N(F10)&gt;0,N(I10)&gt;0),I10-F10-IF(N(G10)&gt;0,0.5,0)-IF(N(H10)&gt;0,0.5,0),0)</f>
        <v/>
      </c>
      <c r="K10" s="11" t="n"/>
      <c r="L10" s="13">
        <f>MIN(J10,8.0)</f>
        <v/>
      </c>
      <c r="M10" s="13">
        <f>MAX(0,MIN(J10,12)-8.0)</f>
        <v/>
      </c>
      <c r="N10" s="13">
        <f>MAX(0,J10-12)</f>
        <v/>
      </c>
      <c r="O10" s="11" t="n"/>
      <c r="P10" s="12">
        <f>E10*(L10+M10*1.5+N10*2+O10*3+N(K10))</f>
        <v/>
      </c>
      <c r="Q10" s="12" t="n">
        <v>1211.8</v>
      </c>
      <c r="R10" s="12">
        <f>Q10-P10</f>
        <v/>
      </c>
    </row>
    <row r="11">
      <c r="A11" s="11" t="inlineStr">
        <is>
          <t>1403</t>
        </is>
      </c>
      <c r="B11" s="11" t="inlineStr">
        <is>
          <t>Patrica Velasquez</t>
        </is>
      </c>
      <c r="C11" s="11" t="inlineStr">
        <is>
          <t>"PATRICIA"</t>
        </is>
      </c>
      <c r="D11" s="11" t="inlineStr"/>
      <c r="E11" s="12" t="n">
        <v>1972</v>
      </c>
      <c r="F11" s="11" t="n"/>
      <c r="G11" s="11" t="n"/>
      <c r="H11" s="11" t="n"/>
      <c r="I11" s="11" t="n"/>
      <c r="J11" s="13">
        <f>IF(AND(N(F11)&gt;0,N(I11)&gt;0),I11-F11-IF(N(G11)&gt;0,0.5,0)-IF(N(H11)&gt;0,0.5,0),0)</f>
        <v/>
      </c>
      <c r="K11" s="11" t="n"/>
      <c r="L11" s="13">
        <f>MIN(J11,8.0)</f>
        <v/>
      </c>
      <c r="M11" s="13">
        <f>MAX(0,MIN(J11,12)-8.0)</f>
        <v/>
      </c>
      <c r="N11" s="13">
        <f>MAX(0,J11-12)</f>
        <v/>
      </c>
      <c r="O11" s="11" t="n"/>
      <c r="P11" s="12">
        <f>E11*(L11+M11*1.5+N11*2+O11*3+N(K11))</f>
        <v/>
      </c>
      <c r="Q11" s="12" t="n">
        <v>1972</v>
      </c>
      <c r="R11" s="12">
        <f>Q11-P11</f>
        <v/>
      </c>
    </row>
    <row r="12">
      <c r="A12" s="11" t="inlineStr">
        <is>
          <t>1404</t>
        </is>
      </c>
      <c r="B12" s="11" t="inlineStr">
        <is>
          <t>Sean Patrick Thomas</t>
        </is>
      </c>
      <c r="C12" s="11" t="inlineStr">
        <is>
          <t>DETCOOPER</t>
        </is>
      </c>
      <c r="D12" s="11" t="inlineStr"/>
      <c r="E12" s="12" t="n">
        <v>1211.8</v>
      </c>
      <c r="F12" s="11" t="n"/>
      <c r="G12" s="11" t="n"/>
      <c r="H12" s="11" t="n"/>
      <c r="I12" s="11" t="n"/>
      <c r="J12" s="13">
        <f>IF(AND(N(F12)&gt;0,N(I12)&gt;0),I12-F12-IF(N(G12)&gt;0,0.5,0)-IF(N(H12)&gt;0,0.5,0),0)</f>
        <v/>
      </c>
      <c r="K12" s="11" t="n"/>
      <c r="L12" s="13">
        <f>MIN(J12,8.0)</f>
        <v/>
      </c>
      <c r="M12" s="13">
        <f>MAX(0,MIN(J12,12)-8.0)</f>
        <v/>
      </c>
      <c r="N12" s="13">
        <f>MAX(0,J12-12)</f>
        <v/>
      </c>
      <c r="O12" s="11" t="n"/>
      <c r="P12" s="12">
        <f>E12*(L12+M12*1.5+N12*2+O12*3+N(K12))</f>
        <v/>
      </c>
      <c r="Q12" s="12" t="n">
        <v>1211.8</v>
      </c>
      <c r="R12" s="12">
        <f>Q12-P12</f>
        <v/>
      </c>
    </row>
    <row r="13">
      <c r="A13" s="11" t="inlineStr">
        <is>
          <t>1404</t>
        </is>
      </c>
      <c r="B13" s="11" t="inlineStr">
        <is>
          <t>Tony Amendola</t>
        </is>
      </c>
      <c r="C13" s="11" t="inlineStr">
        <is>
          <t>"FA THE RPEREZ"</t>
        </is>
      </c>
      <c r="D13" s="11" t="inlineStr"/>
      <c r="E13" s="12" t="n">
        <v>1972</v>
      </c>
      <c r="F13" s="11" t="n"/>
      <c r="G13" s="11" t="n"/>
      <c r="H13" s="11" t="n"/>
      <c r="I13" s="11" t="n"/>
      <c r="J13" s="13">
        <f>IF(AND(N(F13)&gt;0,N(I13)&gt;0),I13-F13-IF(N(G13)&gt;0,0.5,0)-IF(N(H13)&gt;0,0.5,0),0)</f>
        <v/>
      </c>
      <c r="K13" s="11" t="n"/>
      <c r="L13" s="13">
        <f>MIN(J13,8.0)</f>
        <v/>
      </c>
      <c r="M13" s="13">
        <f>MAX(0,MIN(J13,12)-8.0)</f>
        <v/>
      </c>
      <c r="N13" s="13">
        <f>MAX(0,J13-12)</f>
        <v/>
      </c>
      <c r="O13" s="11" t="n"/>
      <c r="P13" s="12">
        <f>E13*(L13+M13*1.5+N13*2+O13*3+N(K13))</f>
        <v/>
      </c>
      <c r="Q13" s="12" t="n">
        <v>1972</v>
      </c>
      <c r="R13" s="12">
        <f>Q13-P13</f>
        <v/>
      </c>
    </row>
    <row r="14">
      <c r="A14" s="11" t="inlineStr">
        <is>
          <t>1405</t>
        </is>
      </c>
      <c r="B14" s="11" t="inlineStr">
        <is>
          <t>Kristy Keng(Drop/Pickup)</t>
        </is>
      </c>
      <c r="C14" s="11" t="inlineStr">
        <is>
          <t>"DONNA"</t>
        </is>
      </c>
      <c r="D14" s="11" t="inlineStr"/>
      <c r="E14" s="12" t="n">
        <v>1972</v>
      </c>
      <c r="F14" s="11" t="n"/>
      <c r="G14" s="11" t="n"/>
      <c r="H14" s="11" t="n"/>
      <c r="I14" s="11" t="n"/>
      <c r="J14" s="13">
        <f>IF(AND(N(F14)&gt;0,N(I14)&gt;0),I14-F14-IF(N(G14)&gt;0,0.5,0)-IF(N(H14)&gt;0,0.5,0),0)</f>
        <v/>
      </c>
      <c r="K14" s="11" t="n"/>
      <c r="L14" s="13">
        <f>MIN(J14,8.0)</f>
        <v/>
      </c>
      <c r="M14" s="13">
        <f>MAX(0,MIN(J14,12)-8.0)</f>
        <v/>
      </c>
      <c r="N14" s="13">
        <f>MAX(0,J14-12)</f>
        <v/>
      </c>
      <c r="O14" s="11" t="n"/>
      <c r="P14" s="12">
        <f>E14*(L14+M14*1.5+N14*2+O14*3+N(K14))</f>
        <v/>
      </c>
      <c r="Q14" s="12" t="n">
        <v>1972</v>
      </c>
      <c r="R14" s="12">
        <f>Q14-P14</f>
        <v/>
      </c>
    </row>
    <row r="15">
      <c r="A15" s="11" t="inlineStr">
        <is>
          <t>1405</t>
        </is>
      </c>
      <c r="B15" s="11" t="inlineStr">
        <is>
          <t>Oliver Alexander</t>
        </is>
      </c>
      <c r="C15" s="11" t="inlineStr">
        <is>
          <t>"CARLOS"(Minor)</t>
        </is>
      </c>
      <c r="D15" s="11" t="inlineStr"/>
      <c r="E15" s="12" t="n">
        <v>1249</v>
      </c>
      <c r="F15" s="11" t="n"/>
      <c r="G15" s="11" t="n"/>
      <c r="H15" s="11" t="n"/>
      <c r="I15" s="11" t="n"/>
      <c r="J15" s="13">
        <f>IF(AND(N(F15)&gt;0,N(I15)&gt;0),I15-F15-IF(N(G15)&gt;0,0.5,0)-IF(N(H15)&gt;0,0.5,0),0)</f>
        <v/>
      </c>
      <c r="K15" s="11" t="n"/>
      <c r="L15" s="13">
        <f>MIN(J15,8.0)</f>
        <v/>
      </c>
      <c r="M15" s="13">
        <f>MAX(0,MIN(J15,12)-8.0)</f>
        <v/>
      </c>
      <c r="N15" s="13">
        <f>MAX(0,J15-12)</f>
        <v/>
      </c>
      <c r="O15" s="11" t="n"/>
      <c r="P15" s="12">
        <f>E15*(L15+M15*1.5+N15*2+O15*3+N(K15))</f>
        <v/>
      </c>
      <c r="Q15" s="12" t="n">
        <v>1249</v>
      </c>
      <c r="R15" s="12">
        <f>Q15-P15</f>
        <v/>
      </c>
    </row>
    <row r="16">
      <c r="A16" s="11" t="inlineStr">
        <is>
          <t>1405</t>
        </is>
      </c>
      <c r="B16" s="11" t="inlineStr">
        <is>
          <t>Adam Lewandowski</t>
        </is>
      </c>
      <c r="C16" s="11" t="inlineStr">
        <is>
          <t>"TOMAS"(Minor)</t>
        </is>
      </c>
      <c r="D16" s="11" t="inlineStr"/>
      <c r="E16" s="12" t="n">
        <v>1249</v>
      </c>
      <c r="F16" s="11" t="n"/>
      <c r="G16" s="11" t="n"/>
      <c r="H16" s="11" t="n"/>
      <c r="I16" s="11" t="n"/>
      <c r="J16" s="13">
        <f>IF(AND(N(F16)&gt;0,N(I16)&gt;0),I16-F16-IF(N(G16)&gt;0,0.5,0)-IF(N(H16)&gt;0,0.5,0),0)</f>
        <v/>
      </c>
      <c r="K16" s="11" t="n"/>
      <c r="L16" s="13">
        <f>MIN(J16,8.0)</f>
        <v/>
      </c>
      <c r="M16" s="13">
        <f>MAX(0,MIN(J16,12)-8.0)</f>
        <v/>
      </c>
      <c r="N16" s="13">
        <f>MAX(0,J16-12)</f>
        <v/>
      </c>
      <c r="O16" s="11" t="n"/>
      <c r="P16" s="12">
        <f>E16*(L16+M16*1.5+N16*2+O16*3+N(K16))</f>
        <v/>
      </c>
      <c r="Q16" s="12" t="n">
        <v>1249</v>
      </c>
      <c r="R16" s="12">
        <f>Q16-P16</f>
        <v/>
      </c>
    </row>
    <row r="17">
      <c r="A17" s="11" t="inlineStr">
        <is>
          <t>1405</t>
        </is>
      </c>
      <c r="B17" s="11" t="inlineStr">
        <is>
          <t>Paul Rodriquez Jr.</t>
        </is>
      </c>
      <c r="C17" s="11" t="inlineStr">
        <is>
          <t>"OFFICERCLARO"</t>
        </is>
      </c>
      <c r="D17" s="11" t="inlineStr"/>
      <c r="E17" s="12" t="n">
        <v>1972</v>
      </c>
      <c r="F17" s="11" t="n"/>
      <c r="G17" s="11" t="n"/>
      <c r="H17" s="11" t="n"/>
      <c r="I17" s="11" t="n"/>
      <c r="J17" s="13">
        <f>IF(AND(N(F17)&gt;0,N(I17)&gt;0),I17-F17-IF(N(G17)&gt;0,0.5,0)-IF(N(H17)&gt;0,0.5,0),0)</f>
        <v/>
      </c>
      <c r="K17" s="11" t="n"/>
      <c r="L17" s="13">
        <f>MIN(J17,8.0)</f>
        <v/>
      </c>
      <c r="M17" s="13">
        <f>MAX(0,MIN(J17,12)-8.0)</f>
        <v/>
      </c>
      <c r="N17" s="13">
        <f>MAX(0,J17-12)</f>
        <v/>
      </c>
      <c r="O17" s="11" t="n"/>
      <c r="P17" s="12">
        <f>E17*(L17+M17*1.5+N17*2+O17*3+N(K17))</f>
        <v/>
      </c>
      <c r="Q17" s="12" t="n">
        <v>1972</v>
      </c>
      <c r="R17" s="12">
        <f>Q17-P17</f>
        <v/>
      </c>
    </row>
    <row r="18">
      <c r="A18" s="11" t="inlineStr">
        <is>
          <t>1405</t>
        </is>
      </c>
      <c r="B18" s="11" t="inlineStr">
        <is>
          <t>Sophia Santi</t>
        </is>
      </c>
      <c r="C18" s="11" t="inlineStr">
        <is>
          <t>"FEMALECUSTOMER"</t>
        </is>
      </c>
      <c r="D18" s="11" t="inlineStr"/>
      <c r="E18" s="12" t="n">
        <v>1972</v>
      </c>
      <c r="F18" s="11" t="n"/>
      <c r="G18" s="11" t="n"/>
      <c r="H18" s="11" t="n"/>
      <c r="I18" s="11" t="n"/>
      <c r="J18" s="13">
        <f>IF(AND(N(F18)&gt;0,N(I18)&gt;0),I18-F18-IF(N(G18)&gt;0,0.5,0)-IF(N(H18)&gt;0,0.5,0),0)</f>
        <v/>
      </c>
      <c r="K18" s="11" t="n"/>
      <c r="L18" s="13">
        <f>MIN(J18,8.0)</f>
        <v/>
      </c>
      <c r="M18" s="13">
        <f>MAX(0,MIN(J18,12)-8.0)</f>
        <v/>
      </c>
      <c r="N18" s="13">
        <f>MAX(0,J18-12)</f>
        <v/>
      </c>
      <c r="O18" s="11" t="n"/>
      <c r="P18" s="12">
        <f>E18*(L18+M18*1.5+N18*2+O18*3+N(K18))</f>
        <v/>
      </c>
      <c r="Q18" s="12" t="n">
        <v>1972</v>
      </c>
      <c r="R18" s="12">
        <f>Q18-P18</f>
        <v/>
      </c>
    </row>
    <row r="19">
      <c r="A19" s="11" t="inlineStr">
        <is>
          <t>1405</t>
        </is>
      </c>
      <c r="B19" s="11" t="inlineStr">
        <is>
          <t>John Marshall Jones</t>
        </is>
      </c>
      <c r="C19" s="11" t="inlineStr">
        <is>
          <t>"MRHANKINS"</t>
        </is>
      </c>
      <c r="D19" s="11" t="inlineStr"/>
      <c r="E19" s="12" t="n">
        <v>1972</v>
      </c>
      <c r="F19" s="11" t="n"/>
      <c r="G19" s="11" t="n"/>
      <c r="H19" s="11" t="n"/>
      <c r="I19" s="11" t="n"/>
      <c r="J19" s="13">
        <f>IF(AND(N(F19)&gt;0,N(I19)&gt;0),I19-F19-IF(N(G19)&gt;0,0.5,0)-IF(N(H19)&gt;0,0.5,0),0)</f>
        <v/>
      </c>
      <c r="K19" s="11" t="n"/>
      <c r="L19" s="13">
        <f>MIN(J19,8.0)</f>
        <v/>
      </c>
      <c r="M19" s="13">
        <f>MAX(0,MIN(J19,12)-8.0)</f>
        <v/>
      </c>
      <c r="N19" s="13">
        <f>MAX(0,J19-12)</f>
        <v/>
      </c>
      <c r="O19" s="11" t="n"/>
      <c r="P19" s="12">
        <f>E19*(L19+M19*1.5+N19*2+O19*3+N(K19))</f>
        <v/>
      </c>
      <c r="Q19" s="12" t="n">
        <v>1972</v>
      </c>
      <c r="R19" s="12">
        <f>Q19-P19</f>
        <v/>
      </c>
    </row>
    <row r="20">
      <c r="A20" s="11" t="inlineStr">
        <is>
          <t>1405</t>
        </is>
      </c>
      <c r="B20" s="11" t="inlineStr">
        <is>
          <t>Madeleine Mcgraw</t>
        </is>
      </c>
      <c r="C20" s="11" t="inlineStr">
        <is>
          <t>"APRIL"(Minor)</t>
        </is>
      </c>
      <c r="D20" s="11" t="inlineStr"/>
      <c r="E20" s="12" t="n">
        <v>1249</v>
      </c>
      <c r="F20" s="11" t="n"/>
      <c r="G20" s="11" t="n"/>
      <c r="H20" s="11" t="n"/>
      <c r="I20" s="11" t="n"/>
      <c r="J20" s="13">
        <f>IF(AND(N(F20)&gt;0,N(I20)&gt;0),I20-F20-IF(N(G20)&gt;0,0.5,0)-IF(N(H20)&gt;0,0.5,0),0)</f>
        <v/>
      </c>
      <c r="K20" s="11" t="n"/>
      <c r="L20" s="13">
        <f>MIN(J20,8.0)</f>
        <v/>
      </c>
      <c r="M20" s="13">
        <f>MAX(0,MIN(J20,12)-8.0)</f>
        <v/>
      </c>
      <c r="N20" s="13">
        <f>MAX(0,J20-12)</f>
        <v/>
      </c>
      <c r="O20" s="11" t="n"/>
      <c r="P20" s="12">
        <f>E20*(L20+M20*1.5+N20*2+O20*3+N(K20))</f>
        <v/>
      </c>
      <c r="Q20" s="12" t="n">
        <v>1249</v>
      </c>
      <c r="R20" s="12">
        <f>Q20-P20</f>
        <v/>
      </c>
    </row>
    <row r="21">
      <c r="A21" s="11" t="inlineStr">
        <is>
          <t>1406</t>
        </is>
      </c>
      <c r="B21" s="11" t="inlineStr">
        <is>
          <t>Rob King</t>
        </is>
      </c>
      <c r="C21" s="11" t="inlineStr">
        <is>
          <t>STUNT COORDINATOR</t>
        </is>
      </c>
      <c r="D21" s="11" t="inlineStr"/>
      <c r="E21" s="12" t="n">
        <v>1173</v>
      </c>
      <c r="F21" s="11" t="n"/>
      <c r="G21" s="11" t="n"/>
      <c r="H21" s="11" t="n"/>
      <c r="I21" s="11" t="n"/>
      <c r="J21" s="13">
        <f>IF(AND(N(F21)&gt;0,N(I21)&gt;0),I21-F21-IF(N(G21)&gt;0,0.5,0)-IF(N(H21)&gt;0,0.5,0),0)</f>
        <v/>
      </c>
      <c r="K21" s="11" t="n"/>
      <c r="L21" s="13">
        <f>MIN(J21,8.0)</f>
        <v/>
      </c>
      <c r="M21" s="13">
        <f>MAX(0,MIN(J21,12)-8.0)</f>
        <v/>
      </c>
      <c r="N21" s="13">
        <f>MAX(0,J21-12)</f>
        <v/>
      </c>
      <c r="O21" s="11" t="n"/>
      <c r="P21" s="12">
        <f>E21*(L21+M21*1.5+N21*2+O21*3+N(K21))</f>
        <v/>
      </c>
      <c r="Q21" s="12" t="n">
        <v>1173</v>
      </c>
      <c r="R21" s="12">
        <f>Q21-P21</f>
        <v/>
      </c>
    </row>
    <row r="22">
      <c r="A22" s="11" t="inlineStr">
        <is>
          <t>1412</t>
        </is>
      </c>
      <c r="B22" s="11" t="inlineStr"/>
      <c r="C22" s="11" t="inlineStr">
        <is>
          <t>WELFAREWORKER</t>
        </is>
      </c>
      <c r="D22" s="11" t="inlineStr">
        <is>
          <t>Local884</t>
        </is>
      </c>
      <c r="E22" s="12" t="n">
        <v>25.5</v>
      </c>
      <c r="F22" s="11" t="n"/>
      <c r="G22" s="11" t="n"/>
      <c r="H22" s="11" t="n"/>
      <c r="I22" s="11" t="n"/>
      <c r="J22" s="13">
        <f>IF(AND(N(F22)&gt;0,N(I22)&gt;0),I22-F22-IF(N(G22)&gt;0,0.5,0)-IF(N(H22)&gt;0,0.5,0),0)</f>
        <v/>
      </c>
      <c r="K22" s="11" t="n"/>
      <c r="L22" s="13">
        <f>MIN(J22,8.0)</f>
        <v/>
      </c>
      <c r="M22" s="13">
        <f>MAX(0,MIN(J22,12)-8.0)</f>
        <v/>
      </c>
      <c r="N22" s="13">
        <f>MAX(0,J22-12)</f>
        <v/>
      </c>
      <c r="O22" s="11" t="n"/>
      <c r="P22" s="12">
        <f>E22*(L22+M22*1.5+N22*2+O22*3+N(K22))</f>
        <v/>
      </c>
      <c r="Q22" s="12" t="n">
        <v>280.5</v>
      </c>
      <c r="R22" s="12">
        <f>Q22-P22</f>
        <v/>
      </c>
    </row>
    <row r="23">
      <c r="A23" s="11" t="inlineStr">
        <is>
          <t>1412</t>
        </is>
      </c>
      <c r="B23" s="11" t="inlineStr"/>
      <c r="C23" s="11" t="inlineStr">
        <is>
          <t>ADDLWELFAREWORKER</t>
        </is>
      </c>
      <c r="D23" s="11" t="inlineStr">
        <is>
          <t>Local884</t>
        </is>
      </c>
      <c r="E23" s="12" t="n">
        <v>25.5</v>
      </c>
      <c r="F23" s="11" t="n"/>
      <c r="G23" s="11" t="n"/>
      <c r="H23" s="11" t="n"/>
      <c r="I23" s="11" t="n"/>
      <c r="J23" s="13">
        <f>IF(AND(N(F23)&gt;0,N(I23)&gt;0),I23-F23-IF(N(G23)&gt;0,0.5,0)-IF(N(H23)&gt;0,0.5,0),0)</f>
        <v/>
      </c>
      <c r="K23" s="11" t="n"/>
      <c r="L23" s="13">
        <f>MIN(J23,8.0)</f>
        <v/>
      </c>
      <c r="M23" s="13">
        <f>MAX(0,MIN(J23,12)-8.0)</f>
        <v/>
      </c>
      <c r="N23" s="13">
        <f>MAX(0,J23-12)</f>
        <v/>
      </c>
      <c r="O23" s="11" t="n"/>
      <c r="P23" s="12">
        <f>E23*(L23+M23*1.5+N23*2+O23*3+N(K23))</f>
        <v/>
      </c>
      <c r="Q23" s="12" t="n">
        <v>280.5</v>
      </c>
      <c r="R23" s="12">
        <f>Q23-P23</f>
        <v/>
      </c>
    </row>
    <row r="24">
      <c r="A24" s="11" t="inlineStr">
        <is>
          <t>1413</t>
        </is>
      </c>
      <c r="B24" s="11" t="inlineStr">
        <is>
          <t>Rich Delia</t>
        </is>
      </c>
      <c r="C24" s="11" t="inlineStr">
        <is>
          <t>CASTING DIRECTOR</t>
        </is>
      </c>
      <c r="D24" s="11" t="inlineStr"/>
      <c r="E24" s="12" t="n">
        <v>600</v>
      </c>
      <c r="F24" s="11" t="n"/>
      <c r="G24" s="11" t="n"/>
      <c r="H24" s="11" t="n"/>
      <c r="I24" s="11" t="n"/>
      <c r="J24" s="13">
        <f>IF(AND(N(F24)&gt;0,N(I24)&gt;0),I24-F24-IF(N(G24)&gt;0,0.5,0)-IF(N(H24)&gt;0,0.5,0),0)</f>
        <v/>
      </c>
      <c r="K24" s="11" t="n"/>
      <c r="L24" s="13">
        <f>MIN(J24,8.0)</f>
        <v/>
      </c>
      <c r="M24" s="13">
        <f>MAX(0,MIN(J24,12)-8.0)</f>
        <v/>
      </c>
      <c r="N24" s="13">
        <f>MAX(0,J24-12)</f>
        <v/>
      </c>
      <c r="O24" s="11" t="n"/>
      <c r="P24" s="12">
        <f>E24*(L24+M24*1.5+N24*2+O24*3+N(K24))</f>
        <v/>
      </c>
      <c r="Q24" s="11" t="n"/>
      <c r="R24" s="12">
        <f>Q24-P24</f>
        <v/>
      </c>
    </row>
    <row r="25">
      <c r="A25" s="11" t="inlineStr">
        <is>
          <t>1414</t>
        </is>
      </c>
      <c r="B25" s="11" t="inlineStr">
        <is>
          <t>Adam Richards</t>
        </is>
      </c>
      <c r="C25" s="11" t="inlineStr">
        <is>
          <t>CASTING ASSOCIATE</t>
        </is>
      </c>
      <c r="D25" s="11" t="inlineStr"/>
      <c r="E25" s="12" t="n">
        <v>200</v>
      </c>
      <c r="F25" s="11" t="n"/>
      <c r="G25" s="11" t="n"/>
      <c r="H25" s="11" t="n"/>
      <c r="I25" s="11" t="n"/>
      <c r="J25" s="13">
        <f>IF(AND(N(F25)&gt;0,N(I25)&gt;0),I25-F25-IF(N(G25)&gt;0,0.5,0)-IF(N(H25)&gt;0,0.5,0),0)</f>
        <v/>
      </c>
      <c r="K25" s="11" t="n"/>
      <c r="L25" s="13">
        <f>MIN(J25,8.0)</f>
        <v/>
      </c>
      <c r="M25" s="13">
        <f>MAX(0,MIN(J25,12)-8.0)</f>
        <v/>
      </c>
      <c r="N25" s="13">
        <f>MAX(0,J25-12)</f>
        <v/>
      </c>
      <c r="O25" s="11" t="n"/>
      <c r="P25" s="12">
        <f>E25*(L25+M25*1.5+N25*2+O25*3+N(K25))</f>
        <v/>
      </c>
      <c r="Q25" s="11" t="n"/>
      <c r="R25" s="12">
        <f>Q25-P25</f>
        <v/>
      </c>
    </row>
    <row r="26">
      <c r="A26" s="11" t="inlineStr">
        <is>
          <t>1455</t>
        </is>
      </c>
      <c r="B26" s="11" t="inlineStr"/>
      <c r="C26" s="11" t="inlineStr">
        <is>
          <t>CAST 3-RMDRIVER</t>
        </is>
      </c>
      <c r="D26" s="11" t="inlineStr">
        <is>
          <t>Local399</t>
        </is>
      </c>
      <c r="E26" s="12" t="n">
        <v>32.36</v>
      </c>
      <c r="F26" s="11" t="n"/>
      <c r="G26" s="11" t="n"/>
      <c r="H26" s="11" t="n"/>
      <c r="I26" s="11" t="n"/>
      <c r="J26" s="13">
        <f>IF(AND(N(F26)&gt;0,N(I26)&gt;0),I26-F26-IF(N(G26)&gt;0,0.5,0)-IF(N(H26)&gt;0,0.5,0),0)</f>
        <v/>
      </c>
      <c r="K26" s="11" t="n"/>
      <c r="L26" s="13">
        <f>MIN(J26,8.0)</f>
        <v/>
      </c>
      <c r="M26" s="13">
        <f>MAX(0,MIN(J26,12)-8.0)</f>
        <v/>
      </c>
      <c r="N26" s="13">
        <f>MAX(0,J26-12)</f>
        <v/>
      </c>
      <c r="O26" s="11" t="n"/>
      <c r="P26" s="12">
        <f>E26*(L26+M26*1.5+N26*2+O26*3+N(K26))</f>
        <v/>
      </c>
      <c r="Q26" s="12" t="n">
        <v>501.58</v>
      </c>
      <c r="R26" s="12">
        <f>Q26-P26</f>
        <v/>
      </c>
    </row>
    <row r="27">
      <c r="A27" s="11" t="inlineStr">
        <is>
          <t>1455</t>
        </is>
      </c>
      <c r="B27" s="11" t="inlineStr"/>
      <c r="C27" s="11" t="inlineStr">
        <is>
          <t>CAST MINIV AND RIVER</t>
        </is>
      </c>
      <c r="D27" s="11" t="inlineStr">
        <is>
          <t>Local399</t>
        </is>
      </c>
      <c r="E27" s="12" t="n">
        <v>32.36</v>
      </c>
      <c r="F27" s="11" t="n"/>
      <c r="G27" s="11" t="n"/>
      <c r="H27" s="11" t="n"/>
      <c r="I27" s="11" t="n"/>
      <c r="J27" s="13">
        <f>IF(AND(N(F27)&gt;0,N(I27)&gt;0),I27-F27-IF(N(G27)&gt;0,0.5,0)-IF(N(H27)&gt;0,0.5,0),0)</f>
        <v/>
      </c>
      <c r="K27" s="11" t="n"/>
      <c r="L27" s="13">
        <f>MIN(J27,8.0)</f>
        <v/>
      </c>
      <c r="M27" s="13">
        <f>MAX(0,MIN(J27,12)-8.0)</f>
        <v/>
      </c>
      <c r="N27" s="13">
        <f>MAX(0,J27-12)</f>
        <v/>
      </c>
      <c r="O27" s="11" t="n"/>
      <c r="P27" s="12">
        <f>E27*(L27+M27*1.5+N27*2+O27*3+N(K27))</f>
        <v/>
      </c>
      <c r="Q27" s="12" t="n">
        <v>501.58</v>
      </c>
      <c r="R27" s="12">
        <f>Q27-P27</f>
        <v/>
      </c>
    </row>
    <row r="28">
      <c r="C28" s="5" t="inlineStr">
        <is>
          <t>CAST LABOR</t>
        </is>
      </c>
      <c r="P28" s="14">
        <f>SUM(P6:P27)</f>
        <v/>
      </c>
      <c r="Q28" s="14">
        <f>SUM(Q6:Q27)</f>
        <v/>
      </c>
      <c r="R28" s="14">
        <f>SUM(R6:R27)</f>
        <v/>
      </c>
    </row>
    <row r="29">
      <c r="C29" s="5" t="inlineStr">
        <is>
          <t>CAST FRINGE</t>
        </is>
      </c>
      <c r="E29" s="15" t="n">
        <v>0.3842</v>
      </c>
      <c r="P29" s="14">
        <f>P28*0.3842</f>
        <v/>
      </c>
      <c r="Q29" s="14">
        <f>Q28*0.3842</f>
        <v/>
      </c>
      <c r="R29" s="14">
        <f>R28*0.3842</f>
        <v/>
      </c>
    </row>
    <row r="31">
      <c r="B31" s="5" t="inlineStr">
        <is>
          <t>PRODUCTION STAFF</t>
        </is>
      </c>
    </row>
    <row r="32">
      <c r="A32" s="11" t="inlineStr">
        <is>
          <t>2001</t>
        </is>
      </c>
      <c r="B32" s="11" t="inlineStr">
        <is>
          <t>Carrie Morrow</t>
        </is>
      </c>
      <c r="C32" s="11" t="inlineStr">
        <is>
          <t>UPM</t>
        </is>
      </c>
      <c r="D32" s="11" t="inlineStr">
        <is>
          <t>DGA</t>
        </is>
      </c>
      <c r="E32" s="12" t="n">
        <v>1063.6</v>
      </c>
      <c r="F32" s="11" t="n"/>
      <c r="G32" s="11" t="n"/>
      <c r="H32" s="11" t="n"/>
      <c r="I32" s="11" t="n"/>
      <c r="J32" s="13">
        <f>IF(AND(N(F32)&gt;0,N(I32)&gt;0),I32-F32-IF(N(G32)&gt;0,0.5,0)-IF(N(H32)&gt;0,0.5,0),0)</f>
        <v/>
      </c>
      <c r="K32" s="11" t="n"/>
      <c r="L32" s="13">
        <f>MIN(J32,8.0)</f>
        <v/>
      </c>
      <c r="M32" s="13">
        <f>MAX(0,MIN(J32,12)-8.0)</f>
        <v/>
      </c>
      <c r="N32" s="13">
        <f>MAX(0,J32-12)</f>
        <v/>
      </c>
      <c r="O32" s="11" t="n"/>
      <c r="P32" s="12">
        <f>E32*(L32+M32*1.5+N32*2+O32*3+N(K32))</f>
        <v/>
      </c>
      <c r="Q32" s="12" t="n">
        <v>1063.6</v>
      </c>
      <c r="R32" s="12">
        <f>Q32-P32</f>
        <v/>
      </c>
    </row>
    <row r="33">
      <c r="A33" s="11" t="inlineStr">
        <is>
          <t>2002</t>
        </is>
      </c>
      <c r="B33" s="11" t="inlineStr">
        <is>
          <t>James Moran</t>
        </is>
      </c>
      <c r="C33" s="11" t="inlineStr">
        <is>
          <t>1STASST DIRECTOR</t>
        </is>
      </c>
      <c r="D33" s="11" t="inlineStr">
        <is>
          <t>DGA</t>
        </is>
      </c>
      <c r="E33" s="12" t="n">
        <v>985.6</v>
      </c>
      <c r="F33" s="11" t="n"/>
      <c r="G33" s="11" t="n"/>
      <c r="H33" s="11" t="n"/>
      <c r="I33" s="11" t="n"/>
      <c r="J33" s="13">
        <f>IF(AND(N(F33)&gt;0,N(I33)&gt;0),I33-F33-IF(N(G33)&gt;0,0.5,0)-IF(N(H33)&gt;0,0.5,0),0)</f>
        <v/>
      </c>
      <c r="K33" s="11" t="n"/>
      <c r="L33" s="13">
        <f>MIN(J33,8.0)</f>
        <v/>
      </c>
      <c r="M33" s="13">
        <f>MAX(0,MIN(J33,12)-8.0)</f>
        <v/>
      </c>
      <c r="N33" s="13">
        <f>MAX(0,J33-12)</f>
        <v/>
      </c>
      <c r="O33" s="11" t="n"/>
      <c r="P33" s="12">
        <f>E33*(L33+M33*1.5+N33*2+O33*3+N(K33))</f>
        <v/>
      </c>
      <c r="Q33" s="12" t="n">
        <v>985.6</v>
      </c>
      <c r="R33" s="12">
        <f>Q33-P33</f>
        <v/>
      </c>
    </row>
    <row r="34">
      <c r="A34" s="11" t="inlineStr">
        <is>
          <t>2003</t>
        </is>
      </c>
      <c r="B34" s="11" t="inlineStr">
        <is>
          <t>Mark Newland</t>
        </is>
      </c>
      <c r="C34" s="11" t="inlineStr">
        <is>
          <t>KEY 2NDA. D.</t>
        </is>
      </c>
      <c r="D34" s="11" t="inlineStr">
        <is>
          <t>DGA</t>
        </is>
      </c>
      <c r="E34" s="12" t="n">
        <v>674.6</v>
      </c>
      <c r="F34" s="11" t="n"/>
      <c r="G34" s="11" t="n"/>
      <c r="H34" s="11" t="n"/>
      <c r="I34" s="11" t="n"/>
      <c r="J34" s="13">
        <f>IF(AND(N(F34)&gt;0,N(I34)&gt;0),I34-F34-IF(N(G34)&gt;0,0.5,0)-IF(N(H34)&gt;0,0.5,0),0)</f>
        <v/>
      </c>
      <c r="K34" s="11" t="n"/>
      <c r="L34" s="13">
        <f>MIN(J34,8.0)</f>
        <v/>
      </c>
      <c r="M34" s="13">
        <f>MAX(0,MIN(J34,12)-8.0)</f>
        <v/>
      </c>
      <c r="N34" s="13">
        <f>MAX(0,J34-12)</f>
        <v/>
      </c>
      <c r="O34" s="11" t="n"/>
      <c r="P34" s="12">
        <f>E34*(L34+M34*1.5+N34*2+O34*3+N(K34))</f>
        <v/>
      </c>
      <c r="Q34" s="12" t="n">
        <v>674.6</v>
      </c>
      <c r="R34" s="12">
        <f>Q34-P34</f>
        <v/>
      </c>
    </row>
    <row r="35">
      <c r="A35" s="11" t="inlineStr">
        <is>
          <t>2003</t>
        </is>
      </c>
      <c r="B35" s="11" t="inlineStr"/>
      <c r="C35" s="11" t="inlineStr">
        <is>
          <t>2ND 2NDA. D.</t>
        </is>
      </c>
      <c r="D35" s="11" t="inlineStr">
        <is>
          <t>DGA</t>
        </is>
      </c>
      <c r="E35" s="12" t="n">
        <v>526</v>
      </c>
      <c r="F35" s="11" t="n"/>
      <c r="G35" s="11" t="n"/>
      <c r="H35" s="11" t="n"/>
      <c r="I35" s="11" t="n"/>
      <c r="J35" s="13">
        <f>IF(AND(N(F35)&gt;0,N(I35)&gt;0),I35-F35-IF(N(G35)&gt;0,0.5,0)-IF(N(H35)&gt;0,0.5,0),0)</f>
        <v/>
      </c>
      <c r="K35" s="11" t="n"/>
      <c r="L35" s="13">
        <f>MIN(J35,8.0)</f>
        <v/>
      </c>
      <c r="M35" s="13">
        <f>MAX(0,MIN(J35,12)-8.0)</f>
        <v/>
      </c>
      <c r="N35" s="13">
        <f>MAX(0,J35-12)</f>
        <v/>
      </c>
      <c r="O35" s="11" t="n"/>
      <c r="P35" s="12">
        <f>E35*(L35+M35*1.5+N35*2+O35*3+N(K35))</f>
        <v/>
      </c>
      <c r="Q35" s="12" t="n">
        <v>526</v>
      </c>
      <c r="R35" s="12">
        <f>Q35-P35</f>
        <v/>
      </c>
    </row>
    <row r="36">
      <c r="A36" s="11" t="inlineStr">
        <is>
          <t>2005</t>
        </is>
      </c>
      <c r="B36" s="11" t="inlineStr">
        <is>
          <t>Renata Amador</t>
        </is>
      </c>
      <c r="C36" s="11" t="inlineStr">
        <is>
          <t>SCRIPT SUPERVISOR</t>
        </is>
      </c>
      <c r="D36" s="11" t="inlineStr">
        <is>
          <t>Local871</t>
        </is>
      </c>
      <c r="E36" s="12" t="n">
        <v>25.5</v>
      </c>
      <c r="F36" s="11" t="n"/>
      <c r="G36" s="11" t="n"/>
      <c r="H36" s="11" t="n"/>
      <c r="I36" s="11" t="n"/>
      <c r="J36" s="13">
        <f>IF(AND(N(F36)&gt;0,N(I36)&gt;0),I36-F36-IF(N(G36)&gt;0,0.5,0)-IF(N(H36)&gt;0,0.5,0),0)</f>
        <v/>
      </c>
      <c r="K36" s="11" t="n"/>
      <c r="L36" s="13">
        <f>MIN(J36,10.0)</f>
        <v/>
      </c>
      <c r="M36" s="13">
        <f>MAX(0,MIN(J36,12)-10.0)</f>
        <v/>
      </c>
      <c r="N36" s="13">
        <f>MAX(0,J36-12)</f>
        <v/>
      </c>
      <c r="O36" s="11" t="n"/>
      <c r="P36" s="12">
        <f>E36*(L36+M36*1.5+N36*2+O36*3+N(K36))</f>
        <v/>
      </c>
      <c r="Q36" s="12" t="n">
        <v>439.87</v>
      </c>
      <c r="R36" s="12">
        <f>Q36-P36</f>
        <v/>
      </c>
    </row>
    <row r="37">
      <c r="A37" s="11" t="inlineStr">
        <is>
          <t>2007</t>
        </is>
      </c>
      <c r="B37" s="11" t="inlineStr">
        <is>
          <t>Stacey Brashear-Rodriquez</t>
        </is>
      </c>
      <c r="C37" s="11" t="inlineStr">
        <is>
          <t>LOCATION MANAGER</t>
        </is>
      </c>
      <c r="D37" s="11" t="inlineStr">
        <is>
          <t>Local399</t>
        </is>
      </c>
      <c r="E37" s="12" t="n">
        <v>557.6</v>
      </c>
      <c r="F37" s="11" t="n"/>
      <c r="G37" s="11" t="n"/>
      <c r="H37" s="11" t="n"/>
      <c r="I37" s="11" t="n"/>
      <c r="J37" s="13">
        <f>IF(AND(N(F37)&gt;0,N(I37)&gt;0),I37-F37-IF(N(G37)&gt;0,0.5,0)-IF(N(H37)&gt;0,0.5,0),0)</f>
        <v/>
      </c>
      <c r="K37" s="11" t="n"/>
      <c r="L37" s="13">
        <f>MIN(J37,8.0)</f>
        <v/>
      </c>
      <c r="M37" s="13">
        <f>MAX(0,MIN(J37,12)-8.0)</f>
        <v/>
      </c>
      <c r="N37" s="13">
        <f>MAX(0,J37-12)</f>
        <v/>
      </c>
      <c r="O37" s="11" t="n"/>
      <c r="P37" s="12">
        <f>E37*(L37+M37*1.5+N37*2+O37*3+N(K37))</f>
        <v/>
      </c>
      <c r="Q37" s="12" t="n">
        <v>557.6</v>
      </c>
      <c r="R37" s="12">
        <f>Q37-P37</f>
        <v/>
      </c>
    </row>
    <row r="38">
      <c r="A38" s="11" t="inlineStr">
        <is>
          <t>2008</t>
        </is>
      </c>
      <c r="B38" s="11" t="inlineStr">
        <is>
          <t>Rich Heichel</t>
        </is>
      </c>
      <c r="C38" s="11" t="inlineStr">
        <is>
          <t>KEYASST LOCATION MGR#1</t>
        </is>
      </c>
      <c r="D38" s="11" t="inlineStr">
        <is>
          <t>Local399</t>
        </is>
      </c>
      <c r="E38" s="12" t="n">
        <v>334.2</v>
      </c>
      <c r="F38" s="11" t="n"/>
      <c r="G38" s="11" t="n"/>
      <c r="H38" s="11" t="n"/>
      <c r="I38" s="11" t="n"/>
      <c r="J38" s="13">
        <f>IF(AND(N(F38)&gt;0,N(I38)&gt;0),I38-F38-IF(N(G38)&gt;0,0.5,0)-IF(N(H38)&gt;0,0.5,0),0)</f>
        <v/>
      </c>
      <c r="K38" s="11" t="n"/>
      <c r="L38" s="13">
        <f>MIN(J38,8.0)</f>
        <v/>
      </c>
      <c r="M38" s="13">
        <f>MAX(0,MIN(J38,12)-8.0)</f>
        <v/>
      </c>
      <c r="N38" s="13">
        <f>MAX(0,J38-12)</f>
        <v/>
      </c>
      <c r="O38" s="11" t="n"/>
      <c r="P38" s="12">
        <f>E38*(L38+M38*1.5+N38*2+O38*3+N(K38))</f>
        <v/>
      </c>
      <c r="Q38" s="12" t="n">
        <v>334.2</v>
      </c>
      <c r="R38" s="12">
        <f>Q38-P38</f>
        <v/>
      </c>
    </row>
    <row r="39">
      <c r="A39" s="11" t="inlineStr">
        <is>
          <t>2008</t>
        </is>
      </c>
      <c r="B39" s="11" t="inlineStr">
        <is>
          <t>Jason Mc Cauley</t>
        </is>
      </c>
      <c r="C39" s="11" t="inlineStr">
        <is>
          <t>LOCATION ASST</t>
        </is>
      </c>
      <c r="D39" s="11" t="inlineStr">
        <is>
          <t>Local399</t>
        </is>
      </c>
      <c r="E39" s="12" t="n">
        <v>229</v>
      </c>
      <c r="F39" s="11" t="n"/>
      <c r="G39" s="11" t="n"/>
      <c r="H39" s="11" t="n"/>
      <c r="I39" s="11" t="n"/>
      <c r="J39" s="13">
        <f>IF(AND(N(F39)&gt;0,N(I39)&gt;0),I39-F39-IF(N(G39)&gt;0,0.5,0)-IF(N(H39)&gt;0,0.5,0),0)</f>
        <v/>
      </c>
      <c r="K39" s="11" t="n"/>
      <c r="L39" s="13">
        <f>MIN(J39,8.0)</f>
        <v/>
      </c>
      <c r="M39" s="13">
        <f>MAX(0,MIN(J39,12)-8.0)</f>
        <v/>
      </c>
      <c r="N39" s="13">
        <f>MAX(0,J39-12)</f>
        <v/>
      </c>
      <c r="O39" s="11" t="n"/>
      <c r="P39" s="12">
        <f>E39*(L39+M39*1.5+N39*2+O39*3+N(K39))</f>
        <v/>
      </c>
      <c r="Q39" s="12" t="n">
        <v>229</v>
      </c>
      <c r="R39" s="12">
        <f>Q39-P39</f>
        <v/>
      </c>
    </row>
    <row r="40">
      <c r="A40" s="11" t="inlineStr">
        <is>
          <t>2009</t>
        </is>
      </c>
      <c r="B40" s="11" t="inlineStr">
        <is>
          <t>Ali Griffith</t>
        </is>
      </c>
      <c r="C40" s="11" t="inlineStr">
        <is>
          <t>PRODUCTION OFCCOORD</t>
        </is>
      </c>
      <c r="D40" s="11" t="inlineStr"/>
      <c r="E40" s="12" t="n">
        <v>360</v>
      </c>
      <c r="F40" s="11" t="n"/>
      <c r="G40" s="11" t="n"/>
      <c r="H40" s="11" t="n"/>
      <c r="I40" s="11" t="n"/>
      <c r="J40" s="13">
        <f>IF(AND(N(F40)&gt;0,N(I40)&gt;0),I40-F40-IF(N(G40)&gt;0,0.5,0)-IF(N(H40)&gt;0,0.5,0),0)</f>
        <v/>
      </c>
      <c r="K40" s="11" t="n"/>
      <c r="L40" s="13">
        <f>MIN(J40,8.0)</f>
        <v/>
      </c>
      <c r="M40" s="13">
        <f>MAX(0,MIN(J40,12)-8.0)</f>
        <v/>
      </c>
      <c r="N40" s="13">
        <f>MAX(0,J40-12)</f>
        <v/>
      </c>
      <c r="O40" s="11" t="n"/>
      <c r="P40" s="12">
        <f>E40*(L40+M40*1.5+N40*2+O40*3+N(K40))</f>
        <v/>
      </c>
      <c r="Q40" s="12" t="n">
        <v>360</v>
      </c>
      <c r="R40" s="12">
        <f>Q40-P40</f>
        <v/>
      </c>
    </row>
    <row r="41">
      <c r="A41" s="11" t="inlineStr">
        <is>
          <t>2010</t>
        </is>
      </c>
      <c r="B41" s="11" t="inlineStr">
        <is>
          <t>Holly Dellocono</t>
        </is>
      </c>
      <c r="C41" s="11" t="inlineStr">
        <is>
          <t>APOC</t>
        </is>
      </c>
      <c r="D41" s="11" t="inlineStr">
        <is>
          <t>Local871</t>
        </is>
      </c>
      <c r="E41" s="12" t="n">
        <v>20.57</v>
      </c>
      <c r="F41" s="11" t="n"/>
      <c r="G41" s="11" t="n"/>
      <c r="H41" s="11" t="n"/>
      <c r="I41" s="11" t="n"/>
      <c r="J41" s="13">
        <f>IF(AND(N(F41)&gt;0,N(I41)&gt;0),I41-F41-IF(N(G41)&gt;0,0.5,0)-IF(N(H41)&gt;0,0.5,0),0)</f>
        <v/>
      </c>
      <c r="K41" s="11" t="n"/>
      <c r="L41" s="13">
        <f>MIN(J41,10.0)</f>
        <v/>
      </c>
      <c r="M41" s="13">
        <f>MAX(0,MIN(J41,12)-10.0)</f>
        <v/>
      </c>
      <c r="N41" s="13">
        <f>MAX(0,J41-12)</f>
        <v/>
      </c>
      <c r="O41" s="11" t="n"/>
      <c r="P41" s="12">
        <f>E41*(L41+M41*1.5+N41*2+O41*3+N(K41))</f>
        <v/>
      </c>
      <c r="Q41" s="12" t="n">
        <v>287.98</v>
      </c>
      <c r="R41" s="12">
        <f>Q41-P41</f>
        <v/>
      </c>
    </row>
    <row r="42">
      <c r="A42" s="11" t="inlineStr">
        <is>
          <t>2011</t>
        </is>
      </c>
      <c r="B42" s="11" t="inlineStr">
        <is>
          <t>John Humber</t>
        </is>
      </c>
      <c r="C42" s="11" t="inlineStr">
        <is>
          <t>OFFICEPA#1</t>
        </is>
      </c>
      <c r="D42" s="11" t="inlineStr"/>
      <c r="E42" s="12" t="n">
        <v>22.5</v>
      </c>
      <c r="F42" s="11" t="n"/>
      <c r="G42" s="11" t="n"/>
      <c r="H42" s="11" t="n"/>
      <c r="I42" s="11" t="n"/>
      <c r="J42" s="13">
        <f>IF(AND(N(F42)&gt;0,N(I42)&gt;0),I42-F42-IF(N(G42)&gt;0,0.5,0)-IF(N(H42)&gt;0,0.5,0),0)</f>
        <v/>
      </c>
      <c r="K42" s="11" t="n"/>
      <c r="L42" s="13">
        <f>MIN(J42,8.0)</f>
        <v/>
      </c>
      <c r="M42" s="13">
        <f>MAX(0,MIN(J42,12)-8.0)</f>
        <v/>
      </c>
      <c r="N42" s="13">
        <f>MAX(0,J42-12)</f>
        <v/>
      </c>
      <c r="O42" s="11" t="n"/>
      <c r="P42" s="12">
        <f>E42*(L42+M42*1.5+N42*2+O42*3+N(K42))</f>
        <v/>
      </c>
      <c r="Q42" s="12" t="n">
        <v>168</v>
      </c>
      <c r="R42" s="12">
        <f>Q42-P42</f>
        <v/>
      </c>
    </row>
    <row r="43">
      <c r="A43" s="11" t="inlineStr">
        <is>
          <t>2011</t>
        </is>
      </c>
      <c r="B43" s="11" t="inlineStr">
        <is>
          <t>Sarah Semenas</t>
        </is>
      </c>
      <c r="C43" s="11" t="inlineStr">
        <is>
          <t>OFFICEPA#2</t>
        </is>
      </c>
      <c r="D43" s="11" t="inlineStr"/>
      <c r="E43" s="12" t="n">
        <v>22.5</v>
      </c>
      <c r="F43" s="11" t="n"/>
      <c r="G43" s="11" t="n"/>
      <c r="H43" s="11" t="n"/>
      <c r="I43" s="11" t="n"/>
      <c r="J43" s="13">
        <f>IF(AND(N(F43)&gt;0,N(I43)&gt;0),I43-F43-IF(N(G43)&gt;0,0.5,0)-IF(N(H43)&gt;0,0.5,0),0)</f>
        <v/>
      </c>
      <c r="K43" s="11" t="n"/>
      <c r="L43" s="13">
        <f>MIN(J43,8.0)</f>
        <v/>
      </c>
      <c r="M43" s="13">
        <f>MAX(0,MIN(J43,12)-8.0)</f>
        <v/>
      </c>
      <c r="N43" s="13">
        <f>MAX(0,J43-12)</f>
        <v/>
      </c>
      <c r="O43" s="11" t="n"/>
      <c r="P43" s="12">
        <f>E43*(L43+M43*1.5+N43*2+O43*3+N(K43))</f>
        <v/>
      </c>
      <c r="Q43" s="12" t="n">
        <v>168</v>
      </c>
      <c r="R43" s="12">
        <f>Q43-P43</f>
        <v/>
      </c>
    </row>
    <row r="44">
      <c r="A44" s="11" t="inlineStr">
        <is>
          <t>2012</t>
        </is>
      </c>
      <c r="B44" s="11" t="inlineStr">
        <is>
          <t>Paula Henry</t>
        </is>
      </c>
      <c r="C44" s="11" t="inlineStr">
        <is>
          <t>KEY SET PA</t>
        </is>
      </c>
      <c r="D44" s="11" t="inlineStr"/>
      <c r="E44" s="12" t="n">
        <v>12</v>
      </c>
      <c r="F44" s="11" t="n"/>
      <c r="G44" s="11" t="n"/>
      <c r="H44" s="11" t="n"/>
      <c r="I44" s="11" t="n"/>
      <c r="J44" s="13">
        <f>IF(AND(N(F44)&gt;0,N(I44)&gt;0),I44-F44-IF(N(G44)&gt;0,0.5,0)-IF(N(H44)&gt;0,0.5,0),0)</f>
        <v/>
      </c>
      <c r="K44" s="11" t="n"/>
      <c r="L44" s="13">
        <f>MIN(J44,8.0)</f>
        <v/>
      </c>
      <c r="M44" s="13">
        <f>MAX(0,MIN(J44,12)-8.0)</f>
        <v/>
      </c>
      <c r="N44" s="13">
        <f>MAX(0,J44-12)</f>
        <v/>
      </c>
      <c r="O44" s="11" t="n"/>
      <c r="P44" s="12">
        <f>E44*(L44+M44*1.5+N44*2+O44*3+N(K44))</f>
        <v/>
      </c>
      <c r="Q44" s="12" t="n">
        <v>216</v>
      </c>
      <c r="R44" s="12">
        <f>Q44-P44</f>
        <v/>
      </c>
    </row>
    <row r="45">
      <c r="A45" s="11" t="inlineStr">
        <is>
          <t>2012</t>
        </is>
      </c>
      <c r="B45" s="11" t="inlineStr"/>
      <c r="C45" s="11" t="inlineStr">
        <is>
          <t>SETPA#2</t>
        </is>
      </c>
      <c r="D45" s="11" t="inlineStr"/>
      <c r="E45" s="12" t="n">
        <v>12</v>
      </c>
      <c r="F45" s="11" t="n"/>
      <c r="G45" s="11" t="n"/>
      <c r="H45" s="11" t="n"/>
      <c r="I45" s="11" t="n"/>
      <c r="J45" s="13">
        <f>IF(AND(N(F45)&gt;0,N(I45)&gt;0),I45-F45-IF(N(G45)&gt;0,0.5,0)-IF(N(H45)&gt;0,0.5,0),0)</f>
        <v/>
      </c>
      <c r="K45" s="11" t="n"/>
      <c r="L45" s="13">
        <f>MIN(J45,8.0)</f>
        <v/>
      </c>
      <c r="M45" s="13">
        <f>MAX(0,MIN(J45,12)-8.0)</f>
        <v/>
      </c>
      <c r="N45" s="13">
        <f>MAX(0,J45-12)</f>
        <v/>
      </c>
      <c r="O45" s="11" t="n"/>
      <c r="P45" s="12">
        <f>E45*(L45+M45*1.5+N45*2+O45*3+N(K45))</f>
        <v/>
      </c>
      <c r="Q45" s="12" t="n">
        <v>216</v>
      </c>
      <c r="R45" s="12">
        <f>Q45-P45</f>
        <v/>
      </c>
    </row>
    <row r="46">
      <c r="A46" s="11" t="inlineStr">
        <is>
          <t>2012</t>
        </is>
      </c>
      <c r="B46" s="11" t="inlineStr"/>
      <c r="C46" s="11" t="inlineStr">
        <is>
          <t>SETPA#3</t>
        </is>
      </c>
      <c r="D46" s="11" t="inlineStr"/>
      <c r="E46" s="12" t="n">
        <v>12</v>
      </c>
      <c r="F46" s="11" t="n"/>
      <c r="G46" s="11" t="n"/>
      <c r="H46" s="11" t="n"/>
      <c r="I46" s="11" t="n"/>
      <c r="J46" s="13">
        <f>IF(AND(N(F46)&gt;0,N(I46)&gt;0),I46-F46-IF(N(G46)&gt;0,0.5,0)-IF(N(H46)&gt;0,0.5,0),0)</f>
        <v/>
      </c>
      <c r="K46" s="11" t="n"/>
      <c r="L46" s="13">
        <f>MIN(J46,8.0)</f>
        <v/>
      </c>
      <c r="M46" s="13">
        <f>MAX(0,MIN(J46,12)-8.0)</f>
        <v/>
      </c>
      <c r="N46" s="13">
        <f>MAX(0,J46-12)</f>
        <v/>
      </c>
      <c r="O46" s="11" t="n"/>
      <c r="P46" s="12">
        <f>E46*(L46+M46*1.5+N46*2+O46*3+N(K46))</f>
        <v/>
      </c>
      <c r="Q46" s="12" t="n">
        <v>216</v>
      </c>
      <c r="R46" s="12">
        <f>Q46-P46</f>
        <v/>
      </c>
    </row>
    <row r="47">
      <c r="A47" s="11" t="inlineStr">
        <is>
          <t>2012</t>
        </is>
      </c>
      <c r="B47" s="11" t="inlineStr"/>
      <c r="C47" s="11" t="inlineStr">
        <is>
          <t>SETPA#4</t>
        </is>
      </c>
      <c r="D47" s="11" t="inlineStr"/>
      <c r="E47" s="12" t="n">
        <v>12</v>
      </c>
      <c r="F47" s="11" t="n"/>
      <c r="G47" s="11" t="n"/>
      <c r="H47" s="11" t="n"/>
      <c r="I47" s="11" t="n"/>
      <c r="J47" s="13">
        <f>IF(AND(N(F47)&gt;0,N(I47)&gt;0),I47-F47-IF(N(G47)&gt;0,0.5,0)-IF(N(H47)&gt;0,0.5,0),0)</f>
        <v/>
      </c>
      <c r="K47" s="11" t="n"/>
      <c r="L47" s="13">
        <f>MIN(J47,8.0)</f>
        <v/>
      </c>
      <c r="M47" s="13">
        <f>MAX(0,MIN(J47,12)-8.0)</f>
        <v/>
      </c>
      <c r="N47" s="13">
        <f>MAX(0,J47-12)</f>
        <v/>
      </c>
      <c r="O47" s="11" t="n"/>
      <c r="P47" s="12">
        <f>E47*(L47+M47*1.5+N47*2+O47*3+N(K47))</f>
        <v/>
      </c>
      <c r="Q47" s="12" t="n">
        <v>216</v>
      </c>
      <c r="R47" s="12">
        <f>Q47-P47</f>
        <v/>
      </c>
    </row>
    <row r="48">
      <c r="A48" s="11" t="inlineStr">
        <is>
          <t>2013</t>
        </is>
      </c>
      <c r="B48" s="11" t="inlineStr">
        <is>
          <t>Joel Tokarsky</t>
        </is>
      </c>
      <c r="C48" s="11" t="inlineStr">
        <is>
          <t>PRODUCTION ACCOUNTANT</t>
        </is>
      </c>
      <c r="D48" s="11" t="inlineStr">
        <is>
          <t>Local871</t>
        </is>
      </c>
      <c r="E48" s="12" t="n">
        <v>740</v>
      </c>
      <c r="F48" s="11" t="n"/>
      <c r="G48" s="11" t="n"/>
      <c r="H48" s="11" t="n"/>
      <c r="I48" s="11" t="n"/>
      <c r="J48" s="13">
        <f>IF(AND(N(F48)&gt;0,N(I48)&gt;0),I48-F48-IF(N(G48)&gt;0,0.5,0)-IF(N(H48)&gt;0,0.5,0),0)</f>
        <v/>
      </c>
      <c r="K48" s="11" t="n"/>
      <c r="L48" s="13">
        <f>MIN(J48,10.0)</f>
        <v/>
      </c>
      <c r="M48" s="13">
        <f>MAX(0,MIN(J48,12)-10.0)</f>
        <v/>
      </c>
      <c r="N48" s="13">
        <f>MAX(0,J48-12)</f>
        <v/>
      </c>
      <c r="O48" s="11" t="n"/>
      <c r="P48" s="12">
        <f>E48*(L48+M48*1.5+N48*2+O48*3+N(K48))</f>
        <v/>
      </c>
      <c r="Q48" s="12" t="n">
        <v>740</v>
      </c>
      <c r="R48" s="12">
        <f>Q48-P48</f>
        <v/>
      </c>
    </row>
    <row r="49">
      <c r="A49" s="11" t="inlineStr">
        <is>
          <t>2014</t>
        </is>
      </c>
      <c r="B49" s="11" t="inlineStr">
        <is>
          <t>Co-Co Aiello</t>
        </is>
      </c>
      <c r="C49" s="11" t="inlineStr">
        <is>
          <t>1STASSTACCT</t>
        </is>
      </c>
      <c r="D49" s="11" t="inlineStr">
        <is>
          <t>Local871</t>
        </is>
      </c>
      <c r="E49" s="12" t="n">
        <v>480</v>
      </c>
      <c r="F49" s="11" t="n"/>
      <c r="G49" s="11" t="n"/>
      <c r="H49" s="11" t="n"/>
      <c r="I49" s="11" t="n"/>
      <c r="J49" s="13">
        <f>IF(AND(N(F49)&gt;0,N(I49)&gt;0),I49-F49-IF(N(G49)&gt;0,0.5,0)-IF(N(H49)&gt;0,0.5,0),0)</f>
        <v/>
      </c>
      <c r="K49" s="11" t="n"/>
      <c r="L49" s="13">
        <f>MIN(J49,10.0)</f>
        <v/>
      </c>
      <c r="M49" s="13">
        <f>MAX(0,MIN(J49,12)-10.0)</f>
        <v/>
      </c>
      <c r="N49" s="13">
        <f>MAX(0,J49-12)</f>
        <v/>
      </c>
      <c r="O49" s="11" t="n"/>
      <c r="P49" s="12">
        <f>E49*(L49+M49*1.5+N49*2+O49*3+N(K49))</f>
        <v/>
      </c>
      <c r="Q49" s="12" t="n">
        <v>480</v>
      </c>
      <c r="R49" s="12">
        <f>Q49-P49</f>
        <v/>
      </c>
    </row>
    <row r="50">
      <c r="A50" s="11" t="inlineStr">
        <is>
          <t>2014</t>
        </is>
      </c>
      <c r="B50" s="11" t="inlineStr">
        <is>
          <t>Steve Goldstein</t>
        </is>
      </c>
      <c r="C50" s="11" t="inlineStr">
        <is>
          <t>PAYROLLACCT</t>
        </is>
      </c>
      <c r="D50" s="11" t="inlineStr">
        <is>
          <t>Local871</t>
        </is>
      </c>
      <c r="E50" s="12" t="n">
        <v>420</v>
      </c>
      <c r="F50" s="11" t="n"/>
      <c r="G50" s="11" t="n"/>
      <c r="H50" s="11" t="n"/>
      <c r="I50" s="11" t="n"/>
      <c r="J50" s="13">
        <f>IF(AND(N(F50)&gt;0,N(I50)&gt;0),I50-F50-IF(N(G50)&gt;0,0.5,0)-IF(N(H50)&gt;0,0.5,0),0)</f>
        <v/>
      </c>
      <c r="K50" s="11" t="n"/>
      <c r="L50" s="13">
        <f>MIN(J50,10.0)</f>
        <v/>
      </c>
      <c r="M50" s="13">
        <f>MAX(0,MIN(J50,12)-10.0)</f>
        <v/>
      </c>
      <c r="N50" s="13">
        <f>MAX(0,J50-12)</f>
        <v/>
      </c>
      <c r="O50" s="11" t="n"/>
      <c r="P50" s="12">
        <f>E50*(L50+M50*1.5+N50*2+O50*3+N(K50))</f>
        <v/>
      </c>
      <c r="Q50" s="12" t="n">
        <v>420</v>
      </c>
      <c r="R50" s="12">
        <f>Q50-P50</f>
        <v/>
      </c>
    </row>
    <row r="51">
      <c r="C51" s="5" t="inlineStr">
        <is>
          <t>PRODUCTION STAFF LABOR</t>
        </is>
      </c>
      <c r="P51" s="14">
        <f>SUM(P32:P50)</f>
        <v/>
      </c>
      <c r="Q51" s="14">
        <f>SUM(Q32:Q50)</f>
        <v/>
      </c>
      <c r="R51" s="14">
        <f>SUM(R32:R50)</f>
        <v/>
      </c>
    </row>
    <row r="52">
      <c r="C52" s="5" t="inlineStr">
        <is>
          <t>PRODUCTION STAFF FRINGE</t>
        </is>
      </c>
      <c r="E52" s="15" t="n">
        <v>0.3921</v>
      </c>
      <c r="P52" s="14">
        <f>P51*0.3921</f>
        <v/>
      </c>
      <c r="Q52" s="14">
        <f>Q51*0.3921</f>
        <v/>
      </c>
      <c r="R52" s="14">
        <f>R51*0.3921</f>
        <v/>
      </c>
    </row>
    <row r="54">
      <c r="B54" s="5" t="inlineStr">
        <is>
          <t>SET CONSTRUCTION</t>
        </is>
      </c>
    </row>
    <row r="55">
      <c r="A55" s="11" t="inlineStr">
        <is>
          <t>2302</t>
        </is>
      </c>
      <c r="B55" s="11" t="inlineStr">
        <is>
          <t>Drew Rebelin</t>
        </is>
      </c>
      <c r="C55" s="11" t="inlineStr">
        <is>
          <t>CONST COORDINATOR</t>
        </is>
      </c>
      <c r="D55" s="11" t="inlineStr">
        <is>
          <t>Local44</t>
        </is>
      </c>
      <c r="E55" s="12" t="n">
        <v>400</v>
      </c>
      <c r="F55" s="11" t="n"/>
      <c r="G55" s="11" t="n"/>
      <c r="H55" s="11" t="n"/>
      <c r="I55" s="11" t="n"/>
      <c r="J55" s="13">
        <f>IF(AND(N(F55)&gt;0,N(I55)&gt;0),I55-F55-IF(N(G55)&gt;0,0.5,0)-IF(N(H55)&gt;0,0.5,0),0)</f>
        <v/>
      </c>
      <c r="K55" s="11" t="n"/>
      <c r="L55" s="13">
        <f>MIN(J55,10.0)</f>
        <v/>
      </c>
      <c r="M55" s="13">
        <f>MAX(0,MIN(J55,12)-10.0)</f>
        <v/>
      </c>
      <c r="N55" s="13">
        <f>MAX(0,J55-12)</f>
        <v/>
      </c>
      <c r="O55" s="11" t="n"/>
      <c r="P55" s="12">
        <f>E55*(L55+M55*1.5+N55*2+O55*3+N(K55))</f>
        <v/>
      </c>
      <c r="Q55" s="11" t="n"/>
      <c r="R55" s="12">
        <f>Q55-P55</f>
        <v/>
      </c>
    </row>
    <row r="56">
      <c r="A56" s="11" t="inlineStr">
        <is>
          <t>2304</t>
        </is>
      </c>
      <c r="B56" s="11" t="inlineStr">
        <is>
          <t>Kristeen Reimnitz</t>
        </is>
      </c>
      <c r="C56" s="11" t="inlineStr">
        <is>
          <t>PAINTER</t>
        </is>
      </c>
      <c r="D56" s="11" t="inlineStr">
        <is>
          <t>Local729</t>
        </is>
      </c>
      <c r="E56" s="12" t="n">
        <v>23.04</v>
      </c>
      <c r="F56" s="11" t="n"/>
      <c r="G56" s="11" t="n"/>
      <c r="H56" s="11" t="n"/>
      <c r="I56" s="11" t="n"/>
      <c r="J56" s="13">
        <f>IF(AND(N(F56)&gt;0,N(I56)&gt;0),I56-F56-IF(N(G56)&gt;0,0.5,0)-IF(N(H56)&gt;0,0.5,0),0)</f>
        <v/>
      </c>
      <c r="K56" s="11" t="n"/>
      <c r="L56" s="13">
        <f>MIN(J56,10.0)</f>
        <v/>
      </c>
      <c r="M56" s="13">
        <f>MAX(0,MIN(J56,12)-10.0)</f>
        <v/>
      </c>
      <c r="N56" s="13">
        <f>MAX(0,J56-12)</f>
        <v/>
      </c>
      <c r="O56" s="11" t="n"/>
      <c r="P56" s="12">
        <f>E56*(L56+M56*1.5+N56*2+O56*3+N(K56))</f>
        <v/>
      </c>
      <c r="Q56" s="11" t="n"/>
      <c r="R56" s="12">
        <f>Q56-P56</f>
        <v/>
      </c>
    </row>
    <row r="57">
      <c r="A57" s="11" t="inlineStr">
        <is>
          <t>2310</t>
        </is>
      </c>
      <c r="B57" s="11" t="inlineStr"/>
      <c r="C57" s="11" t="inlineStr">
        <is>
          <t>CONSTRUCTION MEDIC</t>
        </is>
      </c>
      <c r="D57" s="11" t="inlineStr">
        <is>
          <t>Local80</t>
        </is>
      </c>
      <c r="E57" s="12" t="n">
        <v>23.04</v>
      </c>
      <c r="F57" s="11" t="n"/>
      <c r="G57" s="11" t="n"/>
      <c r="H57" s="11" t="n"/>
      <c r="I57" s="11" t="n"/>
      <c r="J57" s="13">
        <f>IF(AND(N(F57)&gt;0,N(I57)&gt;0),I57-F57-IF(N(G57)&gt;0,0.5,0)-IF(N(H57)&gt;0,0.5,0),0)</f>
        <v/>
      </c>
      <c r="K57" s="11" t="n"/>
      <c r="L57" s="13">
        <f>MIN(J57,10.0)</f>
        <v/>
      </c>
      <c r="M57" s="13">
        <f>MAX(0,MIN(J57,12)-10.0)</f>
        <v/>
      </c>
      <c r="N57" s="13">
        <f>MAX(0,J57-12)</f>
        <v/>
      </c>
      <c r="O57" s="11" t="n"/>
      <c r="P57" s="12">
        <f>E57*(L57+M57*1.5+N57*2+O57*3+N(K57))</f>
        <v/>
      </c>
      <c r="Q57" s="11" t="n"/>
      <c r="R57" s="12">
        <f>Q57-P57</f>
        <v/>
      </c>
    </row>
    <row r="58">
      <c r="C58" s="5" t="inlineStr">
        <is>
          <t>SET CONSTRUCTION LABOR</t>
        </is>
      </c>
      <c r="P58" s="14">
        <f>SUM(P55:P57)</f>
        <v/>
      </c>
      <c r="Q58" s="14">
        <f>SUM(Q55:Q57)</f>
        <v/>
      </c>
      <c r="R58" s="14">
        <f>SUM(R55:R57)</f>
        <v/>
      </c>
    </row>
    <row r="59">
      <c r="C59" s="5" t="inlineStr">
        <is>
          <t>SET CONSTRUCTION FRINGE</t>
        </is>
      </c>
      <c r="E59" s="15" t="n">
        <v>0.4322</v>
      </c>
      <c r="P59" s="14">
        <f>P58*0.4322</f>
        <v/>
      </c>
      <c r="Q59" s="14">
        <f>Q58*0.4322</f>
        <v/>
      </c>
      <c r="R59" s="14">
        <f>R58*0.4322</f>
        <v/>
      </c>
    </row>
    <row r="61">
      <c r="B61" s="5" t="inlineStr">
        <is>
          <t>SET OPERATIONS</t>
        </is>
      </c>
    </row>
    <row r="62">
      <c r="A62" s="11" t="inlineStr">
        <is>
          <t>2501</t>
        </is>
      </c>
      <c r="B62" s="11" t="inlineStr">
        <is>
          <t>Pat O'Mara</t>
        </is>
      </c>
      <c r="C62" s="11" t="inlineStr">
        <is>
          <t>KEY GRIP</t>
        </is>
      </c>
      <c r="D62" s="11" t="inlineStr">
        <is>
          <t>Local80</t>
        </is>
      </c>
      <c r="E62" s="12" t="n">
        <v>25.5</v>
      </c>
      <c r="F62" s="11" t="n"/>
      <c r="G62" s="11" t="n"/>
      <c r="H62" s="11" t="n"/>
      <c r="I62" s="11" t="n"/>
      <c r="J62" s="13">
        <f>IF(AND(N(F62)&gt;0,N(I62)&gt;0),I62-F62-IF(N(G62)&gt;0,0.5,0)-IF(N(H62)&gt;0,0.5,0),0)</f>
        <v/>
      </c>
      <c r="K62" s="11" t="n"/>
      <c r="L62" s="13">
        <f>MIN(J62,10.0)</f>
        <v/>
      </c>
      <c r="M62" s="13">
        <f>MAX(0,MIN(J62,12)-10.0)</f>
        <v/>
      </c>
      <c r="N62" s="13">
        <f>MAX(0,J62-12)</f>
        <v/>
      </c>
      <c r="O62" s="11" t="n"/>
      <c r="P62" s="12">
        <f>E62*(L62+M62*1.5+N62*2+O62*3+N(K62))</f>
        <v/>
      </c>
      <c r="Q62" s="12" t="n">
        <v>395.25</v>
      </c>
      <c r="R62" s="12">
        <f>Q62-P62</f>
        <v/>
      </c>
    </row>
    <row r="63">
      <c r="A63" s="11" t="inlineStr">
        <is>
          <t>2502</t>
        </is>
      </c>
      <c r="B63" s="11" t="inlineStr">
        <is>
          <t>Aaron Fairley</t>
        </is>
      </c>
      <c r="C63" s="11" t="inlineStr">
        <is>
          <t>BESTBOY GRIP</t>
        </is>
      </c>
      <c r="D63" s="11" t="inlineStr">
        <is>
          <t>Local80</t>
        </is>
      </c>
      <c r="E63" s="12" t="n">
        <v>23.04</v>
      </c>
      <c r="F63" s="11" t="n"/>
      <c r="G63" s="11" t="n"/>
      <c r="H63" s="11" t="n"/>
      <c r="I63" s="11" t="n"/>
      <c r="J63" s="13">
        <f>IF(AND(N(F63)&gt;0,N(I63)&gt;0),I63-F63-IF(N(G63)&gt;0,0.5,0)-IF(N(H63)&gt;0,0.5,0),0)</f>
        <v/>
      </c>
      <c r="K63" s="11" t="n"/>
      <c r="L63" s="13">
        <f>MIN(J63,10.0)</f>
        <v/>
      </c>
      <c r="M63" s="13">
        <f>MAX(0,MIN(J63,12)-10.0)</f>
        <v/>
      </c>
      <c r="N63" s="13">
        <f>MAX(0,J63-12)</f>
        <v/>
      </c>
      <c r="O63" s="11" t="n"/>
      <c r="P63" s="12">
        <f>E63*(L63+M63*1.5+N63*2+O63*3+N(K63))</f>
        <v/>
      </c>
      <c r="Q63" s="12" t="n">
        <v>357.12</v>
      </c>
      <c r="R63" s="12">
        <f>Q63-P63</f>
        <v/>
      </c>
    </row>
    <row r="64">
      <c r="A64" s="11" t="inlineStr">
        <is>
          <t>2502</t>
        </is>
      </c>
      <c r="B64" s="11" t="inlineStr"/>
      <c r="C64" s="11" t="inlineStr">
        <is>
          <t>STUDIO BESTBOY GRIP</t>
        </is>
      </c>
      <c r="D64" s="11" t="inlineStr">
        <is>
          <t>Local80</t>
        </is>
      </c>
      <c r="E64" s="12" t="n">
        <v>43.05</v>
      </c>
      <c r="F64" s="11" t="n"/>
      <c r="G64" s="11" t="n"/>
      <c r="H64" s="11" t="n"/>
      <c r="I64" s="11" t="n"/>
      <c r="J64" s="13">
        <f>IF(AND(N(F64)&gt;0,N(I64)&gt;0),I64-F64-IF(N(G64)&gt;0,0.5,0)-IF(N(H64)&gt;0,0.5,0),0)</f>
        <v/>
      </c>
      <c r="K64" s="11" t="n"/>
      <c r="L64" s="13">
        <f>MIN(J64,10.0)</f>
        <v/>
      </c>
      <c r="M64" s="13">
        <f>MAX(0,MIN(J64,12)-10.0)</f>
        <v/>
      </c>
      <c r="N64" s="13">
        <f>MAX(0,J64-12)</f>
        <v/>
      </c>
      <c r="O64" s="11" t="n"/>
      <c r="P64" s="12">
        <f>E64*(L64+M64*1.5+N64*2+O64*3+N(K64))</f>
        <v/>
      </c>
      <c r="Q64" s="12" t="n">
        <v>667.27</v>
      </c>
      <c r="R64" s="12">
        <f>Q64-P64</f>
        <v/>
      </c>
    </row>
    <row r="65">
      <c r="A65" s="11" t="inlineStr">
        <is>
          <t>2503</t>
        </is>
      </c>
      <c r="B65" s="11" t="inlineStr">
        <is>
          <t>Peter Weidenfeller</t>
        </is>
      </c>
      <c r="C65" s="11" t="inlineStr">
        <is>
          <t>"A"DOLLY GRIP</t>
        </is>
      </c>
      <c r="D65" s="11" t="inlineStr">
        <is>
          <t>Local80</t>
        </is>
      </c>
      <c r="E65" s="12" t="n">
        <v>23.04</v>
      </c>
      <c r="F65" s="11" t="n"/>
      <c r="G65" s="11" t="n"/>
      <c r="H65" s="11" t="n"/>
      <c r="I65" s="11" t="n"/>
      <c r="J65" s="13">
        <f>IF(AND(N(F65)&gt;0,N(I65)&gt;0),I65-F65-IF(N(G65)&gt;0,0.5,0)-IF(N(H65)&gt;0,0.5,0),0)</f>
        <v/>
      </c>
      <c r="K65" s="11" t="n"/>
      <c r="L65" s="13">
        <f>MIN(J65,10.0)</f>
        <v/>
      </c>
      <c r="M65" s="13">
        <f>MAX(0,MIN(J65,12)-10.0)</f>
        <v/>
      </c>
      <c r="N65" s="13">
        <f>MAX(0,J65-12)</f>
        <v/>
      </c>
      <c r="O65" s="11" t="n"/>
      <c r="P65" s="12">
        <f>E65*(L65+M65*1.5+N65*2+O65*3+N(K65))</f>
        <v/>
      </c>
      <c r="Q65" s="12" t="n">
        <v>357.12</v>
      </c>
      <c r="R65" s="12">
        <f>Q65-P65</f>
        <v/>
      </c>
    </row>
    <row r="66">
      <c r="A66" s="11" t="inlineStr">
        <is>
          <t>2504</t>
        </is>
      </c>
      <c r="B66" s="11" t="inlineStr"/>
      <c r="C66" s="11" t="inlineStr">
        <is>
          <t>CRANEOPERATOR</t>
        </is>
      </c>
      <c r="D66" s="11" t="inlineStr">
        <is>
          <t>Local80</t>
        </is>
      </c>
      <c r="E66" s="12" t="n">
        <v>792</v>
      </c>
      <c r="F66" s="11" t="n"/>
      <c r="G66" s="11" t="n"/>
      <c r="H66" s="11" t="n"/>
      <c r="I66" s="11" t="n"/>
      <c r="J66" s="13">
        <f>IF(AND(N(F66)&gt;0,N(I66)&gt;0),I66-F66-IF(N(G66)&gt;0,0.5,0)-IF(N(H66)&gt;0,0.5,0),0)</f>
        <v/>
      </c>
      <c r="K66" s="11" t="n"/>
      <c r="L66" s="13">
        <f>MIN(J66,10.0)</f>
        <v/>
      </c>
      <c r="M66" s="13">
        <f>MAX(0,MIN(J66,12)-10.0)</f>
        <v/>
      </c>
      <c r="N66" s="13">
        <f>MAX(0,J66-12)</f>
        <v/>
      </c>
      <c r="O66" s="11" t="n"/>
      <c r="P66" s="12">
        <f>E66*(L66+M66*1.5+N66*2+O66*3+N(K66))</f>
        <v/>
      </c>
      <c r="Q66" s="12" t="n">
        <v>924</v>
      </c>
      <c r="R66" s="12">
        <f>Q66-P66</f>
        <v/>
      </c>
    </row>
    <row r="67">
      <c r="A67" s="11" t="inlineStr">
        <is>
          <t>2504</t>
        </is>
      </c>
      <c r="B67" s="11" t="inlineStr"/>
      <c r="C67" s="11" t="inlineStr">
        <is>
          <t>CRANE ASSISTANT</t>
        </is>
      </c>
      <c r="D67" s="11" t="inlineStr">
        <is>
          <t>Local80</t>
        </is>
      </c>
      <c r="E67" s="12" t="n">
        <v>660</v>
      </c>
      <c r="F67" s="11" t="n"/>
      <c r="G67" s="11" t="n"/>
      <c r="H67" s="11" t="n"/>
      <c r="I67" s="11" t="n"/>
      <c r="J67" s="13">
        <f>IF(AND(N(F67)&gt;0,N(I67)&gt;0),I67-F67-IF(N(G67)&gt;0,0.5,0)-IF(N(H67)&gt;0,0.5,0),0)</f>
        <v/>
      </c>
      <c r="K67" s="11" t="n"/>
      <c r="L67" s="13">
        <f>MIN(J67,10.0)</f>
        <v/>
      </c>
      <c r="M67" s="13">
        <f>MAX(0,MIN(J67,12)-10.0)</f>
        <v/>
      </c>
      <c r="N67" s="13">
        <f>MAX(0,J67-12)</f>
        <v/>
      </c>
      <c r="O67" s="11" t="n"/>
      <c r="P67" s="12">
        <f>E67*(L67+M67*1.5+N67*2+O67*3+N(K67))</f>
        <v/>
      </c>
      <c r="Q67" s="12" t="n">
        <v>770</v>
      </c>
      <c r="R67" s="12">
        <f>Q67-P67</f>
        <v/>
      </c>
    </row>
    <row r="68">
      <c r="A68" s="11" t="inlineStr">
        <is>
          <t>2505</t>
        </is>
      </c>
      <c r="B68" s="11" t="inlineStr"/>
      <c r="C68" s="11" t="inlineStr">
        <is>
          <t>GRIP#1</t>
        </is>
      </c>
      <c r="D68" s="11" t="inlineStr">
        <is>
          <t>Local80</t>
        </is>
      </c>
      <c r="E68" s="12" t="n">
        <v>20.57</v>
      </c>
      <c r="F68" s="11" t="n"/>
      <c r="G68" s="11" t="n"/>
      <c r="H68" s="11" t="n"/>
      <c r="I68" s="11" t="n"/>
      <c r="J68" s="13">
        <f>IF(AND(N(F68)&gt;0,N(I68)&gt;0),I68-F68-IF(N(G68)&gt;0,0.5,0)-IF(N(H68)&gt;0,0.5,0),0)</f>
        <v/>
      </c>
      <c r="K68" s="11" t="n"/>
      <c r="L68" s="13">
        <f>MIN(J68,10.0)</f>
        <v/>
      </c>
      <c r="M68" s="13">
        <f>MAX(0,MIN(J68,12)-10.0)</f>
        <v/>
      </c>
      <c r="N68" s="13">
        <f>MAX(0,J68-12)</f>
        <v/>
      </c>
      <c r="O68" s="11" t="n"/>
      <c r="P68" s="12">
        <f>E68*(L68+M68*1.5+N68*2+O68*3+N(K68))</f>
        <v/>
      </c>
      <c r="Q68" s="12" t="n">
        <v>318.83</v>
      </c>
      <c r="R68" s="12">
        <f>Q68-P68</f>
        <v/>
      </c>
    </row>
    <row r="69">
      <c r="A69" s="11" t="inlineStr">
        <is>
          <t>2505</t>
        </is>
      </c>
      <c r="B69" s="11" t="inlineStr"/>
      <c r="C69" s="11" t="inlineStr">
        <is>
          <t>GRIP#2</t>
        </is>
      </c>
      <c r="D69" s="11" t="inlineStr">
        <is>
          <t>Local80</t>
        </is>
      </c>
      <c r="E69" s="12" t="n">
        <v>20.57</v>
      </c>
      <c r="F69" s="11" t="n"/>
      <c r="G69" s="11" t="n"/>
      <c r="H69" s="11" t="n"/>
      <c r="I69" s="11" t="n"/>
      <c r="J69" s="13">
        <f>IF(AND(N(F69)&gt;0,N(I69)&gt;0),I69-F69-IF(N(G69)&gt;0,0.5,0)-IF(N(H69)&gt;0,0.5,0),0)</f>
        <v/>
      </c>
      <c r="K69" s="11" t="n"/>
      <c r="L69" s="13">
        <f>MIN(J69,10.0)</f>
        <v/>
      </c>
      <c r="M69" s="13">
        <f>MAX(0,MIN(J69,12)-10.0)</f>
        <v/>
      </c>
      <c r="N69" s="13">
        <f>MAX(0,J69-12)</f>
        <v/>
      </c>
      <c r="O69" s="11" t="n"/>
      <c r="P69" s="12">
        <f>E69*(L69+M69*1.5+N69*2+O69*3+N(K69))</f>
        <v/>
      </c>
      <c r="Q69" s="12" t="n">
        <v>318.83</v>
      </c>
      <c r="R69" s="12">
        <f>Q69-P69</f>
        <v/>
      </c>
    </row>
    <row r="70">
      <c r="A70" s="11" t="inlineStr">
        <is>
          <t>2505</t>
        </is>
      </c>
      <c r="B70" s="11" t="inlineStr"/>
      <c r="C70" s="11" t="inlineStr">
        <is>
          <t>GRIP#3</t>
        </is>
      </c>
      <c r="D70" s="11" t="inlineStr">
        <is>
          <t>Local80</t>
        </is>
      </c>
      <c r="E70" s="12" t="n">
        <v>20.57</v>
      </c>
      <c r="F70" s="11" t="n"/>
      <c r="G70" s="11" t="n"/>
      <c r="H70" s="11" t="n"/>
      <c r="I70" s="11" t="n"/>
      <c r="J70" s="13">
        <f>IF(AND(N(F70)&gt;0,N(I70)&gt;0),I70-F70-IF(N(G70)&gt;0,0.5,0)-IF(N(H70)&gt;0,0.5,0),0)</f>
        <v/>
      </c>
      <c r="K70" s="11" t="n"/>
      <c r="L70" s="13">
        <f>MIN(J70,10.0)</f>
        <v/>
      </c>
      <c r="M70" s="13">
        <f>MAX(0,MIN(J70,12)-10.0)</f>
        <v/>
      </c>
      <c r="N70" s="13">
        <f>MAX(0,J70-12)</f>
        <v/>
      </c>
      <c r="O70" s="11" t="n"/>
      <c r="P70" s="12">
        <f>E70*(L70+M70*1.5+N70*2+O70*3+N(K70))</f>
        <v/>
      </c>
      <c r="Q70" s="12" t="n">
        <v>318.83</v>
      </c>
      <c r="R70" s="12">
        <f>Q70-P70</f>
        <v/>
      </c>
    </row>
    <row r="71">
      <c r="A71" s="11" t="inlineStr">
        <is>
          <t>2506</t>
        </is>
      </c>
      <c r="B71" s="11" t="inlineStr"/>
      <c r="C71" s="11" t="inlineStr">
        <is>
          <t>GRIP M AND AYS&amp;RIGGINGM AND AYS</t>
        </is>
      </c>
      <c r="D71" s="11" t="inlineStr">
        <is>
          <t>Local80</t>
        </is>
      </c>
      <c r="E71" s="12" t="n">
        <v>20.57</v>
      </c>
      <c r="F71" s="11" t="n"/>
      <c r="G71" s="11" t="n"/>
      <c r="H71" s="11" t="n"/>
      <c r="I71" s="11" t="n"/>
      <c r="J71" s="13">
        <f>IF(AND(N(F71)&gt;0,N(I71)&gt;0),I71-F71-IF(N(G71)&gt;0,0.5,0)-IF(N(H71)&gt;0,0.5,0),0)</f>
        <v/>
      </c>
      <c r="K71" s="11" t="n"/>
      <c r="L71" s="13">
        <f>MIN(J71,10.0)</f>
        <v/>
      </c>
      <c r="M71" s="13">
        <f>MAX(0,MIN(J71,12)-10.0)</f>
        <v/>
      </c>
      <c r="N71" s="13">
        <f>MAX(0,J71-12)</f>
        <v/>
      </c>
      <c r="O71" s="11" t="n"/>
      <c r="P71" s="12">
        <f>E71*(L71+M71*1.5+N71*2+O71*3+N(K71))</f>
        <v/>
      </c>
      <c r="Q71" s="12" t="n">
        <v>318.83</v>
      </c>
      <c r="R71" s="12">
        <f>Q71-P71</f>
        <v/>
      </c>
    </row>
    <row r="72">
      <c r="A72" s="11" t="inlineStr">
        <is>
          <t>2510</t>
        </is>
      </c>
      <c r="B72" s="11" t="inlineStr"/>
      <c r="C72" s="11" t="inlineStr">
        <is>
          <t>LAYOUTBOARD</t>
        </is>
      </c>
      <c r="D72" s="11" t="inlineStr">
        <is>
          <t>Local729</t>
        </is>
      </c>
      <c r="E72" s="12" t="n">
        <v>25.5</v>
      </c>
      <c r="F72" s="11" t="n"/>
      <c r="G72" s="11" t="n"/>
      <c r="H72" s="11" t="n"/>
      <c r="I72" s="11" t="n"/>
      <c r="J72" s="13">
        <f>IF(AND(N(F72)&gt;0,N(I72)&gt;0),I72-F72-IF(N(G72)&gt;0,0.5,0)-IF(N(H72)&gt;0,0.5,0),0)</f>
        <v/>
      </c>
      <c r="K72" s="11" t="n"/>
      <c r="L72" s="13">
        <f>MIN(J72,10.0)</f>
        <v/>
      </c>
      <c r="M72" s="13">
        <f>MAX(0,MIN(J72,12)-10.0)</f>
        <v/>
      </c>
      <c r="N72" s="13">
        <f>MAX(0,J72-12)</f>
        <v/>
      </c>
      <c r="O72" s="11" t="n"/>
      <c r="P72" s="12">
        <f>E72*(L72+M72*1.5+N72*2+O72*3+N(K72))</f>
        <v/>
      </c>
      <c r="Q72" s="12" t="n">
        <v>395.25</v>
      </c>
      <c r="R72" s="12">
        <f>Q72-P72</f>
        <v/>
      </c>
    </row>
    <row r="73">
      <c r="A73" s="11" t="inlineStr">
        <is>
          <t>2511</t>
        </is>
      </c>
      <c r="B73" s="11" t="inlineStr">
        <is>
          <t>Maurico Solis</t>
        </is>
      </c>
      <c r="C73" s="11" t="inlineStr">
        <is>
          <t>KEYCRAFTSERVICE</t>
        </is>
      </c>
      <c r="D73" s="11" t="inlineStr">
        <is>
          <t>Local80</t>
        </is>
      </c>
      <c r="E73" s="12" t="n">
        <v>25.5</v>
      </c>
      <c r="F73" s="11" t="n"/>
      <c r="G73" s="11" t="n"/>
      <c r="H73" s="11" t="n"/>
      <c r="I73" s="11" t="n"/>
      <c r="J73" s="13">
        <f>IF(AND(N(F73)&gt;0,N(I73)&gt;0),I73-F73-IF(N(G73)&gt;0,0.5,0)-IF(N(H73)&gt;0,0.5,0),0)</f>
        <v/>
      </c>
      <c r="K73" s="11" t="n"/>
      <c r="L73" s="13">
        <f>MIN(J73,10.0)</f>
        <v/>
      </c>
      <c r="M73" s="13">
        <f>MAX(0,MIN(J73,12)-10.0)</f>
        <v/>
      </c>
      <c r="N73" s="13">
        <f>MAX(0,J73-12)</f>
        <v/>
      </c>
      <c r="O73" s="11" t="n"/>
      <c r="P73" s="12">
        <f>E73*(L73+M73*1.5+N73*2+O73*3+N(K73))</f>
        <v/>
      </c>
      <c r="Q73" s="12" t="n">
        <v>439.87</v>
      </c>
      <c r="R73" s="12">
        <f>Q73-P73</f>
        <v/>
      </c>
    </row>
    <row r="74">
      <c r="A74" s="11" t="inlineStr">
        <is>
          <t>2511</t>
        </is>
      </c>
      <c r="B74" s="11" t="inlineStr"/>
      <c r="C74" s="11" t="inlineStr">
        <is>
          <t>ASSTCRAFTSERVICE</t>
        </is>
      </c>
      <c r="D74" s="11" t="inlineStr">
        <is>
          <t>Local80</t>
        </is>
      </c>
      <c r="E74" s="12" t="n">
        <v>23.04</v>
      </c>
      <c r="F74" s="11" t="n"/>
      <c r="G74" s="11" t="n"/>
      <c r="H74" s="11" t="n"/>
      <c r="I74" s="11" t="n"/>
      <c r="J74" s="13">
        <f>IF(AND(N(F74)&gt;0,N(I74)&gt;0),I74-F74-IF(N(G74)&gt;0,0.5,0)-IF(N(H74)&gt;0,0.5,0),0)</f>
        <v/>
      </c>
      <c r="K74" s="11" t="n"/>
      <c r="L74" s="13">
        <f>MIN(J74,10.0)</f>
        <v/>
      </c>
      <c r="M74" s="13">
        <f>MAX(0,MIN(J74,12)-10.0)</f>
        <v/>
      </c>
      <c r="N74" s="13">
        <f>MAX(0,J74-12)</f>
        <v/>
      </c>
      <c r="O74" s="11" t="n"/>
      <c r="P74" s="12">
        <f>E74*(L74+M74*1.5+N74*2+O74*3+N(K74))</f>
        <v/>
      </c>
      <c r="Q74" s="12" t="n">
        <v>397.43</v>
      </c>
      <c r="R74" s="12">
        <f>Q74-P74</f>
        <v/>
      </c>
    </row>
    <row r="75">
      <c r="A75" s="11" t="inlineStr">
        <is>
          <t>2514</t>
        </is>
      </c>
      <c r="B75" s="11" t="inlineStr">
        <is>
          <t>Robert Hill</t>
        </is>
      </c>
      <c r="C75" s="11" t="inlineStr">
        <is>
          <t>SET MEDIC</t>
        </is>
      </c>
      <c r="D75" s="11" t="inlineStr">
        <is>
          <t>Local80</t>
        </is>
      </c>
      <c r="E75" s="12" t="n">
        <v>23.04</v>
      </c>
      <c r="F75" s="11" t="n"/>
      <c r="G75" s="11" t="n"/>
      <c r="H75" s="11" t="n"/>
      <c r="I75" s="11" t="n"/>
      <c r="J75" s="13">
        <f>IF(AND(N(F75)&gt;0,N(I75)&gt;0),I75-F75-IF(N(G75)&gt;0,0.5,0)-IF(N(H75)&gt;0,0.5,0),0)</f>
        <v/>
      </c>
      <c r="K75" s="11" t="n"/>
      <c r="L75" s="13">
        <f>MIN(J75,10.0)</f>
        <v/>
      </c>
      <c r="M75" s="13">
        <f>MAX(0,MIN(J75,12)-10.0)</f>
        <v/>
      </c>
      <c r="N75" s="13">
        <f>MAX(0,J75-12)</f>
        <v/>
      </c>
      <c r="O75" s="11" t="n"/>
      <c r="P75" s="12">
        <f>E75*(L75+M75*1.5+N75*2+O75*3+N(K75))</f>
        <v/>
      </c>
      <c r="Q75" s="12" t="n">
        <v>397.43</v>
      </c>
      <c r="R75" s="12">
        <f>Q75-P75</f>
        <v/>
      </c>
    </row>
    <row r="76">
      <c r="A76" s="11" t="inlineStr">
        <is>
          <t>2514</t>
        </is>
      </c>
      <c r="B76" s="11" t="inlineStr"/>
      <c r="C76" s="11" t="inlineStr">
        <is>
          <t>RIGGINGMEDICM AND AYS</t>
        </is>
      </c>
      <c r="D76" s="11" t="inlineStr">
        <is>
          <t>Local80</t>
        </is>
      </c>
      <c r="E76" s="12" t="n">
        <v>23.04</v>
      </c>
      <c r="F76" s="11" t="n"/>
      <c r="G76" s="11" t="n"/>
      <c r="H76" s="11" t="n"/>
      <c r="I76" s="11" t="n"/>
      <c r="J76" s="13">
        <f>IF(AND(N(F76)&gt;0,N(I76)&gt;0),I76-F76-IF(N(G76)&gt;0,0.5,0)-IF(N(H76)&gt;0,0.5,0),0)</f>
        <v/>
      </c>
      <c r="K76" s="11" t="n"/>
      <c r="L76" s="13">
        <f>MIN(J76,10.0)</f>
        <v/>
      </c>
      <c r="M76" s="13">
        <f>MAX(0,MIN(J76,12)-10.0)</f>
        <v/>
      </c>
      <c r="N76" s="13">
        <f>MAX(0,J76-12)</f>
        <v/>
      </c>
      <c r="O76" s="11" t="n"/>
      <c r="P76" s="12">
        <f>E76*(L76+M76*1.5+N76*2+O76*3+N(K76))</f>
        <v/>
      </c>
      <c r="Q76" s="11" t="n"/>
      <c r="R76" s="12">
        <f>Q76-P76</f>
        <v/>
      </c>
    </row>
    <row r="77">
      <c r="C77" s="5" t="inlineStr">
        <is>
          <t>SET OPERATIONS LABOR</t>
        </is>
      </c>
      <c r="P77" s="14">
        <f>SUM(P62:P76)</f>
        <v/>
      </c>
      <c r="Q77" s="14">
        <f>SUM(Q62:Q76)</f>
        <v/>
      </c>
      <c r="R77" s="14">
        <f>SUM(R62:R76)</f>
        <v/>
      </c>
    </row>
    <row r="78">
      <c r="C78" s="5" t="inlineStr">
        <is>
          <t>SET OPERATIONS FRINGE</t>
        </is>
      </c>
      <c r="E78" s="15" t="n">
        <v>0.5173</v>
      </c>
      <c r="P78" s="14">
        <f>P77*0.5173</f>
        <v/>
      </c>
      <c r="Q78" s="14">
        <f>Q77*0.5173</f>
        <v/>
      </c>
      <c r="R78" s="14">
        <f>R77*0.5173</f>
        <v/>
      </c>
    </row>
    <row r="80">
      <c r="B80" s="5" t="inlineStr">
        <is>
          <t>SPECIAL EFFECTS</t>
        </is>
      </c>
    </row>
    <row r="81">
      <c r="A81" s="11" t="inlineStr">
        <is>
          <t>2601</t>
        </is>
      </c>
      <c r="B81" s="11" t="inlineStr">
        <is>
          <t>Zak Knight</t>
        </is>
      </c>
      <c r="C81" s="11" t="inlineStr">
        <is>
          <t>SPFX COORDINATOR</t>
        </is>
      </c>
      <c r="D81" s="11" t="inlineStr">
        <is>
          <t>Local44</t>
        </is>
      </c>
      <c r="E81" s="12" t="n">
        <v>42</v>
      </c>
      <c r="F81" s="11" t="n"/>
      <c r="G81" s="11" t="n"/>
      <c r="H81" s="11" t="n"/>
      <c r="I81" s="11" t="n"/>
      <c r="J81" s="13">
        <f>IF(AND(N(F81)&gt;0,N(I81)&gt;0),I81-F81-IF(N(G81)&gt;0,0.5,0)-IF(N(H81)&gt;0,0.5,0),0)</f>
        <v/>
      </c>
      <c r="K81" s="11" t="n"/>
      <c r="L81" s="13">
        <f>MIN(J81,10.0)</f>
        <v/>
      </c>
      <c r="M81" s="13">
        <f>MAX(0,MIN(J81,12)-10.0)</f>
        <v/>
      </c>
      <c r="N81" s="13">
        <f>MAX(0,J81-12)</f>
        <v/>
      </c>
      <c r="O81" s="11" t="n"/>
      <c r="P81" s="12">
        <f>E81*(L81+M81*1.5+N81*2+O81*3+N(K81))</f>
        <v/>
      </c>
      <c r="Q81" s="12" t="n">
        <v>651</v>
      </c>
      <c r="R81" s="12">
        <f>Q81-P81</f>
        <v/>
      </c>
    </row>
    <row r="82">
      <c r="A82" s="11" t="inlineStr">
        <is>
          <t>2609</t>
        </is>
      </c>
      <c r="B82" s="11" t="inlineStr"/>
      <c r="C82" s="11" t="inlineStr">
        <is>
          <t>SPFXTECHM AND AYS</t>
        </is>
      </c>
      <c r="D82" s="11" t="inlineStr">
        <is>
          <t>Local44</t>
        </is>
      </c>
      <c r="E82" s="12" t="n">
        <v>40</v>
      </c>
      <c r="F82" s="11" t="n"/>
      <c r="G82" s="11" t="n"/>
      <c r="H82" s="11" t="n"/>
      <c r="I82" s="11" t="n"/>
      <c r="J82" s="13">
        <f>IF(AND(N(F82)&gt;0,N(I82)&gt;0),I82-F82-IF(N(G82)&gt;0,0.5,0)-IF(N(H82)&gt;0,0.5,0),0)</f>
        <v/>
      </c>
      <c r="K82" s="11" t="n"/>
      <c r="L82" s="13">
        <f>MIN(J82,10.0)</f>
        <v/>
      </c>
      <c r="M82" s="13">
        <f>MAX(0,MIN(J82,12)-10.0)</f>
        <v/>
      </c>
      <c r="N82" s="13">
        <f>MAX(0,J82-12)</f>
        <v/>
      </c>
      <c r="O82" s="11" t="n"/>
      <c r="P82" s="12">
        <f>E82*(L82+M82*1.5+N82*2+O82*3+N(K82))</f>
        <v/>
      </c>
      <c r="Q82" s="12" t="n">
        <v>620</v>
      </c>
      <c r="R82" s="12">
        <f>Q82-P82</f>
        <v/>
      </c>
    </row>
    <row r="83">
      <c r="A83" s="11" t="inlineStr">
        <is>
          <t>2609</t>
        </is>
      </c>
      <c r="B83" s="11" t="inlineStr"/>
      <c r="C83" s="11" t="inlineStr">
        <is>
          <t>SPFX ASSISTANT M AND AYS</t>
        </is>
      </c>
      <c r="D83" s="11" t="inlineStr">
        <is>
          <t>Local44</t>
        </is>
      </c>
      <c r="E83" s="12" t="n">
        <v>25.5</v>
      </c>
      <c r="F83" s="11" t="n"/>
      <c r="G83" s="11" t="n"/>
      <c r="H83" s="11" t="n"/>
      <c r="I83" s="11" t="n"/>
      <c r="J83" s="13">
        <f>IF(AND(N(F83)&gt;0,N(I83)&gt;0),I83-F83-IF(N(G83)&gt;0,0.5,0)-IF(N(H83)&gt;0,0.5,0),0)</f>
        <v/>
      </c>
      <c r="K83" s="11" t="n"/>
      <c r="L83" s="13">
        <f>MIN(J83,10.0)</f>
        <v/>
      </c>
      <c r="M83" s="13">
        <f>MAX(0,MIN(J83,12)-10.0)</f>
        <v/>
      </c>
      <c r="N83" s="13">
        <f>MAX(0,J83-12)</f>
        <v/>
      </c>
      <c r="O83" s="11" t="n"/>
      <c r="P83" s="12">
        <f>E83*(L83+M83*1.5+N83*2+O83*3+N(K83))</f>
        <v/>
      </c>
      <c r="Q83" s="12" t="n">
        <v>395.25</v>
      </c>
      <c r="R83" s="12">
        <f>Q83-P83</f>
        <v/>
      </c>
    </row>
    <row r="84">
      <c r="A84" s="11" t="inlineStr">
        <is>
          <t>2609</t>
        </is>
      </c>
      <c r="B84" s="11" t="inlineStr"/>
      <c r="C84" s="11" t="inlineStr">
        <is>
          <t>PYROM AND AYS</t>
        </is>
      </c>
      <c r="D84" s="11" t="inlineStr">
        <is>
          <t>Local44</t>
        </is>
      </c>
      <c r="E84" s="12" t="n">
        <v>68.18000000000001</v>
      </c>
      <c r="F84" s="11" t="n"/>
      <c r="G84" s="11" t="n"/>
      <c r="H84" s="11" t="n"/>
      <c r="I84" s="11" t="n"/>
      <c r="J84" s="13">
        <f>IF(AND(N(F84)&gt;0,N(I84)&gt;0),I84-F84-IF(N(G84)&gt;0,0.5,0)-IF(N(H84)&gt;0,0.5,0),0)</f>
        <v/>
      </c>
      <c r="K84" s="11" t="n"/>
      <c r="L84" s="13">
        <f>MIN(J84,10.0)</f>
        <v/>
      </c>
      <c r="M84" s="13">
        <f>MAX(0,MIN(J84,12)-10.0)</f>
        <v/>
      </c>
      <c r="N84" s="13">
        <f>MAX(0,J84-12)</f>
        <v/>
      </c>
      <c r="O84" s="11" t="n"/>
      <c r="P84" s="12">
        <f>E84*(L84+M84*1.5+N84*2+O84*3+N(K84))</f>
        <v/>
      </c>
      <c r="Q84" s="12" t="n">
        <v>749.98</v>
      </c>
      <c r="R84" s="12">
        <f>Q84-P84</f>
        <v/>
      </c>
    </row>
    <row r="85">
      <c r="C85" s="5" t="inlineStr">
        <is>
          <t>SPECIAL EFFECTS LABOR</t>
        </is>
      </c>
      <c r="P85" s="14">
        <f>SUM(P81:P84)</f>
        <v/>
      </c>
      <c r="Q85" s="14">
        <f>SUM(Q81:Q84)</f>
        <v/>
      </c>
      <c r="R85" s="14">
        <f>SUM(R81:R84)</f>
        <v/>
      </c>
    </row>
    <row r="86">
      <c r="C86" s="5" t="inlineStr">
        <is>
          <t>SPECIAL EFFECTS FRINGE</t>
        </is>
      </c>
      <c r="E86" s="15" t="n">
        <v>0.4939</v>
      </c>
      <c r="P86" s="14">
        <f>P85*0.4939</f>
        <v/>
      </c>
      <c r="Q86" s="14">
        <f>Q85*0.4939</f>
        <v/>
      </c>
      <c r="R86" s="14">
        <f>R85*0.4939</f>
        <v/>
      </c>
    </row>
    <row r="88">
      <c r="B88" s="5" t="inlineStr">
        <is>
          <t>SET DRESSING</t>
        </is>
      </c>
    </row>
    <row r="89">
      <c r="A89" s="11" t="inlineStr">
        <is>
          <t>2701</t>
        </is>
      </c>
      <c r="B89" s="11" t="inlineStr">
        <is>
          <t>Sandy Skora</t>
        </is>
      </c>
      <c r="C89" s="11" t="inlineStr">
        <is>
          <t>SET DECORATOR</t>
        </is>
      </c>
      <c r="D89" s="11" t="inlineStr">
        <is>
          <t>Local44</t>
        </is>
      </c>
      <c r="E89" s="12" t="n">
        <v>400</v>
      </c>
      <c r="F89" s="11" t="n"/>
      <c r="G89" s="11" t="n"/>
      <c r="H89" s="11" t="n"/>
      <c r="I89" s="11" t="n"/>
      <c r="J89" s="13">
        <f>IF(AND(N(F89)&gt;0,N(I89)&gt;0),I89-F89-IF(N(G89)&gt;0,0.5,0)-IF(N(H89)&gt;0,0.5,0),0)</f>
        <v/>
      </c>
      <c r="K89" s="11" t="n"/>
      <c r="L89" s="13">
        <f>MIN(J89,10.0)</f>
        <v/>
      </c>
      <c r="M89" s="13">
        <f>MAX(0,MIN(J89,12)-10.0)</f>
        <v/>
      </c>
      <c r="N89" s="13">
        <f>MAX(0,J89-12)</f>
        <v/>
      </c>
      <c r="O89" s="11" t="n"/>
      <c r="P89" s="12">
        <f>E89*(L89+M89*1.5+N89*2+O89*3+N(K89))</f>
        <v/>
      </c>
      <c r="Q89" s="12" t="n">
        <v>400</v>
      </c>
      <c r="R89" s="12">
        <f>Q89-P89</f>
        <v/>
      </c>
    </row>
    <row r="90">
      <c r="A90" s="11" t="inlineStr">
        <is>
          <t>2702</t>
        </is>
      </c>
      <c r="B90" s="11" t="inlineStr">
        <is>
          <t>Josh Richmond</t>
        </is>
      </c>
      <c r="C90" s="11" t="inlineStr">
        <is>
          <t>LEADPERSON</t>
        </is>
      </c>
      <c r="D90" s="11" t="inlineStr">
        <is>
          <t>Local44</t>
        </is>
      </c>
      <c r="E90" s="12" t="n">
        <v>23.04</v>
      </c>
      <c r="F90" s="11" t="n"/>
      <c r="G90" s="11" t="n"/>
      <c r="H90" s="11" t="n"/>
      <c r="I90" s="11" t="n"/>
      <c r="J90" s="13">
        <f>IF(AND(N(F90)&gt;0,N(I90)&gt;0),I90-F90-IF(N(G90)&gt;0,0.5,0)-IF(N(H90)&gt;0,0.5,0),0)</f>
        <v/>
      </c>
      <c r="K90" s="11" t="n"/>
      <c r="L90" s="13">
        <f>MIN(J90,10.0)</f>
        <v/>
      </c>
      <c r="M90" s="13">
        <f>MAX(0,MIN(J90,12)-10.0)</f>
        <v/>
      </c>
      <c r="N90" s="13">
        <f>MAX(0,J90-12)</f>
        <v/>
      </c>
      <c r="O90" s="11" t="n"/>
      <c r="P90" s="12">
        <f>E90*(L90+M90*1.5+N90*2+O90*3+N(K90))</f>
        <v/>
      </c>
      <c r="Q90" s="12" t="n">
        <v>322.56</v>
      </c>
      <c r="R90" s="12">
        <f>Q90-P90</f>
        <v/>
      </c>
    </row>
    <row r="91">
      <c r="A91" s="11" t="inlineStr">
        <is>
          <t>2703</t>
        </is>
      </c>
      <c r="B91" s="11" t="inlineStr">
        <is>
          <t>Tim Dodge</t>
        </is>
      </c>
      <c r="C91" s="11" t="inlineStr">
        <is>
          <t>SWING#1</t>
        </is>
      </c>
      <c r="D91" s="11" t="inlineStr">
        <is>
          <t>Local44</t>
        </is>
      </c>
      <c r="E91" s="12" t="n">
        <v>20.57</v>
      </c>
      <c r="F91" s="11" t="n"/>
      <c r="G91" s="11" t="n"/>
      <c r="H91" s="11" t="n"/>
      <c r="I91" s="11" t="n"/>
      <c r="J91" s="13">
        <f>IF(AND(N(F91)&gt;0,N(I91)&gt;0),I91-F91-IF(N(G91)&gt;0,0.5,0)-IF(N(H91)&gt;0,0.5,0),0)</f>
        <v/>
      </c>
      <c r="K91" s="11" t="n"/>
      <c r="L91" s="13">
        <f>MIN(J91,10.0)</f>
        <v/>
      </c>
      <c r="M91" s="13">
        <f>MAX(0,MIN(J91,12)-10.0)</f>
        <v/>
      </c>
      <c r="N91" s="13">
        <f>MAX(0,J91-12)</f>
        <v/>
      </c>
      <c r="O91" s="11" t="n"/>
      <c r="P91" s="12">
        <f>E91*(L91+M91*1.5+N91*2+O91*3+N(K91))</f>
        <v/>
      </c>
      <c r="Q91" s="12" t="n">
        <v>287.98</v>
      </c>
      <c r="R91" s="12">
        <f>Q91-P91</f>
        <v/>
      </c>
    </row>
    <row r="92">
      <c r="A92" s="11" t="inlineStr">
        <is>
          <t>2703</t>
        </is>
      </c>
      <c r="B92" s="11" t="inlineStr"/>
      <c r="C92" s="11" t="inlineStr">
        <is>
          <t>SWING#2</t>
        </is>
      </c>
      <c r="D92" s="11" t="inlineStr">
        <is>
          <t>Local44</t>
        </is>
      </c>
      <c r="E92" s="12" t="n">
        <v>20.57</v>
      </c>
      <c r="F92" s="11" t="n"/>
      <c r="G92" s="11" t="n"/>
      <c r="H92" s="11" t="n"/>
      <c r="I92" s="11" t="n"/>
      <c r="J92" s="13">
        <f>IF(AND(N(F92)&gt;0,N(I92)&gt;0),I92-F92-IF(N(G92)&gt;0,0.5,0)-IF(N(H92)&gt;0,0.5,0),0)</f>
        <v/>
      </c>
      <c r="K92" s="11" t="n"/>
      <c r="L92" s="13">
        <f>MIN(J92,10.0)</f>
        <v/>
      </c>
      <c r="M92" s="13">
        <f>MAX(0,MIN(J92,12)-10.0)</f>
        <v/>
      </c>
      <c r="N92" s="13">
        <f>MAX(0,J92-12)</f>
        <v/>
      </c>
      <c r="O92" s="11" t="n"/>
      <c r="P92" s="12">
        <f>E92*(L92+M92*1.5+N92*2+O92*3+N(K92))</f>
        <v/>
      </c>
      <c r="Q92" s="12" t="n">
        <v>287.98</v>
      </c>
      <c r="R92" s="12">
        <f>Q92-P92</f>
        <v/>
      </c>
    </row>
    <row r="93">
      <c r="A93" s="11" t="inlineStr">
        <is>
          <t>2703</t>
        </is>
      </c>
      <c r="B93" s="11" t="inlineStr"/>
      <c r="C93" s="11" t="inlineStr">
        <is>
          <t>ADDITIONAL SWINGM AND AYS</t>
        </is>
      </c>
      <c r="D93" s="11" t="inlineStr">
        <is>
          <t>Local44</t>
        </is>
      </c>
      <c r="E93" s="12" t="n">
        <v>20.57</v>
      </c>
      <c r="F93" s="11" t="n"/>
      <c r="G93" s="11" t="n"/>
      <c r="H93" s="11" t="n"/>
      <c r="I93" s="11" t="n"/>
      <c r="J93" s="13">
        <f>IF(AND(N(F93)&gt;0,N(I93)&gt;0),I93-F93-IF(N(G93)&gt;0,0.5,0)-IF(N(H93)&gt;0,0.5,0),0)</f>
        <v/>
      </c>
      <c r="K93" s="11" t="n"/>
      <c r="L93" s="13">
        <f>MIN(J93,10.0)</f>
        <v/>
      </c>
      <c r="M93" s="13">
        <f>MAX(0,MIN(J93,12)-10.0)</f>
        <v/>
      </c>
      <c r="N93" s="13">
        <f>MAX(0,J93-12)</f>
        <v/>
      </c>
      <c r="O93" s="11" t="n"/>
      <c r="P93" s="12">
        <f>E93*(L93+M93*1.5+N93*2+O93*3+N(K93))</f>
        <v/>
      </c>
      <c r="Q93" s="12" t="n">
        <v>287.98</v>
      </c>
      <c r="R93" s="12">
        <f>Q93-P93</f>
        <v/>
      </c>
    </row>
    <row r="94">
      <c r="A94" s="11" t="inlineStr">
        <is>
          <t>2705</t>
        </is>
      </c>
      <c r="B94" s="11" t="inlineStr">
        <is>
          <t>Khamisi Thurman</t>
        </is>
      </c>
      <c r="C94" s="11" t="inlineStr">
        <is>
          <t>ON-SET DRESSER</t>
        </is>
      </c>
      <c r="D94" s="11" t="inlineStr">
        <is>
          <t>Local44</t>
        </is>
      </c>
      <c r="E94" s="12" t="n">
        <v>20.57</v>
      </c>
      <c r="F94" s="11" t="n"/>
      <c r="G94" s="11" t="n"/>
      <c r="H94" s="11" t="n"/>
      <c r="I94" s="11" t="n"/>
      <c r="J94" s="13">
        <f>IF(AND(N(F94)&gt;0,N(I94)&gt;0),I94-F94-IF(N(G94)&gt;0,0.5,0)-IF(N(H94)&gt;0,0.5,0),0)</f>
        <v/>
      </c>
      <c r="K94" s="11" t="n"/>
      <c r="L94" s="13">
        <f>MIN(J94,10.0)</f>
        <v/>
      </c>
      <c r="M94" s="13">
        <f>MAX(0,MIN(J94,12)-10.0)</f>
        <v/>
      </c>
      <c r="N94" s="13">
        <f>MAX(0,J94-12)</f>
        <v/>
      </c>
      <c r="O94" s="11" t="n"/>
      <c r="P94" s="12">
        <f>E94*(L94+M94*1.5+N94*2+O94*3+N(K94))</f>
        <v/>
      </c>
      <c r="Q94" s="12" t="n">
        <v>318.83</v>
      </c>
      <c r="R94" s="12">
        <f>Q94-P94</f>
        <v/>
      </c>
    </row>
    <row r="95">
      <c r="A95" s="11" t="inlineStr">
        <is>
          <t>2706</t>
        </is>
      </c>
      <c r="B95" s="11" t="inlineStr">
        <is>
          <t>Sarah Hickman</t>
        </is>
      </c>
      <c r="C95" s="11" t="inlineStr">
        <is>
          <t>BUYER</t>
        </is>
      </c>
      <c r="D95" s="11" t="inlineStr">
        <is>
          <t>Local44</t>
        </is>
      </c>
      <c r="E95" s="12" t="n">
        <v>23.04</v>
      </c>
      <c r="F95" s="11" t="n"/>
      <c r="G95" s="11" t="n"/>
      <c r="H95" s="11" t="n"/>
      <c r="I95" s="11" t="n"/>
      <c r="J95" s="13">
        <f>IF(AND(N(F95)&gt;0,N(I95)&gt;0),I95-F95-IF(N(G95)&gt;0,0.5,0)-IF(N(H95)&gt;0,0.5,0),0)</f>
        <v/>
      </c>
      <c r="K95" s="11" t="n"/>
      <c r="L95" s="13">
        <f>MIN(J95,10.0)</f>
        <v/>
      </c>
      <c r="M95" s="13">
        <f>MAX(0,MIN(J95,12)-10.0)</f>
        <v/>
      </c>
      <c r="N95" s="13">
        <f>MAX(0,J95-12)</f>
        <v/>
      </c>
      <c r="O95" s="11" t="n"/>
      <c r="P95" s="12">
        <f>E95*(L95+M95*1.5+N95*2+O95*3+N(K95))</f>
        <v/>
      </c>
      <c r="Q95" s="11" t="n"/>
      <c r="R95" s="12">
        <f>Q95-P95</f>
        <v/>
      </c>
    </row>
    <row r="96">
      <c r="C96" s="5" t="inlineStr">
        <is>
          <t>SET DRESSING LABOR</t>
        </is>
      </c>
      <c r="P96" s="14">
        <f>SUM(P89:P95)</f>
        <v/>
      </c>
      <c r="Q96" s="14">
        <f>SUM(Q89:Q95)</f>
        <v/>
      </c>
      <c r="R96" s="14">
        <f>SUM(R89:R95)</f>
        <v/>
      </c>
    </row>
    <row r="97">
      <c r="C97" s="5" t="inlineStr">
        <is>
          <t>SET DRESSING FRINGE</t>
        </is>
      </c>
      <c r="E97" s="15" t="n">
        <v>0.5197000000000001</v>
      </c>
      <c r="P97" s="14">
        <f>P96*0.5197</f>
        <v/>
      </c>
      <c r="Q97" s="14">
        <f>Q96*0.5197</f>
        <v/>
      </c>
      <c r="R97" s="14">
        <f>R96*0.5197</f>
        <v/>
      </c>
    </row>
    <row r="99">
      <c r="B99" s="5" t="inlineStr">
        <is>
          <t>PROPERTY</t>
        </is>
      </c>
    </row>
    <row r="100">
      <c r="A100" s="11" t="inlineStr">
        <is>
          <t>2801</t>
        </is>
      </c>
      <c r="B100" s="11" t="inlineStr">
        <is>
          <t>Annie Brandt</t>
        </is>
      </c>
      <c r="C100" s="11" t="inlineStr">
        <is>
          <t>PROPMASTER</t>
        </is>
      </c>
      <c r="D100" s="11" t="inlineStr">
        <is>
          <t>Local44</t>
        </is>
      </c>
      <c r="E100" s="12" t="n">
        <v>25.5</v>
      </c>
      <c r="F100" s="11" t="n"/>
      <c r="G100" s="11" t="n"/>
      <c r="H100" s="11" t="n"/>
      <c r="I100" s="11" t="n"/>
      <c r="J100" s="13">
        <f>IF(AND(N(F100)&gt;0,N(I100)&gt;0),I100-F100-IF(N(G100)&gt;0,0.5,0)-IF(N(H100)&gt;0,0.5,0),0)</f>
        <v/>
      </c>
      <c r="K100" s="11" t="n"/>
      <c r="L100" s="13">
        <f>MIN(J100,10.0)</f>
        <v/>
      </c>
      <c r="M100" s="13">
        <f>MAX(0,MIN(J100,12)-10.0)</f>
        <v/>
      </c>
      <c r="N100" s="13">
        <f>MAX(0,J100-12)</f>
        <v/>
      </c>
      <c r="O100" s="11" t="n"/>
      <c r="P100" s="12">
        <f>E100*(L100+M100*1.5+N100*2+O100*3+N(K100))</f>
        <v/>
      </c>
      <c r="Q100" s="12" t="n">
        <v>395.25</v>
      </c>
      <c r="R100" s="12">
        <f>Q100-P100</f>
        <v/>
      </c>
    </row>
    <row r="101">
      <c r="A101" s="11" t="inlineStr">
        <is>
          <t>2802</t>
        </is>
      </c>
      <c r="B101" s="11" t="inlineStr">
        <is>
          <t>Nate Bakes</t>
        </is>
      </c>
      <c r="C101" s="11" t="inlineStr">
        <is>
          <t>ASSTPROPMASTER</t>
        </is>
      </c>
      <c r="D101" s="11" t="inlineStr">
        <is>
          <t>Local44</t>
        </is>
      </c>
      <c r="E101" s="12" t="n">
        <v>23.04</v>
      </c>
      <c r="F101" s="11" t="n"/>
      <c r="G101" s="11" t="n"/>
      <c r="H101" s="11" t="n"/>
      <c r="I101" s="11" t="n"/>
      <c r="J101" s="13">
        <f>IF(AND(N(F101)&gt;0,N(I101)&gt;0),I101-F101-IF(N(G101)&gt;0,0.5,0)-IF(N(H101)&gt;0,0.5,0),0)</f>
        <v/>
      </c>
      <c r="K101" s="11" t="n"/>
      <c r="L101" s="13">
        <f>MIN(J101,10.0)</f>
        <v/>
      </c>
      <c r="M101" s="13">
        <f>MAX(0,MIN(J101,12)-10.0)</f>
        <v/>
      </c>
      <c r="N101" s="13">
        <f>MAX(0,J101-12)</f>
        <v/>
      </c>
      <c r="O101" s="11" t="n"/>
      <c r="P101" s="12">
        <f>E101*(L101+M101*1.5+N101*2+O101*3+N(K101))</f>
        <v/>
      </c>
      <c r="Q101" s="12" t="n">
        <v>357.12</v>
      </c>
      <c r="R101" s="12">
        <f>Q101-P101</f>
        <v/>
      </c>
    </row>
    <row r="102">
      <c r="C102" s="5" t="inlineStr">
        <is>
          <t>PROPERTY LABOR</t>
        </is>
      </c>
      <c r="P102" s="14">
        <f>SUM(P100:P101)</f>
        <v/>
      </c>
      <c r="Q102" s="14">
        <f>SUM(Q100:Q101)</f>
        <v/>
      </c>
      <c r="R102" s="14">
        <f>SUM(R100:R101)</f>
        <v/>
      </c>
    </row>
    <row r="103">
      <c r="C103" s="5" t="inlineStr">
        <is>
          <t>PROPERTY FRINGE</t>
        </is>
      </c>
      <c r="E103" s="15" t="n">
        <v>0.5044</v>
      </c>
      <c r="P103" s="14">
        <f>P102*0.5044</f>
        <v/>
      </c>
      <c r="Q103" s="14">
        <f>Q102*0.5044</f>
        <v/>
      </c>
      <c r="R103" s="14">
        <f>R102*0.5044</f>
        <v/>
      </c>
    </row>
    <row r="105">
      <c r="B105" s="5" t="inlineStr">
        <is>
          <t>WARDROBE</t>
        </is>
      </c>
    </row>
    <row r="106">
      <c r="A106" s="11" t="inlineStr">
        <is>
          <t>2901</t>
        </is>
      </c>
      <c r="B106" s="11" t="inlineStr">
        <is>
          <t>Megan Spatz</t>
        </is>
      </c>
      <c r="C106" s="11" t="inlineStr">
        <is>
          <t>COSTUME DESIGN ER</t>
        </is>
      </c>
      <c r="D106" s="11" t="inlineStr">
        <is>
          <t>Local892</t>
        </is>
      </c>
      <c r="E106" s="12" t="n">
        <v>540</v>
      </c>
      <c r="F106" s="11" t="n"/>
      <c r="G106" s="11" t="n"/>
      <c r="H106" s="11" t="n"/>
      <c r="I106" s="11" t="n"/>
      <c r="J106" s="13">
        <f>IF(AND(N(F106)&gt;0,N(I106)&gt;0),I106-F106-IF(N(G106)&gt;0,0.5,0)-IF(N(H106)&gt;0,0.5,0),0)</f>
        <v/>
      </c>
      <c r="K106" s="11" t="n"/>
      <c r="L106" s="13">
        <f>MIN(J106,8.0)</f>
        <v/>
      </c>
      <c r="M106" s="13">
        <f>MAX(0,MIN(J106,12)-8.0)</f>
        <v/>
      </c>
      <c r="N106" s="13">
        <f>MAX(0,J106-12)</f>
        <v/>
      </c>
      <c r="O106" s="11" t="n"/>
      <c r="P106" s="12">
        <f>E106*(L106+M106*1.5+N106*2+O106*3+N(K106))</f>
        <v/>
      </c>
      <c r="Q106" s="12" t="n">
        <v>540</v>
      </c>
      <c r="R106" s="12">
        <f>Q106-P106</f>
        <v/>
      </c>
    </row>
    <row r="107">
      <c r="A107" s="11" t="inlineStr">
        <is>
          <t>2903</t>
        </is>
      </c>
      <c r="B107" s="11" t="inlineStr">
        <is>
          <t>Danielle Schuck</t>
        </is>
      </c>
      <c r="C107" s="11" t="inlineStr">
        <is>
          <t>COSTUME SUPERVISOR</t>
        </is>
      </c>
      <c r="D107" s="11" t="inlineStr">
        <is>
          <t>Local705</t>
        </is>
      </c>
      <c r="E107" s="12" t="n">
        <v>25.5</v>
      </c>
      <c r="F107" s="11" t="n"/>
      <c r="G107" s="11" t="n"/>
      <c r="H107" s="11" t="n"/>
      <c r="I107" s="11" t="n"/>
      <c r="J107" s="13">
        <f>IF(AND(N(F107)&gt;0,N(I107)&gt;0),I107-F107-IF(N(G107)&gt;0,0.5,0)-IF(N(H107)&gt;0,0.5,0),0)</f>
        <v/>
      </c>
      <c r="K107" s="11" t="n"/>
      <c r="L107" s="13">
        <f>MIN(J107,8.0)</f>
        <v/>
      </c>
      <c r="M107" s="13">
        <f>MAX(0,MIN(J107,12)-8.0)</f>
        <v/>
      </c>
      <c r="N107" s="13">
        <f>MAX(0,J107-12)</f>
        <v/>
      </c>
      <c r="O107" s="11" t="n"/>
      <c r="P107" s="12">
        <f>E107*(L107+M107*1.5+N107*2+O107*3+N(K107))</f>
        <v/>
      </c>
      <c r="Q107" s="12" t="n">
        <v>395.25</v>
      </c>
      <c r="R107" s="12">
        <f>Q107-P107</f>
        <v/>
      </c>
    </row>
    <row r="108">
      <c r="A108" s="11" t="inlineStr">
        <is>
          <t>2905</t>
        </is>
      </c>
      <c r="B108" s="11" t="inlineStr">
        <is>
          <t>Monavie Tutop</t>
        </is>
      </c>
      <c r="C108" s="11" t="inlineStr">
        <is>
          <t>COSTUMER#1</t>
        </is>
      </c>
      <c r="D108" s="11" t="inlineStr">
        <is>
          <t>Local705</t>
        </is>
      </c>
      <c r="E108" s="12" t="n">
        <v>23.04</v>
      </c>
      <c r="F108" s="11" t="n"/>
      <c r="G108" s="11" t="n"/>
      <c r="H108" s="11" t="n"/>
      <c r="I108" s="11" t="n"/>
      <c r="J108" s="13">
        <f>IF(AND(N(F108)&gt;0,N(I108)&gt;0),I108-F108-IF(N(G108)&gt;0,0.5,0)-IF(N(H108)&gt;0,0.5,0),0)</f>
        <v/>
      </c>
      <c r="K108" s="11" t="n"/>
      <c r="L108" s="13">
        <f>MIN(J108,8.0)</f>
        <v/>
      </c>
      <c r="M108" s="13">
        <f>MAX(0,MIN(J108,12)-8.0)</f>
        <v/>
      </c>
      <c r="N108" s="13">
        <f>MAX(0,J108-12)</f>
        <v/>
      </c>
      <c r="O108" s="11" t="n"/>
      <c r="P108" s="12">
        <f>E108*(L108+M108*1.5+N108*2+O108*3+N(K108))</f>
        <v/>
      </c>
      <c r="Q108" s="12" t="n">
        <v>397.43</v>
      </c>
      <c r="R108" s="12">
        <f>Q108-P108</f>
        <v/>
      </c>
    </row>
    <row r="109">
      <c r="A109" s="11" t="inlineStr">
        <is>
          <t>2905</t>
        </is>
      </c>
      <c r="B109" s="11" t="inlineStr"/>
      <c r="C109" s="11" t="inlineStr">
        <is>
          <t>COSTUMER#2</t>
        </is>
      </c>
      <c r="D109" s="11" t="inlineStr">
        <is>
          <t>Local705</t>
        </is>
      </c>
      <c r="E109" s="12" t="n">
        <v>20.57</v>
      </c>
      <c r="F109" s="11" t="n"/>
      <c r="G109" s="11" t="n"/>
      <c r="H109" s="11" t="n"/>
      <c r="I109" s="11" t="n"/>
      <c r="J109" s="13">
        <f>IF(AND(N(F109)&gt;0,N(I109)&gt;0),I109-F109-IF(N(G109)&gt;0,0.5,0)-IF(N(H109)&gt;0,0.5,0),0)</f>
        <v/>
      </c>
      <c r="K109" s="11" t="n"/>
      <c r="L109" s="13">
        <f>MIN(J109,8.0)</f>
        <v/>
      </c>
      <c r="M109" s="13">
        <f>MAX(0,MIN(J109,12)-8.0)</f>
        <v/>
      </c>
      <c r="N109" s="13">
        <f>MAX(0,J109-12)</f>
        <v/>
      </c>
      <c r="O109" s="11" t="n"/>
      <c r="P109" s="12">
        <f>E109*(L109+M109*1.5+N109*2+O109*3+N(K109))</f>
        <v/>
      </c>
      <c r="Q109" s="12" t="n">
        <v>354.83</v>
      </c>
      <c r="R109" s="12">
        <f>Q109-P109</f>
        <v/>
      </c>
    </row>
    <row r="110">
      <c r="C110" s="5" t="inlineStr">
        <is>
          <t>WARDROBE LABOR</t>
        </is>
      </c>
      <c r="P110" s="14">
        <f>SUM(P106:P109)</f>
        <v/>
      </c>
      <c r="Q110" s="14">
        <f>SUM(Q106:Q109)</f>
        <v/>
      </c>
      <c r="R110" s="14">
        <f>SUM(R106:R109)</f>
        <v/>
      </c>
    </row>
    <row r="111">
      <c r="C111" s="5" t="inlineStr">
        <is>
          <t>WARDROBE FRINGE</t>
        </is>
      </c>
      <c r="E111" s="15" t="n">
        <v>0.4988</v>
      </c>
      <c r="P111" s="14">
        <f>P110*0.4988</f>
        <v/>
      </c>
      <c r="Q111" s="14">
        <f>Q110*0.4988</f>
        <v/>
      </c>
      <c r="R111" s="14">
        <f>R110*0.4988</f>
        <v/>
      </c>
    </row>
    <row r="113">
      <c r="B113" s="5" t="inlineStr">
        <is>
          <t>MAKE-UP&amp;HAIR</t>
        </is>
      </c>
    </row>
    <row r="114">
      <c r="A114" s="11" t="inlineStr">
        <is>
          <t>3101</t>
        </is>
      </c>
      <c r="B114" s="11" t="inlineStr">
        <is>
          <t>Eleanor Sabaduquia</t>
        </is>
      </c>
      <c r="C114" s="11" t="inlineStr">
        <is>
          <t>KEY MAKEUP ARTIST</t>
        </is>
      </c>
      <c r="D114" s="11" t="inlineStr">
        <is>
          <t>Local706</t>
        </is>
      </c>
      <c r="E114" s="12" t="n">
        <v>25.5</v>
      </c>
      <c r="F114" s="11" t="n"/>
      <c r="G114" s="11" t="n"/>
      <c r="H114" s="11" t="n"/>
      <c r="I114" s="11" t="n"/>
      <c r="J114" s="13">
        <f>IF(AND(N(F114)&gt;0,N(I114)&gt;0),I114-F114-IF(N(G114)&gt;0,0.5,0)-IF(N(H114)&gt;0,0.5,0),0)</f>
        <v/>
      </c>
      <c r="K114" s="11" t="n"/>
      <c r="L114" s="13">
        <f>MIN(J114,10.0)</f>
        <v/>
      </c>
      <c r="M114" s="13">
        <f>MAX(0,MIN(J114,12)-10.0)</f>
        <v/>
      </c>
      <c r="N114" s="13">
        <f>MAX(0,J114-12)</f>
        <v/>
      </c>
      <c r="O114" s="11" t="n"/>
      <c r="P114" s="12">
        <f>E114*(L114+M114*1.5+N114*2+O114*3+N(K114))</f>
        <v/>
      </c>
      <c r="Q114" s="12" t="n">
        <v>439.87</v>
      </c>
      <c r="R114" s="12">
        <f>Q114-P114</f>
        <v/>
      </c>
    </row>
    <row r="115">
      <c r="A115" s="11" t="inlineStr">
        <is>
          <t>3102</t>
        </is>
      </c>
      <c r="B115" s="11" t="inlineStr">
        <is>
          <t>Yoko Nobushi</t>
        </is>
      </c>
      <c r="C115" s="11" t="inlineStr">
        <is>
          <t>ASST MAKEUP ARTIST#1</t>
        </is>
      </c>
      <c r="D115" s="11" t="inlineStr">
        <is>
          <t>Local706</t>
        </is>
      </c>
      <c r="E115" s="12" t="n">
        <v>23.04</v>
      </c>
      <c r="F115" s="11" t="n"/>
      <c r="G115" s="11" t="n"/>
      <c r="H115" s="11" t="n"/>
      <c r="I115" s="11" t="n"/>
      <c r="J115" s="13">
        <f>IF(AND(N(F115)&gt;0,N(I115)&gt;0),I115-F115-IF(N(G115)&gt;0,0.5,0)-IF(N(H115)&gt;0,0.5,0),0)</f>
        <v/>
      </c>
      <c r="K115" s="11" t="n"/>
      <c r="L115" s="13">
        <f>MIN(J115,10.0)</f>
        <v/>
      </c>
      <c r="M115" s="13">
        <f>MAX(0,MIN(J115,12)-10.0)</f>
        <v/>
      </c>
      <c r="N115" s="13">
        <f>MAX(0,J115-12)</f>
        <v/>
      </c>
      <c r="O115" s="11" t="n"/>
      <c r="P115" s="12">
        <f>E115*(L115+M115*1.5+N115*2+O115*3+N(K115))</f>
        <v/>
      </c>
      <c r="Q115" s="12" t="n">
        <v>397.43</v>
      </c>
      <c r="R115" s="12">
        <f>Q115-P115</f>
        <v/>
      </c>
    </row>
    <row r="116">
      <c r="A116" s="11" t="inlineStr">
        <is>
          <t>3103</t>
        </is>
      </c>
      <c r="B116" s="11" t="inlineStr"/>
      <c r="C116" s="11" t="inlineStr">
        <is>
          <t>ADDL MAKEUP ARTISTDAYS</t>
        </is>
      </c>
      <c r="D116" s="11" t="inlineStr">
        <is>
          <t>Local706</t>
        </is>
      </c>
      <c r="E116" s="12" t="n">
        <v>23.04</v>
      </c>
      <c r="F116" s="11" t="n"/>
      <c r="G116" s="11" t="n"/>
      <c r="H116" s="11" t="n"/>
      <c r="I116" s="11" t="n"/>
      <c r="J116" s="13">
        <f>IF(AND(N(F116)&gt;0,N(I116)&gt;0),I116-F116-IF(N(G116)&gt;0,0.5,0)-IF(N(H116)&gt;0,0.5,0),0)</f>
        <v/>
      </c>
      <c r="K116" s="11" t="n"/>
      <c r="L116" s="13">
        <f>MIN(J116,10.0)</f>
        <v/>
      </c>
      <c r="M116" s="13">
        <f>MAX(0,MIN(J116,12)-10.0)</f>
        <v/>
      </c>
      <c r="N116" s="13">
        <f>MAX(0,J116-12)</f>
        <v/>
      </c>
      <c r="O116" s="11" t="n"/>
      <c r="P116" s="12">
        <f>E116*(L116+M116*1.5+N116*2+O116*3+N(K116))</f>
        <v/>
      </c>
      <c r="Q116" s="12" t="n">
        <v>397.43</v>
      </c>
      <c r="R116" s="12">
        <f>Q116-P116</f>
        <v/>
      </c>
    </row>
    <row r="117">
      <c r="A117" s="11" t="inlineStr">
        <is>
          <t>3105</t>
        </is>
      </c>
      <c r="B117" s="11" t="inlineStr"/>
      <c r="C117" s="11" t="inlineStr">
        <is>
          <t>PROS THE TIC MAKEUP ARTIST</t>
        </is>
      </c>
      <c r="D117" s="11" t="inlineStr">
        <is>
          <t>Local706</t>
        </is>
      </c>
      <c r="E117" s="12" t="n">
        <v>25.5</v>
      </c>
      <c r="F117" s="11" t="n"/>
      <c r="G117" s="11" t="n"/>
      <c r="H117" s="11" t="n"/>
      <c r="I117" s="11" t="n"/>
      <c r="J117" s="13">
        <f>IF(AND(N(F117)&gt;0,N(I117)&gt;0),I117-F117-IF(N(G117)&gt;0,0.5,0)-IF(N(H117)&gt;0,0.5,0),0)</f>
        <v/>
      </c>
      <c r="K117" s="11" t="n"/>
      <c r="L117" s="13">
        <f>MIN(J117,10.0)</f>
        <v/>
      </c>
      <c r="M117" s="13">
        <f>MAX(0,MIN(J117,12)-10.0)</f>
        <v/>
      </c>
      <c r="N117" s="13">
        <f>MAX(0,J117-12)</f>
        <v/>
      </c>
      <c r="O117" s="11" t="n"/>
      <c r="P117" s="12">
        <f>E117*(L117+M117*1.5+N117*2+O117*3+N(K117))</f>
        <v/>
      </c>
      <c r="Q117" s="12" t="n">
        <v>439.87</v>
      </c>
      <c r="R117" s="12">
        <f>Q117-P117</f>
        <v/>
      </c>
    </row>
    <row r="118">
      <c r="A118" s="11" t="inlineStr">
        <is>
          <t>3105</t>
        </is>
      </c>
      <c r="B118" s="11" t="inlineStr"/>
      <c r="C118" s="11" t="inlineStr">
        <is>
          <t>LENSCONSULTANT</t>
        </is>
      </c>
      <c r="D118" s="11" t="inlineStr"/>
      <c r="E118" s="12" t="n">
        <v>50</v>
      </c>
      <c r="F118" s="11" t="n"/>
      <c r="G118" s="11" t="n"/>
      <c r="H118" s="11" t="n"/>
      <c r="I118" s="11" t="n"/>
      <c r="J118" s="13">
        <f>IF(AND(N(F118)&gt;0,N(I118)&gt;0),I118-F118-IF(N(G118)&gt;0,0.5,0)-IF(N(H118)&gt;0,0.5,0),0)</f>
        <v/>
      </c>
      <c r="K118" s="11" t="n"/>
      <c r="L118" s="13">
        <f>MIN(J118,8.0)</f>
        <v/>
      </c>
      <c r="M118" s="13">
        <f>MAX(0,MIN(J118,12)-8.0)</f>
        <v/>
      </c>
      <c r="N118" s="13">
        <f>MAX(0,J118-12)</f>
        <v/>
      </c>
      <c r="O118" s="11" t="n"/>
      <c r="P118" s="12">
        <f>E118*(L118+M118*1.5+N118*2+O118*3+N(K118))</f>
        <v/>
      </c>
      <c r="Q118" s="12" t="n">
        <v>862.53</v>
      </c>
      <c r="R118" s="12">
        <f>Q118-P118</f>
        <v/>
      </c>
    </row>
    <row r="119">
      <c r="A119" s="11" t="inlineStr">
        <is>
          <t>3111</t>
        </is>
      </c>
      <c r="B119" s="11" t="inlineStr">
        <is>
          <t>Traci Smithe</t>
        </is>
      </c>
      <c r="C119" s="11" t="inlineStr">
        <is>
          <t>KEY HAIR</t>
        </is>
      </c>
      <c r="D119" s="11" t="inlineStr">
        <is>
          <t>Local706</t>
        </is>
      </c>
      <c r="E119" s="12" t="n">
        <v>25.5</v>
      </c>
      <c r="F119" s="11" t="n"/>
      <c r="G119" s="11" t="n"/>
      <c r="H119" s="11" t="n"/>
      <c r="I119" s="11" t="n"/>
      <c r="J119" s="13">
        <f>IF(AND(N(F119)&gt;0,N(I119)&gt;0),I119-F119-IF(N(G119)&gt;0,0.5,0)-IF(N(H119)&gt;0,0.5,0),0)</f>
        <v/>
      </c>
      <c r="K119" s="11" t="n"/>
      <c r="L119" s="13">
        <f>MIN(J119,10.0)</f>
        <v/>
      </c>
      <c r="M119" s="13">
        <f>MAX(0,MIN(J119,12)-10.0)</f>
        <v/>
      </c>
      <c r="N119" s="13">
        <f>MAX(0,J119-12)</f>
        <v/>
      </c>
      <c r="O119" s="11" t="n"/>
      <c r="P119" s="12">
        <f>E119*(L119+M119*1.5+N119*2+O119*3+N(K119))</f>
        <v/>
      </c>
      <c r="Q119" s="12" t="n">
        <v>439.87</v>
      </c>
      <c r="R119" s="12">
        <f>Q119-P119</f>
        <v/>
      </c>
    </row>
    <row r="120">
      <c r="A120" s="11" t="inlineStr">
        <is>
          <t>3112</t>
        </is>
      </c>
      <c r="B120" s="11" t="inlineStr">
        <is>
          <t>Yunea Cruz</t>
        </is>
      </c>
      <c r="C120" s="11" t="inlineStr">
        <is>
          <t>ASST HAIR STYLIST#1</t>
        </is>
      </c>
      <c r="D120" s="11" t="inlineStr">
        <is>
          <t>Local706</t>
        </is>
      </c>
      <c r="E120" s="12" t="n">
        <v>23.04</v>
      </c>
      <c r="F120" s="11" t="n"/>
      <c r="G120" s="11" t="n"/>
      <c r="H120" s="11" t="n"/>
      <c r="I120" s="11" t="n"/>
      <c r="J120" s="13">
        <f>IF(AND(N(F120)&gt;0,N(I120)&gt;0),I120-F120-IF(N(G120)&gt;0,0.5,0)-IF(N(H120)&gt;0,0.5,0),0)</f>
        <v/>
      </c>
      <c r="K120" s="11" t="n"/>
      <c r="L120" s="13">
        <f>MIN(J120,10.0)</f>
        <v/>
      </c>
      <c r="M120" s="13">
        <f>MAX(0,MIN(J120,12)-10.0)</f>
        <v/>
      </c>
      <c r="N120" s="13">
        <f>MAX(0,J120-12)</f>
        <v/>
      </c>
      <c r="O120" s="11" t="n"/>
      <c r="P120" s="12">
        <f>E120*(L120+M120*1.5+N120*2+O120*3+N(K120))</f>
        <v/>
      </c>
      <c r="Q120" s="12" t="n">
        <v>397.43</v>
      </c>
      <c r="R120" s="12">
        <f>Q120-P120</f>
        <v/>
      </c>
    </row>
    <row r="121">
      <c r="A121" s="11" t="inlineStr">
        <is>
          <t>3113</t>
        </is>
      </c>
      <c r="B121" s="11" t="inlineStr"/>
      <c r="C121" s="11" t="inlineStr">
        <is>
          <t>ADDL HAIR STYLISTDAYS</t>
        </is>
      </c>
      <c r="D121" s="11" t="inlineStr">
        <is>
          <t>Local706</t>
        </is>
      </c>
      <c r="E121" s="12" t="n">
        <v>23.04</v>
      </c>
      <c r="F121" s="11" t="n"/>
      <c r="G121" s="11" t="n"/>
      <c r="H121" s="11" t="n"/>
      <c r="I121" s="11" t="n"/>
      <c r="J121" s="13">
        <f>IF(AND(N(F121)&gt;0,N(I121)&gt;0),I121-F121-IF(N(G121)&gt;0,0.5,0)-IF(N(H121)&gt;0,0.5,0),0)</f>
        <v/>
      </c>
      <c r="K121" s="11" t="n"/>
      <c r="L121" s="13">
        <f>MIN(J121,10.0)</f>
        <v/>
      </c>
      <c r="M121" s="13">
        <f>MAX(0,MIN(J121,12)-10.0)</f>
        <v/>
      </c>
      <c r="N121" s="13">
        <f>MAX(0,J121-12)</f>
        <v/>
      </c>
      <c r="O121" s="11" t="n"/>
      <c r="P121" s="12">
        <f>E121*(L121+M121*1.5+N121*2+O121*3+N(K121))</f>
        <v/>
      </c>
      <c r="Q121" s="12" t="n">
        <v>397.43</v>
      </c>
      <c r="R121" s="12">
        <f>Q121-P121</f>
        <v/>
      </c>
    </row>
    <row r="122">
      <c r="C122" s="5" t="inlineStr">
        <is>
          <t>MAKE-UP&amp;HAIR LABOR</t>
        </is>
      </c>
      <c r="P122" s="14">
        <f>SUM(P114:P121)</f>
        <v/>
      </c>
      <c r="Q122" s="14">
        <f>SUM(Q114:Q121)</f>
        <v/>
      </c>
      <c r="R122" s="14">
        <f>SUM(R114:R121)</f>
        <v/>
      </c>
    </row>
    <row r="123">
      <c r="C123" s="5" t="inlineStr">
        <is>
          <t>MAKE-UP&amp;HAIR FRINGE</t>
        </is>
      </c>
      <c r="E123" s="15" t="n">
        <v>0.4068</v>
      </c>
      <c r="P123" s="14">
        <f>P122*0.4068</f>
        <v/>
      </c>
      <c r="Q123" s="14">
        <f>Q122*0.4068</f>
        <v/>
      </c>
      <c r="R123" s="14">
        <f>R122*0.4068</f>
        <v/>
      </c>
    </row>
    <row r="125">
      <c r="B125" s="5" t="inlineStr">
        <is>
          <t>SET LIGHTING</t>
        </is>
      </c>
    </row>
    <row r="126">
      <c r="A126" s="11" t="inlineStr">
        <is>
          <t>3201</t>
        </is>
      </c>
      <c r="B126" s="11" t="inlineStr">
        <is>
          <t>Nicholas Kaat</t>
        </is>
      </c>
      <c r="C126" s="11" t="inlineStr">
        <is>
          <t>GAFFER</t>
        </is>
      </c>
      <c r="D126" s="11" t="inlineStr">
        <is>
          <t>Local728</t>
        </is>
      </c>
      <c r="E126" s="12" t="n">
        <v>25.5</v>
      </c>
      <c r="F126" s="11" t="n"/>
      <c r="G126" s="11" t="n"/>
      <c r="H126" s="11" t="n"/>
      <c r="I126" s="11" t="n"/>
      <c r="J126" s="13">
        <f>IF(AND(N(F126)&gt;0,N(I126)&gt;0),I126-F126-IF(N(G126)&gt;0,0.5,0)-IF(N(H126)&gt;0,0.5,0),0)</f>
        <v/>
      </c>
      <c r="K126" s="11" t="n"/>
      <c r="L126" s="13">
        <f>MIN(J126,10.0)</f>
        <v/>
      </c>
      <c r="M126" s="13">
        <f>MAX(0,MIN(J126,12)-10.0)</f>
        <v/>
      </c>
      <c r="N126" s="13">
        <f>MAX(0,J126-12)</f>
        <v/>
      </c>
      <c r="O126" s="11" t="n"/>
      <c r="P126" s="12">
        <f>E126*(L126+M126*1.5+N126*2+O126*3+N(K126))</f>
        <v/>
      </c>
      <c r="Q126" s="12" t="n">
        <v>395.25</v>
      </c>
      <c r="R126" s="12">
        <f>Q126-P126</f>
        <v/>
      </c>
    </row>
    <row r="127">
      <c r="A127" s="11" t="inlineStr">
        <is>
          <t>3202</t>
        </is>
      </c>
      <c r="B127" s="11" t="inlineStr">
        <is>
          <t>Nathan Fetzer</t>
        </is>
      </c>
      <c r="C127" s="11" t="inlineStr">
        <is>
          <t>BESTBOY ELECTRIC</t>
        </is>
      </c>
      <c r="D127" s="11" t="inlineStr">
        <is>
          <t>Local728</t>
        </is>
      </c>
      <c r="E127" s="12" t="n">
        <v>23.04</v>
      </c>
      <c r="F127" s="11" t="n"/>
      <c r="G127" s="11" t="n"/>
      <c r="H127" s="11" t="n"/>
      <c r="I127" s="11" t="n"/>
      <c r="J127" s="13">
        <f>IF(AND(N(F127)&gt;0,N(I127)&gt;0),I127-F127-IF(N(G127)&gt;0,0.5,0)-IF(N(H127)&gt;0,0.5,0),0)</f>
        <v/>
      </c>
      <c r="K127" s="11" t="n"/>
      <c r="L127" s="13">
        <f>MIN(J127,10.0)</f>
        <v/>
      </c>
      <c r="M127" s="13">
        <f>MAX(0,MIN(J127,12)-10.0)</f>
        <v/>
      </c>
      <c r="N127" s="13">
        <f>MAX(0,J127-12)</f>
        <v/>
      </c>
      <c r="O127" s="11" t="n"/>
      <c r="P127" s="12">
        <f>E127*(L127+M127*1.5+N127*2+O127*3+N(K127))</f>
        <v/>
      </c>
      <c r="Q127" s="12" t="n">
        <v>357.12</v>
      </c>
      <c r="R127" s="12">
        <f>Q127-P127</f>
        <v/>
      </c>
    </row>
    <row r="128">
      <c r="A128" s="11" t="inlineStr">
        <is>
          <t>3202</t>
        </is>
      </c>
      <c r="B128" s="11" t="inlineStr"/>
      <c r="C128" s="11" t="inlineStr">
        <is>
          <t>STUDIO BESTBOY ELECTRIC</t>
        </is>
      </c>
      <c r="D128" s="11" t="inlineStr">
        <is>
          <t>Local728</t>
        </is>
      </c>
      <c r="E128" s="12" t="n">
        <v>43.05</v>
      </c>
      <c r="F128" s="11" t="n"/>
      <c r="G128" s="11" t="n"/>
      <c r="H128" s="11" t="n"/>
      <c r="I128" s="11" t="n"/>
      <c r="J128" s="13">
        <f>IF(AND(N(F128)&gt;0,N(I128)&gt;0),I128-F128-IF(N(G128)&gt;0,0.5,0)-IF(N(H128)&gt;0,0.5,0),0)</f>
        <v/>
      </c>
      <c r="K128" s="11" t="n"/>
      <c r="L128" s="13">
        <f>MIN(J128,10.0)</f>
        <v/>
      </c>
      <c r="M128" s="13">
        <f>MAX(0,MIN(J128,12)-10.0)</f>
        <v/>
      </c>
      <c r="N128" s="13">
        <f>MAX(0,J128-12)</f>
        <v/>
      </c>
      <c r="O128" s="11" t="n"/>
      <c r="P128" s="12">
        <f>E128*(L128+M128*1.5+N128*2+O128*3+N(K128))</f>
        <v/>
      </c>
      <c r="Q128" s="12" t="n">
        <v>667.27</v>
      </c>
      <c r="R128" s="12">
        <f>Q128-P128</f>
        <v/>
      </c>
    </row>
    <row r="129">
      <c r="A129" s="11" t="inlineStr">
        <is>
          <t>3204</t>
        </is>
      </c>
      <c r="B129" s="11" t="inlineStr"/>
      <c r="C129" s="11" t="inlineStr">
        <is>
          <t>ELECTRIC IAN#1</t>
        </is>
      </c>
      <c r="D129" s="11" t="inlineStr">
        <is>
          <t>Local728</t>
        </is>
      </c>
      <c r="E129" s="12" t="n">
        <v>20.57</v>
      </c>
      <c r="F129" s="11" t="n"/>
      <c r="G129" s="11" t="n"/>
      <c r="H129" s="11" t="n"/>
      <c r="I129" s="11" t="n"/>
      <c r="J129" s="13">
        <f>IF(AND(N(F129)&gt;0,N(I129)&gt;0),I129-F129-IF(N(G129)&gt;0,0.5,0)-IF(N(H129)&gt;0,0.5,0),0)</f>
        <v/>
      </c>
      <c r="K129" s="11" t="n"/>
      <c r="L129" s="13">
        <f>MIN(J129,10.0)</f>
        <v/>
      </c>
      <c r="M129" s="13">
        <f>MAX(0,MIN(J129,12)-10.0)</f>
        <v/>
      </c>
      <c r="N129" s="13">
        <f>MAX(0,J129-12)</f>
        <v/>
      </c>
      <c r="O129" s="11" t="n"/>
      <c r="P129" s="12">
        <f>E129*(L129+M129*1.5+N129*2+O129*3+N(K129))</f>
        <v/>
      </c>
      <c r="Q129" s="12" t="n">
        <v>318.83</v>
      </c>
      <c r="R129" s="12">
        <f>Q129-P129</f>
        <v/>
      </c>
    </row>
    <row r="130">
      <c r="A130" s="11" t="inlineStr">
        <is>
          <t>3204</t>
        </is>
      </c>
      <c r="B130" s="11" t="inlineStr"/>
      <c r="C130" s="11" t="inlineStr">
        <is>
          <t>ELECTRIC IAN#2</t>
        </is>
      </c>
      <c r="D130" s="11" t="inlineStr">
        <is>
          <t>Local728</t>
        </is>
      </c>
      <c r="E130" s="12" t="n">
        <v>20.57</v>
      </c>
      <c r="F130" s="11" t="n"/>
      <c r="G130" s="11" t="n"/>
      <c r="H130" s="11" t="n"/>
      <c r="I130" s="11" t="n"/>
      <c r="J130" s="13">
        <f>IF(AND(N(F130)&gt;0,N(I130)&gt;0),I130-F130-IF(N(G130)&gt;0,0.5,0)-IF(N(H130)&gt;0,0.5,0),0)</f>
        <v/>
      </c>
      <c r="K130" s="11" t="n"/>
      <c r="L130" s="13">
        <f>MIN(J130,10.0)</f>
        <v/>
      </c>
      <c r="M130" s="13">
        <f>MAX(0,MIN(J130,12)-10.0)</f>
        <v/>
      </c>
      <c r="N130" s="13">
        <f>MAX(0,J130-12)</f>
        <v/>
      </c>
      <c r="O130" s="11" t="n"/>
      <c r="P130" s="12">
        <f>E130*(L130+M130*1.5+N130*2+O130*3+N(K130))</f>
        <v/>
      </c>
      <c r="Q130" s="12" t="n">
        <v>318.83</v>
      </c>
      <c r="R130" s="12">
        <f>Q130-P130</f>
        <v/>
      </c>
    </row>
    <row r="131">
      <c r="A131" s="11" t="inlineStr">
        <is>
          <t>3204</t>
        </is>
      </c>
      <c r="B131" s="11" t="inlineStr"/>
      <c r="C131" s="11" t="inlineStr">
        <is>
          <t>ELECTRIC IAN#3</t>
        </is>
      </c>
      <c r="D131" s="11" t="inlineStr">
        <is>
          <t>Local728</t>
        </is>
      </c>
      <c r="E131" s="12" t="n">
        <v>20.57</v>
      </c>
      <c r="F131" s="11" t="n"/>
      <c r="G131" s="11" t="n"/>
      <c r="H131" s="11" t="n"/>
      <c r="I131" s="11" t="n"/>
      <c r="J131" s="13">
        <f>IF(AND(N(F131)&gt;0,N(I131)&gt;0),I131-F131-IF(N(G131)&gt;0,0.5,0)-IF(N(H131)&gt;0,0.5,0),0)</f>
        <v/>
      </c>
      <c r="K131" s="11" t="n"/>
      <c r="L131" s="13">
        <f>MIN(J131,10.0)</f>
        <v/>
      </c>
      <c r="M131" s="13">
        <f>MAX(0,MIN(J131,12)-10.0)</f>
        <v/>
      </c>
      <c r="N131" s="13">
        <f>MAX(0,J131-12)</f>
        <v/>
      </c>
      <c r="O131" s="11" t="n"/>
      <c r="P131" s="12">
        <f>E131*(L131+M131*1.5+N131*2+O131*3+N(K131))</f>
        <v/>
      </c>
      <c r="Q131" s="12" t="n">
        <v>318.83</v>
      </c>
      <c r="R131" s="12">
        <f>Q131-P131</f>
        <v/>
      </c>
    </row>
    <row r="132">
      <c r="A132" s="11" t="inlineStr">
        <is>
          <t>3206</t>
        </is>
      </c>
      <c r="B132" s="11" t="inlineStr"/>
      <c r="C132" s="11" t="inlineStr">
        <is>
          <t>ELECTRIC M AND AYS&amp;RIGGINGM AND AYS</t>
        </is>
      </c>
      <c r="D132" s="11" t="inlineStr">
        <is>
          <t>Local728</t>
        </is>
      </c>
      <c r="E132" s="12" t="n">
        <v>20.57</v>
      </c>
      <c r="F132" s="11" t="n"/>
      <c r="G132" s="11" t="n"/>
      <c r="H132" s="11" t="n"/>
      <c r="I132" s="11" t="n"/>
      <c r="J132" s="13">
        <f>IF(AND(N(F132)&gt;0,N(I132)&gt;0),I132-F132-IF(N(G132)&gt;0,0.5,0)-IF(N(H132)&gt;0,0.5,0),0)</f>
        <v/>
      </c>
      <c r="K132" s="11" t="n"/>
      <c r="L132" s="13">
        <f>MIN(J132,10.0)</f>
        <v/>
      </c>
      <c r="M132" s="13">
        <f>MAX(0,MIN(J132,12)-10.0)</f>
        <v/>
      </c>
      <c r="N132" s="13">
        <f>MAX(0,J132-12)</f>
        <v/>
      </c>
      <c r="O132" s="11" t="n"/>
      <c r="P132" s="12">
        <f>E132*(L132+M132*1.5+N132*2+O132*3+N(K132))</f>
        <v/>
      </c>
      <c r="Q132" s="12" t="n">
        <v>318.83</v>
      </c>
      <c r="R132" s="12">
        <f>Q132-P132</f>
        <v/>
      </c>
    </row>
    <row r="133">
      <c r="C133" s="5" t="inlineStr">
        <is>
          <t>SET LIGHTING LABOR</t>
        </is>
      </c>
      <c r="P133" s="14">
        <f>SUM(P126:P132)</f>
        <v/>
      </c>
      <c r="Q133" s="14">
        <f>SUM(Q126:Q132)</f>
        <v/>
      </c>
      <c r="R133" s="14">
        <f>SUM(R126:R132)</f>
        <v/>
      </c>
    </row>
    <row r="134">
      <c r="C134" s="5" t="inlineStr">
        <is>
          <t>SET LIGHTING FRINGE</t>
        </is>
      </c>
      <c r="E134" s="15" t="n">
        <v>0.5199</v>
      </c>
      <c r="P134" s="14">
        <f>P133*0.5199</f>
        <v/>
      </c>
      <c r="Q134" s="14">
        <f>Q133*0.5199</f>
        <v/>
      </c>
      <c r="R134" s="14">
        <f>R133*0.5199</f>
        <v/>
      </c>
    </row>
    <row r="136">
      <c r="B136" s="5" t="inlineStr">
        <is>
          <t>CAMERA</t>
        </is>
      </c>
    </row>
    <row r="137">
      <c r="A137" s="11" t="inlineStr">
        <is>
          <t>3301</t>
        </is>
      </c>
      <c r="B137" s="11" t="inlineStr">
        <is>
          <t>Michael Burgess</t>
        </is>
      </c>
      <c r="C137" s="11" t="inlineStr">
        <is>
          <t>DIRECTOR OF PHOTOGRAPHY</t>
        </is>
      </c>
      <c r="D137" s="11" t="inlineStr">
        <is>
          <t>Local600</t>
        </is>
      </c>
      <c r="E137" s="12" t="n">
        <v>700</v>
      </c>
      <c r="F137" s="11" t="n"/>
      <c r="G137" s="11" t="n"/>
      <c r="H137" s="11" t="n"/>
      <c r="I137" s="11" t="n"/>
      <c r="J137" s="13">
        <f>IF(AND(N(F137)&gt;0,N(I137)&gt;0),I137-F137-IF(N(G137)&gt;0,0.5,0)-IF(N(H137)&gt;0,0.5,0),0)</f>
        <v/>
      </c>
      <c r="K137" s="11" t="n"/>
      <c r="L137" s="13">
        <f>MIN(J137,8.0)</f>
        <v/>
      </c>
      <c r="M137" s="13">
        <f>MAX(0,MIN(J137,12)-8.0)</f>
        <v/>
      </c>
      <c r="N137" s="13">
        <f>MAX(0,J137-12)</f>
        <v/>
      </c>
      <c r="O137" s="11" t="n"/>
      <c r="P137" s="12">
        <f>E137*(L137+M137*1.5+N137*2+O137*3+N(K137))</f>
        <v/>
      </c>
      <c r="Q137" s="12" t="n">
        <v>700</v>
      </c>
      <c r="R137" s="12">
        <f>Q137-P137</f>
        <v/>
      </c>
    </row>
    <row r="138">
      <c r="A138" s="11" t="inlineStr">
        <is>
          <t>3302</t>
        </is>
      </c>
      <c r="B138" s="11" t="inlineStr">
        <is>
          <t>Craig Bauer</t>
        </is>
      </c>
      <c r="C138" s="11" t="inlineStr">
        <is>
          <t>"B"CAMERA OP</t>
        </is>
      </c>
      <c r="D138" s="11" t="inlineStr">
        <is>
          <t>Local600</t>
        </is>
      </c>
      <c r="E138" s="12" t="n">
        <v>45</v>
      </c>
      <c r="F138" s="11" t="n"/>
      <c r="G138" s="11" t="n"/>
      <c r="H138" s="11" t="n"/>
      <c r="I138" s="11" t="n"/>
      <c r="J138" s="13">
        <f>IF(AND(N(F138)&gt;0,N(I138)&gt;0),I138-F138-IF(N(G138)&gt;0,0.5,0)-IF(N(H138)&gt;0,0.5,0),0)</f>
        <v/>
      </c>
      <c r="K138" s="11" t="n"/>
      <c r="L138" s="13">
        <f>MIN(J138,8.0)</f>
        <v/>
      </c>
      <c r="M138" s="13">
        <f>MAX(0,MIN(J138,12)-8.0)</f>
        <v/>
      </c>
      <c r="N138" s="13">
        <f>MAX(0,J138-12)</f>
        <v/>
      </c>
      <c r="O138" s="11" t="n"/>
      <c r="P138" s="12">
        <f>E138*(L138+M138*1.5+N138*2+O138*3+N(K138))</f>
        <v/>
      </c>
      <c r="Q138" s="12" t="n">
        <v>630</v>
      </c>
      <c r="R138" s="12">
        <f>Q138-P138</f>
        <v/>
      </c>
    </row>
    <row r="139">
      <c r="A139" s="11" t="inlineStr">
        <is>
          <t>3304</t>
        </is>
      </c>
      <c r="B139" s="11" t="inlineStr">
        <is>
          <t>Oliver Mancebo</t>
        </is>
      </c>
      <c r="C139" s="11" t="inlineStr">
        <is>
          <t>DIT</t>
        </is>
      </c>
      <c r="D139" s="11" t="inlineStr">
        <is>
          <t>Local600</t>
        </is>
      </c>
      <c r="E139" s="12" t="n">
        <v>35</v>
      </c>
      <c r="F139" s="11" t="n"/>
      <c r="G139" s="11" t="n"/>
      <c r="H139" s="11" t="n"/>
      <c r="I139" s="11" t="n"/>
      <c r="J139" s="13">
        <f>IF(AND(N(F139)&gt;0,N(I139)&gt;0),I139-F139-IF(N(G139)&gt;0,0.5,0)-IF(N(H139)&gt;0,0.5,0),0)</f>
        <v/>
      </c>
      <c r="K139" s="11" t="n"/>
      <c r="L139" s="13">
        <f>MIN(J139,8.0)</f>
        <v/>
      </c>
      <c r="M139" s="13">
        <f>MAX(0,MIN(J139,12)-8.0)</f>
        <v/>
      </c>
      <c r="N139" s="13">
        <f>MAX(0,J139-12)</f>
        <v/>
      </c>
      <c r="O139" s="11" t="n"/>
      <c r="P139" s="12">
        <f>E139*(L139+M139*1.5+N139*2+O139*3+N(K139))</f>
        <v/>
      </c>
      <c r="Q139" s="12" t="n">
        <v>542.5</v>
      </c>
      <c r="R139" s="12">
        <f>Q139-P139</f>
        <v/>
      </c>
    </row>
    <row r="140">
      <c r="A140" s="11" t="inlineStr">
        <is>
          <t>3305</t>
        </is>
      </c>
      <c r="B140" s="11" t="inlineStr">
        <is>
          <t>Steve Cueva</t>
        </is>
      </c>
      <c r="C140" s="11" t="inlineStr">
        <is>
          <t>"A"CAMERA 1STAC</t>
        </is>
      </c>
      <c r="D140" s="11" t="inlineStr">
        <is>
          <t>Local600</t>
        </is>
      </c>
      <c r="E140" s="12" t="n">
        <v>25.5</v>
      </c>
      <c r="F140" s="11" t="n"/>
      <c r="G140" s="11" t="n"/>
      <c r="H140" s="11" t="n"/>
      <c r="I140" s="11" t="n"/>
      <c r="J140" s="13">
        <f>IF(AND(N(F140)&gt;0,N(I140)&gt;0),I140-F140-IF(N(G140)&gt;0,0.5,0)-IF(N(H140)&gt;0,0.5,0),0)</f>
        <v/>
      </c>
      <c r="K140" s="11" t="n"/>
      <c r="L140" s="13">
        <f>MIN(J140,8.0)</f>
        <v/>
      </c>
      <c r="M140" s="13">
        <f>MAX(0,MIN(J140,12)-8.0)</f>
        <v/>
      </c>
      <c r="N140" s="13">
        <f>MAX(0,J140-12)</f>
        <v/>
      </c>
      <c r="O140" s="11" t="n"/>
      <c r="P140" s="12">
        <f>E140*(L140+M140*1.5+N140*2+O140*3+N(K140))</f>
        <v/>
      </c>
      <c r="Q140" s="12" t="n">
        <v>395.25</v>
      </c>
      <c r="R140" s="12">
        <f>Q140-P140</f>
        <v/>
      </c>
    </row>
    <row r="141">
      <c r="A141" s="11" t="inlineStr">
        <is>
          <t>3305</t>
        </is>
      </c>
      <c r="B141" s="11" t="inlineStr">
        <is>
          <t>Chris Garcia</t>
        </is>
      </c>
      <c r="C141" s="11" t="inlineStr">
        <is>
          <t>"B"CAMERA 1STAC</t>
        </is>
      </c>
      <c r="D141" s="11" t="inlineStr">
        <is>
          <t>Local600</t>
        </is>
      </c>
      <c r="E141" s="12" t="n">
        <v>25.5</v>
      </c>
      <c r="F141" s="11" t="n"/>
      <c r="G141" s="11" t="n"/>
      <c r="H141" s="11" t="n"/>
      <c r="I141" s="11" t="n"/>
      <c r="J141" s="13">
        <f>IF(AND(N(F141)&gt;0,N(I141)&gt;0),I141-F141-IF(N(G141)&gt;0,0.5,0)-IF(N(H141)&gt;0,0.5,0),0)</f>
        <v/>
      </c>
      <c r="K141" s="11" t="n"/>
      <c r="L141" s="13">
        <f>MIN(J141,8.0)</f>
        <v/>
      </c>
      <c r="M141" s="13">
        <f>MAX(0,MIN(J141,12)-8.0)</f>
        <v/>
      </c>
      <c r="N141" s="13">
        <f>MAX(0,J141-12)</f>
        <v/>
      </c>
      <c r="O141" s="11" t="n"/>
      <c r="P141" s="12">
        <f>E141*(L141+M141*1.5+N141*2+O141*3+N(K141))</f>
        <v/>
      </c>
      <c r="Q141" s="12" t="n">
        <v>395.25</v>
      </c>
      <c r="R141" s="12">
        <f>Q141-P141</f>
        <v/>
      </c>
    </row>
    <row r="142">
      <c r="A142" s="11" t="inlineStr">
        <is>
          <t>3306</t>
        </is>
      </c>
      <c r="B142" s="11" t="inlineStr">
        <is>
          <t>Manny Serrano</t>
        </is>
      </c>
      <c r="C142" s="11" t="inlineStr">
        <is>
          <t>"A"CAMERA 2NDAC</t>
        </is>
      </c>
      <c r="D142" s="11" t="inlineStr">
        <is>
          <t>Local600</t>
        </is>
      </c>
      <c r="E142" s="12" t="n">
        <v>23.04</v>
      </c>
      <c r="F142" s="11" t="n"/>
      <c r="G142" s="11" t="n"/>
      <c r="H142" s="11" t="n"/>
      <c r="I142" s="11" t="n"/>
      <c r="J142" s="13">
        <f>IF(AND(N(F142)&gt;0,N(I142)&gt;0),I142-F142-IF(N(G142)&gt;0,0.5,0)-IF(N(H142)&gt;0,0.5,0),0)</f>
        <v/>
      </c>
      <c r="K142" s="11" t="n"/>
      <c r="L142" s="13">
        <f>MIN(J142,8.0)</f>
        <v/>
      </c>
      <c r="M142" s="13">
        <f>MAX(0,MIN(J142,12)-8.0)</f>
        <v/>
      </c>
      <c r="N142" s="13">
        <f>MAX(0,J142-12)</f>
        <v/>
      </c>
      <c r="O142" s="11" t="n"/>
      <c r="P142" s="12">
        <f>E142*(L142+M142*1.5+N142*2+O142*3+N(K142))</f>
        <v/>
      </c>
      <c r="Q142" s="12" t="n">
        <v>357.12</v>
      </c>
      <c r="R142" s="12">
        <f>Q142-P142</f>
        <v/>
      </c>
    </row>
    <row r="143">
      <c r="A143" s="11" t="inlineStr">
        <is>
          <t>3306</t>
        </is>
      </c>
      <c r="B143" s="11" t="inlineStr"/>
      <c r="C143" s="11" t="inlineStr">
        <is>
          <t>"B"CAMERA 2NDAC</t>
        </is>
      </c>
      <c r="D143" s="11" t="inlineStr">
        <is>
          <t>Local600</t>
        </is>
      </c>
      <c r="E143" s="12" t="n">
        <v>23.04</v>
      </c>
      <c r="F143" s="11" t="n"/>
      <c r="G143" s="11" t="n"/>
      <c r="H143" s="11" t="n"/>
      <c r="I143" s="11" t="n"/>
      <c r="J143" s="13">
        <f>IF(AND(N(F143)&gt;0,N(I143)&gt;0),I143-F143-IF(N(G143)&gt;0,0.5,0)-IF(N(H143)&gt;0,0.5,0),0)</f>
        <v/>
      </c>
      <c r="K143" s="11" t="n"/>
      <c r="L143" s="13">
        <f>MIN(J143,8.0)</f>
        <v/>
      </c>
      <c r="M143" s="13">
        <f>MAX(0,MIN(J143,12)-8.0)</f>
        <v/>
      </c>
      <c r="N143" s="13">
        <f>MAX(0,J143-12)</f>
        <v/>
      </c>
      <c r="O143" s="11" t="n"/>
      <c r="P143" s="12">
        <f>E143*(L143+M143*1.5+N143*2+O143*3+N(K143))</f>
        <v/>
      </c>
      <c r="Q143" s="12" t="n">
        <v>357.12</v>
      </c>
      <c r="R143" s="12">
        <f>Q143-P143</f>
        <v/>
      </c>
    </row>
    <row r="144">
      <c r="A144" s="11" t="inlineStr">
        <is>
          <t>3308</t>
        </is>
      </c>
      <c r="B144" s="11" t="inlineStr">
        <is>
          <t>Scott Patrick Green</t>
        </is>
      </c>
      <c r="C144" s="11" t="inlineStr">
        <is>
          <t>STILLPHOTOGRAPHER</t>
        </is>
      </c>
      <c r="D144" s="11" t="inlineStr">
        <is>
          <t>Local600</t>
        </is>
      </c>
      <c r="E144" s="12" t="n">
        <v>26.5</v>
      </c>
      <c r="F144" s="11" t="n"/>
      <c r="G144" s="11" t="n"/>
      <c r="H144" s="11" t="n"/>
      <c r="I144" s="11" t="n"/>
      <c r="J144" s="13">
        <f>IF(AND(N(F144)&gt;0,N(I144)&gt;0),I144-F144-IF(N(G144)&gt;0,0.5,0)-IF(N(H144)&gt;0,0.5,0),0)</f>
        <v/>
      </c>
      <c r="K144" s="11" t="n"/>
      <c r="L144" s="13">
        <f>MIN(J144,8.0)</f>
        <v/>
      </c>
      <c r="M144" s="13">
        <f>MAX(0,MIN(J144,12)-8.0)</f>
        <v/>
      </c>
      <c r="N144" s="13">
        <f>MAX(0,J144-12)</f>
        <v/>
      </c>
      <c r="O144" s="11" t="n"/>
      <c r="P144" s="12">
        <f>E144*(L144+M144*1.5+N144*2+O144*3+N(K144))</f>
        <v/>
      </c>
      <c r="Q144" s="12" t="n">
        <v>291.5</v>
      </c>
      <c r="R144" s="12">
        <f>Q144-P144</f>
        <v/>
      </c>
    </row>
    <row r="145">
      <c r="A145" s="11" t="inlineStr">
        <is>
          <t>3385</t>
        </is>
      </c>
      <c r="B145" s="11" t="inlineStr"/>
      <c r="C145" s="11" t="inlineStr">
        <is>
          <t>UNDERWATEROPERATOR</t>
        </is>
      </c>
      <c r="D145" s="11" t="inlineStr">
        <is>
          <t>Local600</t>
        </is>
      </c>
      <c r="E145" s="12" t="n">
        <v>65</v>
      </c>
      <c r="F145" s="11" t="n"/>
      <c r="G145" s="11" t="n"/>
      <c r="H145" s="11" t="n"/>
      <c r="I145" s="11" t="n"/>
      <c r="J145" s="13">
        <f>IF(AND(N(F145)&gt;0,N(I145)&gt;0),I145-F145-IF(N(G145)&gt;0,0.5,0)-IF(N(H145)&gt;0,0.5,0),0)</f>
        <v/>
      </c>
      <c r="K145" s="11" t="n"/>
      <c r="L145" s="13">
        <f>MIN(J145,8.0)</f>
        <v/>
      </c>
      <c r="M145" s="13">
        <f>MAX(0,MIN(J145,12)-8.0)</f>
        <v/>
      </c>
      <c r="N145" s="13">
        <f>MAX(0,J145-12)</f>
        <v/>
      </c>
      <c r="O145" s="11" t="n"/>
      <c r="P145" s="12">
        <f>E145*(L145+M145*1.5+N145*2+O145*3+N(K145))</f>
        <v/>
      </c>
      <c r="Q145" s="12" t="n">
        <v>910</v>
      </c>
      <c r="R145" s="12">
        <f>Q145-P145</f>
        <v/>
      </c>
    </row>
    <row r="146">
      <c r="C146" s="5" t="inlineStr">
        <is>
          <t>CAMERA LABOR</t>
        </is>
      </c>
      <c r="P146" s="14">
        <f>SUM(P137:P145)</f>
        <v/>
      </c>
      <c r="Q146" s="14">
        <f>SUM(Q137:Q145)</f>
        <v/>
      </c>
      <c r="R146" s="14">
        <f>SUM(R137:R145)</f>
        <v/>
      </c>
    </row>
    <row r="147">
      <c r="C147" s="5" t="inlineStr">
        <is>
          <t>CAMERA FRINGE</t>
        </is>
      </c>
      <c r="E147" s="15" t="n">
        <v>0.4362</v>
      </c>
      <c r="P147" s="14">
        <f>P146*0.4362</f>
        <v/>
      </c>
      <c r="Q147" s="14">
        <f>Q146*0.4362</f>
        <v/>
      </c>
      <c r="R147" s="14">
        <f>R146*0.4362</f>
        <v/>
      </c>
    </row>
    <row r="149">
      <c r="B149" s="5" t="inlineStr">
        <is>
          <t>PRODUCTION SOUND</t>
        </is>
      </c>
    </row>
    <row r="150">
      <c r="A150" s="11" t="inlineStr">
        <is>
          <t>3401</t>
        </is>
      </c>
      <c r="B150" s="11" t="inlineStr">
        <is>
          <t>Julian Howarth</t>
        </is>
      </c>
      <c r="C150" s="11" t="inlineStr">
        <is>
          <t>SOUND MIXER</t>
        </is>
      </c>
      <c r="D150" s="11" t="inlineStr">
        <is>
          <t>Local695</t>
        </is>
      </c>
      <c r="E150" s="12" t="n">
        <v>26.5</v>
      </c>
      <c r="F150" s="11" t="n"/>
      <c r="G150" s="11" t="n"/>
      <c r="H150" s="11" t="n"/>
      <c r="I150" s="11" t="n"/>
      <c r="J150" s="13">
        <f>IF(AND(N(F150)&gt;0,N(I150)&gt;0),I150-F150-IF(N(G150)&gt;0,0.5,0)-IF(N(H150)&gt;0,0.5,0),0)</f>
        <v/>
      </c>
      <c r="K150" s="11" t="n"/>
      <c r="L150" s="13">
        <f>MIN(J150,10.0)</f>
        <v/>
      </c>
      <c r="M150" s="13">
        <f>MAX(0,MIN(J150,12)-10.0)</f>
        <v/>
      </c>
      <c r="N150" s="13">
        <f>MAX(0,J150-12)</f>
        <v/>
      </c>
      <c r="O150" s="11" t="n"/>
      <c r="P150" s="12">
        <f>E150*(L150+M150*1.5+N150*2+O150*3+N(K150))</f>
        <v/>
      </c>
      <c r="Q150" s="12" t="n">
        <v>410.75</v>
      </c>
      <c r="R150" s="12">
        <f>Q150-P150</f>
        <v/>
      </c>
    </row>
    <row r="151">
      <c r="A151" s="11" t="inlineStr">
        <is>
          <t>3402</t>
        </is>
      </c>
      <c r="B151" s="11" t="inlineStr">
        <is>
          <t>Tim Song Jones</t>
        </is>
      </c>
      <c r="C151" s="11" t="inlineStr">
        <is>
          <t>BOOMOPERATOR</t>
        </is>
      </c>
      <c r="D151" s="11" t="inlineStr">
        <is>
          <t>Local695</t>
        </is>
      </c>
      <c r="E151" s="12" t="n">
        <v>23.04</v>
      </c>
      <c r="F151" s="11" t="n"/>
      <c r="G151" s="11" t="n"/>
      <c r="H151" s="11" t="n"/>
      <c r="I151" s="11" t="n"/>
      <c r="J151" s="13">
        <f>IF(AND(N(F151)&gt;0,N(I151)&gt;0),I151-F151-IF(N(G151)&gt;0,0.5,0)-IF(N(H151)&gt;0,0.5,0),0)</f>
        <v/>
      </c>
      <c r="K151" s="11" t="n"/>
      <c r="L151" s="13">
        <f>MIN(J151,10.0)</f>
        <v/>
      </c>
      <c r="M151" s="13">
        <f>MAX(0,MIN(J151,12)-10.0)</f>
        <v/>
      </c>
      <c r="N151" s="13">
        <f>MAX(0,J151-12)</f>
        <v/>
      </c>
      <c r="O151" s="11" t="n"/>
      <c r="P151" s="12">
        <f>E151*(L151+M151*1.5+N151*2+O151*3+N(K151))</f>
        <v/>
      </c>
      <c r="Q151" s="12" t="n">
        <v>357.12</v>
      </c>
      <c r="R151" s="12">
        <f>Q151-P151</f>
        <v/>
      </c>
    </row>
    <row r="152">
      <c r="A152" s="11" t="inlineStr">
        <is>
          <t>3403</t>
        </is>
      </c>
      <c r="B152" s="11" t="inlineStr"/>
      <c r="C152" s="11" t="inlineStr">
        <is>
          <t>UTILITY SOUND</t>
        </is>
      </c>
      <c r="D152" s="11" t="inlineStr">
        <is>
          <t>Local695</t>
        </is>
      </c>
      <c r="E152" s="12" t="n">
        <v>20.57</v>
      </c>
      <c r="F152" s="11" t="n"/>
      <c r="G152" s="11" t="n"/>
      <c r="H152" s="11" t="n"/>
      <c r="I152" s="11" t="n"/>
      <c r="J152" s="13">
        <f>IF(AND(N(F152)&gt;0,N(I152)&gt;0),I152-F152-IF(N(G152)&gt;0,0.5,0)-IF(N(H152)&gt;0,0.5,0),0)</f>
        <v/>
      </c>
      <c r="K152" s="11" t="n"/>
      <c r="L152" s="13">
        <f>MIN(J152,10.0)</f>
        <v/>
      </c>
      <c r="M152" s="13">
        <f>MAX(0,MIN(J152,12)-10.0)</f>
        <v/>
      </c>
      <c r="N152" s="13">
        <f>MAX(0,J152-12)</f>
        <v/>
      </c>
      <c r="O152" s="11" t="n"/>
      <c r="P152" s="12">
        <f>E152*(L152+M152*1.5+N152*2+O152*3+N(K152))</f>
        <v/>
      </c>
      <c r="Q152" s="12" t="n">
        <v>318.83</v>
      </c>
      <c r="R152" s="12">
        <f>Q152-P152</f>
        <v/>
      </c>
    </row>
    <row r="153">
      <c r="A153" s="11" t="inlineStr">
        <is>
          <t>3404</t>
        </is>
      </c>
      <c r="B153" s="11" t="inlineStr">
        <is>
          <t>Jeff Snyder</t>
        </is>
      </c>
      <c r="C153" s="11" t="inlineStr">
        <is>
          <t>VIDEOASSISTOPERATOR</t>
        </is>
      </c>
      <c r="D153" s="11" t="inlineStr">
        <is>
          <t>Local695</t>
        </is>
      </c>
      <c r="E153" s="12" t="n">
        <v>23.04</v>
      </c>
      <c r="F153" s="11" t="n"/>
      <c r="G153" s="11" t="n"/>
      <c r="H153" s="11" t="n"/>
      <c r="I153" s="11" t="n"/>
      <c r="J153" s="13">
        <f>IF(AND(N(F153)&gt;0,N(I153)&gt;0),I153-F153-IF(N(G153)&gt;0,0.5,0)-IF(N(H153)&gt;0,0.5,0),0)</f>
        <v/>
      </c>
      <c r="K153" s="11" t="n"/>
      <c r="L153" s="13">
        <f>MIN(J153,10.0)</f>
        <v/>
      </c>
      <c r="M153" s="13">
        <f>MAX(0,MIN(J153,12)-10.0)</f>
        <v/>
      </c>
      <c r="N153" s="13">
        <f>MAX(0,J153-12)</f>
        <v/>
      </c>
      <c r="O153" s="11" t="n"/>
      <c r="P153" s="12">
        <f>E153*(L153+M153*1.5+N153*2+O153*3+N(K153))</f>
        <v/>
      </c>
      <c r="Q153" s="12" t="n">
        <v>357.12</v>
      </c>
      <c r="R153" s="12">
        <f>Q153-P153</f>
        <v/>
      </c>
    </row>
    <row r="154">
      <c r="C154" s="5" t="inlineStr">
        <is>
          <t>PRODUCTION SOUND LABOR</t>
        </is>
      </c>
      <c r="P154" s="14">
        <f>SUM(P150:P153)</f>
        <v/>
      </c>
      <c r="Q154" s="14">
        <f>SUM(Q150:Q153)</f>
        <v/>
      </c>
      <c r="R154" s="14">
        <f>SUM(R150:R153)</f>
        <v/>
      </c>
    </row>
    <row r="155">
      <c r="C155" s="5" t="inlineStr">
        <is>
          <t>PRODUCTION SOUND FRINGE</t>
        </is>
      </c>
      <c r="E155" s="15" t="n">
        <v>0.5205</v>
      </c>
      <c r="P155" s="14">
        <f>P154*0.5205</f>
        <v/>
      </c>
      <c r="Q155" s="14">
        <f>Q154*0.5205</f>
        <v/>
      </c>
      <c r="R155" s="14">
        <f>R154*0.5205</f>
        <v/>
      </c>
    </row>
    <row r="157">
      <c r="B157" s="5" t="inlineStr">
        <is>
          <t>TRANSPORTATION</t>
        </is>
      </c>
    </row>
    <row r="158">
      <c r="A158" s="11" t="inlineStr">
        <is>
          <t>3502</t>
        </is>
      </c>
      <c r="B158" s="11" t="inlineStr">
        <is>
          <t>Kevin Caira</t>
        </is>
      </c>
      <c r="C158" s="11" t="inlineStr">
        <is>
          <t>TRANSPOCAPTAIN(LA)</t>
        </is>
      </c>
      <c r="D158" s="11" t="inlineStr">
        <is>
          <t>Local399</t>
        </is>
      </c>
      <c r="E158" s="12" t="n">
        <v>37.21</v>
      </c>
      <c r="F158" s="11" t="n"/>
      <c r="G158" s="11" t="n"/>
      <c r="H158" s="11" t="n"/>
      <c r="I158" s="11" t="n"/>
      <c r="J158" s="13">
        <f>IF(AND(N(F158)&gt;0,N(I158)&gt;0),I158-F158-IF(N(G158)&gt;0,0.5,0)-IF(N(H158)&gt;0,0.5,0),0)</f>
        <v/>
      </c>
      <c r="K158" s="11" t="n"/>
      <c r="L158" s="13">
        <f>MIN(J158,8.0)</f>
        <v/>
      </c>
      <c r="M158" s="13">
        <f>MAX(0,MIN(J158,12)-8.0)</f>
        <v/>
      </c>
      <c r="N158" s="13">
        <f>MAX(0,J158-12)</f>
        <v/>
      </c>
      <c r="O158" s="11" t="n"/>
      <c r="P158" s="12">
        <f>E158*(L158+M158*1.5+N158*2+O158*3+N(K158))</f>
        <v/>
      </c>
      <c r="Q158" s="12" t="n">
        <v>651.17</v>
      </c>
      <c r="R158" s="12">
        <f>Q158-P158</f>
        <v/>
      </c>
    </row>
    <row r="159">
      <c r="A159" s="11" t="inlineStr">
        <is>
          <t>3502</t>
        </is>
      </c>
      <c r="B159" s="11" t="inlineStr">
        <is>
          <t>Tina Peterson</t>
        </is>
      </c>
      <c r="C159" s="11" t="inlineStr">
        <is>
          <t>CO-CAPTAIN</t>
        </is>
      </c>
      <c r="D159" s="11" t="inlineStr">
        <is>
          <t>Local399</t>
        </is>
      </c>
      <c r="E159" s="12" t="n">
        <v>37.21</v>
      </c>
      <c r="F159" s="11" t="n"/>
      <c r="G159" s="11" t="n"/>
      <c r="H159" s="11" t="n"/>
      <c r="I159" s="11" t="n"/>
      <c r="J159" s="13">
        <f>IF(AND(N(F159)&gt;0,N(I159)&gt;0),I159-F159-IF(N(G159)&gt;0,0.5,0)-IF(N(H159)&gt;0,0.5,0),0)</f>
        <v/>
      </c>
      <c r="K159" s="11" t="n"/>
      <c r="L159" s="13">
        <f>MIN(J159,8.0)</f>
        <v/>
      </c>
      <c r="M159" s="13">
        <f>MAX(0,MIN(J159,12)-8.0)</f>
        <v/>
      </c>
      <c r="N159" s="13">
        <f>MAX(0,J159-12)</f>
        <v/>
      </c>
      <c r="O159" s="11" t="n"/>
      <c r="P159" s="12">
        <f>E159*(L159+M159*1.5+N159*2+O159*3+N(K159))</f>
        <v/>
      </c>
      <c r="Q159" s="12" t="n">
        <v>576.75</v>
      </c>
      <c r="R159" s="12">
        <f>Q159-P159</f>
        <v/>
      </c>
    </row>
    <row r="160">
      <c r="A160" s="11" t="inlineStr">
        <is>
          <t>3503</t>
        </is>
      </c>
      <c r="B160" s="11" t="inlineStr"/>
      <c r="C160" s="11" t="inlineStr">
        <is>
          <t>GRIP TRUCK 48'TRACTORTRAILERDRIVER</t>
        </is>
      </c>
      <c r="D160" s="11" t="inlineStr"/>
      <c r="E160" s="12" t="n">
        <v>32.36</v>
      </c>
      <c r="F160" s="11" t="n"/>
      <c r="G160" s="11" t="n"/>
      <c r="H160" s="11" t="n"/>
      <c r="I160" s="11" t="n"/>
      <c r="J160" s="13">
        <f>IF(AND(N(F160)&gt;0,N(I160)&gt;0),I160-F160-IF(N(G160)&gt;0,0.5,0)-IF(N(H160)&gt;0,0.5,0),0)</f>
        <v/>
      </c>
      <c r="K160" s="11" t="n"/>
      <c r="L160" s="13">
        <f>MIN(J160,8.0)</f>
        <v/>
      </c>
      <c r="M160" s="13">
        <f>MAX(0,MIN(J160,12)-8.0)</f>
        <v/>
      </c>
      <c r="N160" s="13">
        <f>MAX(0,J160-12)</f>
        <v/>
      </c>
      <c r="O160" s="11" t="n"/>
      <c r="P160" s="12">
        <f>E160*(L160+M160*1.5+N160*2+O160*3+N(K160))</f>
        <v/>
      </c>
      <c r="Q160" s="12" t="n">
        <v>501.58</v>
      </c>
      <c r="R160" s="12">
        <f>Q160-P160</f>
        <v/>
      </c>
    </row>
    <row r="161">
      <c r="A161" s="11" t="inlineStr">
        <is>
          <t>3503</t>
        </is>
      </c>
      <c r="B161" s="11" t="inlineStr">
        <is>
          <t>Donald Wilson</t>
        </is>
      </c>
      <c r="C161" s="11" t="inlineStr">
        <is>
          <t>PROP 5-TON(ENCLOSED)</t>
        </is>
      </c>
      <c r="D161" s="11" t="inlineStr"/>
      <c r="E161" s="12" t="n">
        <v>32.36</v>
      </c>
      <c r="F161" s="11" t="n"/>
      <c r="G161" s="11" t="n"/>
      <c r="H161" s="11" t="n"/>
      <c r="I161" s="11" t="n"/>
      <c r="J161" s="13">
        <f>IF(AND(N(F161)&gt;0,N(I161)&gt;0),I161-F161-IF(N(G161)&gt;0,0.5,0)-IF(N(H161)&gt;0,0.5,0),0)</f>
        <v/>
      </c>
      <c r="K161" s="11" t="n"/>
      <c r="L161" s="13">
        <f>MIN(J161,8.0)</f>
        <v/>
      </c>
      <c r="M161" s="13">
        <f>MAX(0,MIN(J161,12)-8.0)</f>
        <v/>
      </c>
      <c r="N161" s="13">
        <f>MAX(0,J161-12)</f>
        <v/>
      </c>
      <c r="O161" s="11" t="n"/>
      <c r="P161" s="12">
        <f>E161*(L161+M161*1.5+N161*2+O161*3+N(K161))</f>
        <v/>
      </c>
      <c r="Q161" s="12" t="n">
        <v>501.58</v>
      </c>
      <c r="R161" s="12">
        <f>Q161-P161</f>
        <v/>
      </c>
    </row>
    <row r="162">
      <c r="A162" s="11" t="inlineStr">
        <is>
          <t>3503</t>
        </is>
      </c>
      <c r="B162" s="11" t="inlineStr"/>
      <c r="C162" s="11" t="inlineStr">
        <is>
          <t>WARDROBE STAKEBEDDRIVER#1</t>
        </is>
      </c>
      <c r="D162" s="11" t="inlineStr"/>
      <c r="E162" s="12" t="n">
        <v>37.99</v>
      </c>
      <c r="F162" s="11" t="n"/>
      <c r="G162" s="11" t="n"/>
      <c r="H162" s="11" t="n"/>
      <c r="I162" s="11" t="n"/>
      <c r="J162" s="13">
        <f>IF(AND(N(F162)&gt;0,N(I162)&gt;0),I162-F162-IF(N(G162)&gt;0,0.5,0)-IF(N(H162)&gt;0,0.5,0),0)</f>
        <v/>
      </c>
      <c r="K162" s="11" t="n"/>
      <c r="L162" s="13">
        <f>MIN(J162,8.0)</f>
        <v/>
      </c>
      <c r="M162" s="13">
        <f>MAX(0,MIN(J162,12)-8.0)</f>
        <v/>
      </c>
      <c r="N162" s="13">
        <f>MAX(0,J162-12)</f>
        <v/>
      </c>
      <c r="O162" s="11" t="n"/>
      <c r="P162" s="12">
        <f>E162*(L162+M162*1.5+N162*2+O162*3+N(K162))</f>
        <v/>
      </c>
      <c r="Q162" s="12" t="n">
        <v>588.85</v>
      </c>
      <c r="R162" s="12">
        <f>Q162-P162</f>
        <v/>
      </c>
    </row>
    <row r="163">
      <c r="A163" s="11" t="inlineStr">
        <is>
          <t>3503</t>
        </is>
      </c>
      <c r="B163" s="11" t="inlineStr"/>
      <c r="C163" s="11" t="inlineStr">
        <is>
          <t>MAKEUP HAIR TRAILERDRIVER</t>
        </is>
      </c>
      <c r="D163" s="11" t="inlineStr"/>
      <c r="E163" s="12" t="n">
        <v>32.36</v>
      </c>
      <c r="F163" s="11" t="n"/>
      <c r="G163" s="11" t="n"/>
      <c r="H163" s="11" t="n"/>
      <c r="I163" s="11" t="n"/>
      <c r="J163" s="13">
        <f>IF(AND(N(F163)&gt;0,N(I163)&gt;0),I163-F163-IF(N(G163)&gt;0,0.5,0)-IF(N(H163)&gt;0,0.5,0),0)</f>
        <v/>
      </c>
      <c r="K163" s="11" t="n"/>
      <c r="L163" s="13">
        <f>MIN(J163,8.0)</f>
        <v/>
      </c>
      <c r="M163" s="13">
        <f>MAX(0,MIN(J163,12)-8.0)</f>
        <v/>
      </c>
      <c r="N163" s="13">
        <f>MAX(0,J163-12)</f>
        <v/>
      </c>
      <c r="O163" s="11" t="n"/>
      <c r="P163" s="12">
        <f>E163*(L163+M163*1.5+N163*2+O163*3+N(K163))</f>
        <v/>
      </c>
      <c r="Q163" s="12" t="n">
        <v>501.58</v>
      </c>
      <c r="R163" s="12">
        <f>Q163-P163</f>
        <v/>
      </c>
    </row>
    <row r="164">
      <c r="A164" s="11" t="inlineStr">
        <is>
          <t>3503</t>
        </is>
      </c>
      <c r="B164" s="11" t="inlineStr"/>
      <c r="C164" s="11" t="inlineStr">
        <is>
          <t>ELECTRIC 10TONDRIVER(GENIEOPERATOR)</t>
        </is>
      </c>
      <c r="D164" s="11" t="inlineStr"/>
      <c r="E164" s="12" t="n">
        <v>37.99</v>
      </c>
      <c r="F164" s="11" t="n"/>
      <c r="G164" s="11" t="n"/>
      <c r="H164" s="11" t="n"/>
      <c r="I164" s="11" t="n"/>
      <c r="J164" s="13">
        <f>IF(AND(N(F164)&gt;0,N(I164)&gt;0),I164-F164-IF(N(G164)&gt;0,0.5,0)-IF(N(H164)&gt;0,0.5,0),0)</f>
        <v/>
      </c>
      <c r="K164" s="11" t="n"/>
      <c r="L164" s="13">
        <f>MIN(J164,8.0)</f>
        <v/>
      </c>
      <c r="M164" s="13">
        <f>MAX(0,MIN(J164,12)-8.0)</f>
        <v/>
      </c>
      <c r="N164" s="13">
        <f>MAX(0,J164-12)</f>
        <v/>
      </c>
      <c r="O164" s="11" t="n"/>
      <c r="P164" s="12">
        <f>E164*(L164+M164*1.5+N164*2+O164*3+N(K164))</f>
        <v/>
      </c>
      <c r="Q164" s="12" t="n">
        <v>588.85</v>
      </c>
      <c r="R164" s="12">
        <f>Q164-P164</f>
        <v/>
      </c>
    </row>
    <row r="165">
      <c r="A165" s="11" t="inlineStr">
        <is>
          <t>3503</t>
        </is>
      </c>
      <c r="B165" s="11" t="inlineStr"/>
      <c r="C165" s="11" t="inlineStr">
        <is>
          <t>SOUND CCSTAKEBEDFUELTRUCKDRIVER</t>
        </is>
      </c>
      <c r="D165" s="11" t="inlineStr"/>
      <c r="E165" s="12" t="n">
        <v>32.36</v>
      </c>
      <c r="F165" s="11" t="n"/>
      <c r="G165" s="11" t="n"/>
      <c r="H165" s="11" t="n"/>
      <c r="I165" s="11" t="n"/>
      <c r="J165" s="13">
        <f>IF(AND(N(F165)&gt;0,N(I165)&gt;0),I165-F165-IF(N(G165)&gt;0,0.5,0)-IF(N(H165)&gt;0,0.5,0),0)</f>
        <v/>
      </c>
      <c r="K165" s="11" t="n"/>
      <c r="L165" s="13">
        <f>MIN(J165,8.0)</f>
        <v/>
      </c>
      <c r="M165" s="13">
        <f>MAX(0,MIN(J165,12)-8.0)</f>
        <v/>
      </c>
      <c r="N165" s="13">
        <f>MAX(0,J165-12)</f>
        <v/>
      </c>
      <c r="O165" s="11" t="n"/>
      <c r="P165" s="12">
        <f>E165*(L165+M165*1.5+N165*2+O165*3+N(K165))</f>
        <v/>
      </c>
      <c r="Q165" s="12" t="n">
        <v>501.58</v>
      </c>
      <c r="R165" s="12">
        <f>Q165-P165</f>
        <v/>
      </c>
    </row>
    <row r="166">
      <c r="A166" s="11" t="inlineStr">
        <is>
          <t>3503</t>
        </is>
      </c>
      <c r="B166" s="11" t="inlineStr"/>
      <c r="C166" s="11" t="inlineStr">
        <is>
          <t>9-ROOMHONEYWAGONTRACTORDRIVER</t>
        </is>
      </c>
      <c r="D166" s="11" t="inlineStr"/>
      <c r="E166" s="12" t="n">
        <v>32.36</v>
      </c>
      <c r="F166" s="11" t="n"/>
      <c r="G166" s="11" t="n"/>
      <c r="H166" s="11" t="n"/>
      <c r="I166" s="11" t="n"/>
      <c r="J166" s="13">
        <f>IF(AND(N(F166)&gt;0,N(I166)&gt;0),I166-F166-IF(N(G166)&gt;0,0.5,0)-IF(N(H166)&gt;0,0.5,0),0)</f>
        <v/>
      </c>
      <c r="K166" s="11" t="n"/>
      <c r="L166" s="13">
        <f>MIN(J166,8.0)</f>
        <v/>
      </c>
      <c r="M166" s="13">
        <f>MAX(0,MIN(J166,12)-8.0)</f>
        <v/>
      </c>
      <c r="N166" s="13">
        <f>MAX(0,J166-12)</f>
        <v/>
      </c>
      <c r="O166" s="11" t="n"/>
      <c r="P166" s="12">
        <f>E166*(L166+M166*1.5+N166*2+O166*3+N(K166))</f>
        <v/>
      </c>
      <c r="Q166" s="12" t="n">
        <v>501.58</v>
      </c>
      <c r="R166" s="12">
        <f>Q166-P166</f>
        <v/>
      </c>
    </row>
    <row r="167">
      <c r="A167" s="11" t="inlineStr">
        <is>
          <t>3503</t>
        </is>
      </c>
      <c r="B167" s="11" t="inlineStr"/>
      <c r="C167" s="11" t="inlineStr">
        <is>
          <t>FORDTRANSITV AND RIVER#1</t>
        </is>
      </c>
      <c r="D167" s="11" t="inlineStr"/>
      <c r="E167" s="12" t="n">
        <v>32.36</v>
      </c>
      <c r="F167" s="11" t="n"/>
      <c r="G167" s="11" t="n"/>
      <c r="H167" s="11" t="n"/>
      <c r="I167" s="11" t="n"/>
      <c r="J167" s="13">
        <f>IF(AND(N(F167)&gt;0,N(I167)&gt;0),I167-F167-IF(N(G167)&gt;0,0.5,0)-IF(N(H167)&gt;0,0.5,0),0)</f>
        <v/>
      </c>
      <c r="K167" s="11" t="n"/>
      <c r="L167" s="13">
        <f>MIN(J167,8.0)</f>
        <v/>
      </c>
      <c r="M167" s="13">
        <f>MAX(0,MIN(J167,12)-8.0)</f>
        <v/>
      </c>
      <c r="N167" s="13">
        <f>MAX(0,J167-12)</f>
        <v/>
      </c>
      <c r="O167" s="11" t="n"/>
      <c r="P167" s="12">
        <f>E167*(L167+M167*1.5+N167*2+O167*3+N(K167))</f>
        <v/>
      </c>
      <c r="Q167" s="12" t="n">
        <v>501.58</v>
      </c>
      <c r="R167" s="12">
        <f>Q167-P167</f>
        <v/>
      </c>
    </row>
    <row r="168">
      <c r="A168" s="11" t="inlineStr">
        <is>
          <t>3503</t>
        </is>
      </c>
      <c r="B168" s="11" t="inlineStr">
        <is>
          <t>Kaiser Clark</t>
        </is>
      </c>
      <c r="C168" s="11" t="inlineStr">
        <is>
          <t>C SET DECTRUCKDRIVER#1</t>
        </is>
      </c>
      <c r="D168" s="11" t="inlineStr"/>
      <c r="E168" s="12" t="n">
        <v>32.36</v>
      </c>
      <c r="F168" s="11" t="n"/>
      <c r="G168" s="11" t="n"/>
      <c r="H168" s="11" t="n"/>
      <c r="I168" s="11" t="n"/>
      <c r="J168" s="13">
        <f>IF(AND(N(F168)&gt;0,N(I168)&gt;0),I168-F168-IF(N(G168)&gt;0,0.5,0)-IF(N(H168)&gt;0,0.5,0),0)</f>
        <v/>
      </c>
      <c r="K168" s="11" t="n"/>
      <c r="L168" s="13">
        <f>MIN(J168,8.0)</f>
        <v/>
      </c>
      <c r="M168" s="13">
        <f>MAX(0,MIN(J168,12)-8.0)</f>
        <v/>
      </c>
      <c r="N168" s="13">
        <f>MAX(0,J168-12)</f>
        <v/>
      </c>
      <c r="O168" s="11" t="n"/>
      <c r="P168" s="12">
        <f>E168*(L168+M168*1.5+N168*2+O168*3+N(K168))</f>
        <v/>
      </c>
      <c r="Q168" s="12" t="n">
        <v>501.58</v>
      </c>
      <c r="R168" s="12">
        <f>Q168-P168</f>
        <v/>
      </c>
    </row>
    <row r="169">
      <c r="A169" s="11" t="inlineStr">
        <is>
          <t>3503</t>
        </is>
      </c>
      <c r="B169" s="11" t="inlineStr"/>
      <c r="C169" s="11" t="inlineStr">
        <is>
          <t>C 5-TONENCLOSEDRIGGING GRIP DRIVER</t>
        </is>
      </c>
      <c r="D169" s="11" t="inlineStr"/>
      <c r="E169" s="12" t="n">
        <v>32.36</v>
      </c>
      <c r="F169" s="11" t="n"/>
      <c r="G169" s="11" t="n"/>
      <c r="H169" s="11" t="n"/>
      <c r="I169" s="11" t="n"/>
      <c r="J169" s="13">
        <f>IF(AND(N(F169)&gt;0,N(I169)&gt;0),I169-F169-IF(N(G169)&gt;0,0.5,0)-IF(N(H169)&gt;0,0.5,0),0)</f>
        <v/>
      </c>
      <c r="K169" s="11" t="n"/>
      <c r="L169" s="13">
        <f>MIN(J169,8.0)</f>
        <v/>
      </c>
      <c r="M169" s="13">
        <f>MAX(0,MIN(J169,12)-8.0)</f>
        <v/>
      </c>
      <c r="N169" s="13">
        <f>MAX(0,J169-12)</f>
        <v/>
      </c>
      <c r="O169" s="11" t="n"/>
      <c r="P169" s="12">
        <f>E169*(L169+M169*1.5+N169*2+O169*3+N(K169))</f>
        <v/>
      </c>
      <c r="Q169" s="11" t="n"/>
      <c r="R169" s="12">
        <f>Q169-P169</f>
        <v/>
      </c>
    </row>
    <row r="170">
      <c r="A170" s="11" t="inlineStr">
        <is>
          <t>3503</t>
        </is>
      </c>
      <c r="B170" s="11" t="inlineStr"/>
      <c r="C170" s="11" t="inlineStr">
        <is>
          <t>SCOUTBUS</t>
        </is>
      </c>
      <c r="D170" s="11" t="inlineStr"/>
      <c r="E170" s="12" t="n">
        <v>32.36</v>
      </c>
      <c r="F170" s="11" t="n"/>
      <c r="G170" s="11" t="n"/>
      <c r="H170" s="11" t="n"/>
      <c r="I170" s="11" t="n"/>
      <c r="J170" s="13">
        <f>IF(AND(N(F170)&gt;0,N(I170)&gt;0),I170-F170-IF(N(G170)&gt;0,0.5,0)-IF(N(H170)&gt;0,0.5,0),0)</f>
        <v/>
      </c>
      <c r="K170" s="11" t="n"/>
      <c r="L170" s="13">
        <f>MIN(J170,8.0)</f>
        <v/>
      </c>
      <c r="M170" s="13">
        <f>MAX(0,MIN(J170,12)-8.0)</f>
        <v/>
      </c>
      <c r="N170" s="13">
        <f>MAX(0,J170-12)</f>
        <v/>
      </c>
      <c r="O170" s="11" t="n"/>
      <c r="P170" s="12">
        <f>E170*(L170+M170*1.5+N170*2+O170*3+N(K170))</f>
        <v/>
      </c>
      <c r="Q170" s="11" t="n"/>
      <c r="R170" s="12">
        <f>Q170-P170</f>
        <v/>
      </c>
    </row>
    <row r="171">
      <c r="A171" s="11" t="inlineStr">
        <is>
          <t>3503</t>
        </is>
      </c>
      <c r="B171" s="11" t="inlineStr"/>
      <c r="C171" s="11" t="inlineStr">
        <is>
          <t>DRIVERM AND AYS</t>
        </is>
      </c>
      <c r="D171" s="11" t="inlineStr"/>
      <c r="E171" s="12" t="n">
        <v>32.36</v>
      </c>
      <c r="F171" s="11" t="n"/>
      <c r="G171" s="11" t="n"/>
      <c r="H171" s="11" t="n"/>
      <c r="I171" s="11" t="n"/>
      <c r="J171" s="13">
        <f>IF(AND(N(F171)&gt;0,N(I171)&gt;0),I171-F171-IF(N(G171)&gt;0,0.5,0)-IF(N(H171)&gt;0,0.5,0),0)</f>
        <v/>
      </c>
      <c r="K171" s="11" t="n"/>
      <c r="L171" s="13">
        <f>MIN(J171,8.0)</f>
        <v/>
      </c>
      <c r="M171" s="13">
        <f>MAX(0,MIN(J171,12)-8.0)</f>
        <v/>
      </c>
      <c r="N171" s="13">
        <f>MAX(0,J171-12)</f>
        <v/>
      </c>
      <c r="O171" s="11" t="n"/>
      <c r="P171" s="12">
        <f>E171*(L171+M171*1.5+N171*2+O171*3+N(K171))</f>
        <v/>
      </c>
      <c r="Q171" s="11" t="n"/>
      <c r="R171" s="12">
        <f>Q171-P171</f>
        <v/>
      </c>
    </row>
    <row r="172">
      <c r="C172" s="5" t="inlineStr">
        <is>
          <t>TRANSPORTATION LABOR</t>
        </is>
      </c>
      <c r="P172" s="14">
        <f>SUM(P158:P171)</f>
        <v/>
      </c>
      <c r="Q172" s="14">
        <f>SUM(Q158:Q171)</f>
        <v/>
      </c>
      <c r="R172" s="14">
        <f>SUM(R158:R171)</f>
        <v/>
      </c>
    </row>
    <row r="173">
      <c r="C173" s="5" t="inlineStr">
        <is>
          <t>TRANSPORTATION FRINGE</t>
        </is>
      </c>
      <c r="E173" s="15" t="n">
        <v>0.4807</v>
      </c>
      <c r="P173" s="14">
        <f>P172*0.4807</f>
        <v/>
      </c>
      <c r="Q173" s="14">
        <f>Q172*0.4807</f>
        <v/>
      </c>
      <c r="R173" s="14">
        <f>R172*0.4807</f>
        <v/>
      </c>
    </row>
    <row r="175">
      <c r="B175" s="5" t="inlineStr">
        <is>
          <t>LOCATIONS</t>
        </is>
      </c>
    </row>
    <row r="176">
      <c r="A176" s="11" t="inlineStr">
        <is>
          <t>3607</t>
        </is>
      </c>
      <c r="B176" s="11" t="inlineStr"/>
      <c r="C176" s="11" t="inlineStr">
        <is>
          <t>Location#1(Hospital ER, LACountry Childrens Shelter, Shelter Dorm, Dept...</t>
        </is>
      </c>
      <c r="D176" s="11" t="inlineStr">
        <is>
          <t>Local400</t>
        </is>
      </c>
      <c r="E176" s="12" t="n">
        <v>50000</v>
      </c>
      <c r="F176" s="11" t="n"/>
      <c r="G176" s="11" t="n"/>
      <c r="H176" s="11" t="n"/>
      <c r="I176" s="11" t="n"/>
      <c r="J176" s="13">
        <f>IF(AND(N(F176)&gt;0,N(I176)&gt;0),I176-F176-IF(N(G176)&gt;0,0.5,0)-IF(N(H176)&gt;0,0.5,0),0)</f>
        <v/>
      </c>
      <c r="K176" s="11" t="n"/>
      <c r="L176" s="13">
        <f>MIN(J176,8.0)</f>
        <v/>
      </c>
      <c r="M176" s="13">
        <f>MAX(0,MIN(J176,12)-8.0)</f>
        <v/>
      </c>
      <c r="N176" s="13">
        <f>MAX(0,J176-12)</f>
        <v/>
      </c>
      <c r="O176" s="11" t="n"/>
      <c r="P176" s="12">
        <f>E176*(L176+M176*1.5+N176*2+O176*3+N(K176))</f>
        <v/>
      </c>
      <c r="Q176" s="12" t="n">
        <v>50000</v>
      </c>
      <c r="R176" s="12">
        <f>Q176-P176</f>
        <v/>
      </c>
    </row>
    <row r="177">
      <c r="A177" s="11" t="inlineStr">
        <is>
          <t>3621</t>
        </is>
      </c>
      <c r="B177" s="11" t="inlineStr"/>
      <c r="C177" s="11" t="inlineStr">
        <is>
          <t>COOKDRIVER#1</t>
        </is>
      </c>
      <c r="D177" s="11" t="inlineStr">
        <is>
          <t>Local399</t>
        </is>
      </c>
      <c r="E177" s="12" t="n">
        <v>32.36</v>
      </c>
      <c r="F177" s="11" t="n"/>
      <c r="G177" s="11" t="n"/>
      <c r="H177" s="11" t="n"/>
      <c r="I177" s="11" t="n"/>
      <c r="J177" s="13">
        <f>IF(AND(N(F177)&gt;0,N(I177)&gt;0),I177-F177-IF(N(G177)&gt;0,0.5,0)-IF(N(H177)&gt;0,0.5,0),0)</f>
        <v/>
      </c>
      <c r="K177" s="11" t="n"/>
      <c r="L177" s="13">
        <f>MIN(J177,8.0)</f>
        <v/>
      </c>
      <c r="M177" s="13">
        <f>MAX(0,MIN(J177,12)-8.0)</f>
        <v/>
      </c>
      <c r="N177" s="13">
        <f>MAX(0,J177-12)</f>
        <v/>
      </c>
      <c r="O177" s="11" t="n"/>
      <c r="P177" s="12">
        <f>E177*(L177+M177*1.5+N177*2+O177*3+N(K177))</f>
        <v/>
      </c>
      <c r="Q177" s="12" t="n">
        <v>647.2</v>
      </c>
      <c r="R177" s="12">
        <f>Q177-P177</f>
        <v/>
      </c>
    </row>
    <row r="178">
      <c r="A178" s="11" t="inlineStr">
        <is>
          <t>3621</t>
        </is>
      </c>
      <c r="B178" s="11" t="inlineStr"/>
      <c r="C178" s="11" t="inlineStr">
        <is>
          <t>1STASSTCATERER#1</t>
        </is>
      </c>
      <c r="D178" s="11" t="inlineStr"/>
      <c r="E178" s="12" t="n">
        <v>17</v>
      </c>
      <c r="F178" s="11" t="n"/>
      <c r="G178" s="11" t="n"/>
      <c r="H178" s="11" t="n"/>
      <c r="I178" s="11" t="n"/>
      <c r="J178" s="13">
        <f>IF(AND(N(F178)&gt;0,N(I178)&gt;0),I178-F178-IF(N(G178)&gt;0,0.5,0)-IF(N(H178)&gt;0,0.5,0),0)</f>
        <v/>
      </c>
      <c r="K178" s="11" t="n"/>
      <c r="L178" s="13">
        <f>MIN(J178,8.0)</f>
        <v/>
      </c>
      <c r="M178" s="13">
        <f>MAX(0,MIN(J178,12)-8.0)</f>
        <v/>
      </c>
      <c r="N178" s="13">
        <f>MAX(0,J178-12)</f>
        <v/>
      </c>
      <c r="O178" s="11" t="n"/>
      <c r="P178" s="12">
        <f>E178*(L178+M178*1.5+N178*2+O178*3+N(K178))</f>
        <v/>
      </c>
      <c r="Q178" s="12" t="n">
        <v>340</v>
      </c>
      <c r="R178" s="12">
        <f>Q178-P178</f>
        <v/>
      </c>
    </row>
    <row r="179">
      <c r="A179" s="11" t="inlineStr">
        <is>
          <t>3621</t>
        </is>
      </c>
      <c r="B179" s="11" t="inlineStr"/>
      <c r="C179" s="11" t="inlineStr">
        <is>
          <t>1STASSTCATERER#2</t>
        </is>
      </c>
      <c r="D179" s="11" t="inlineStr"/>
      <c r="E179" s="12" t="n">
        <v>16</v>
      </c>
      <c r="F179" s="11" t="n"/>
      <c r="G179" s="11" t="n"/>
      <c r="H179" s="11" t="n"/>
      <c r="I179" s="11" t="n"/>
      <c r="J179" s="13">
        <f>IF(AND(N(F179)&gt;0,N(I179)&gt;0),I179-F179-IF(N(G179)&gt;0,0.5,0)-IF(N(H179)&gt;0,0.5,0),0)</f>
        <v/>
      </c>
      <c r="K179" s="11" t="n"/>
      <c r="L179" s="13">
        <f>MIN(J179,8.0)</f>
        <v/>
      </c>
      <c r="M179" s="13">
        <f>MAX(0,MIN(J179,12)-8.0)</f>
        <v/>
      </c>
      <c r="N179" s="13">
        <f>MAX(0,J179-12)</f>
        <v/>
      </c>
      <c r="O179" s="11" t="n"/>
      <c r="P179" s="12">
        <f>E179*(L179+M179*1.5+N179*2+O179*3+N(K179))</f>
        <v/>
      </c>
      <c r="Q179" s="12" t="n">
        <v>320</v>
      </c>
      <c r="R179" s="12">
        <f>Q179-P179</f>
        <v/>
      </c>
    </row>
    <row r="180">
      <c r="C180" s="5" t="inlineStr">
        <is>
          <t>LOCATIONS LABOR</t>
        </is>
      </c>
      <c r="P180" s="14">
        <f>SUM(P176:P179)</f>
        <v/>
      </c>
      <c r="Q180" s="14">
        <f>SUM(Q176:Q179)</f>
        <v/>
      </c>
      <c r="R180" s="14">
        <f>SUM(R176:R179)</f>
        <v/>
      </c>
    </row>
    <row r="181">
      <c r="C181" s="5" t="inlineStr">
        <is>
          <t>LOCATIONS FRINGE</t>
        </is>
      </c>
      <c r="E181" s="15" t="n">
        <v>0.2851</v>
      </c>
      <c r="P181" s="14">
        <f>P180*0.2851</f>
        <v/>
      </c>
      <c r="Q181" s="14">
        <f>Q180*0.2851</f>
        <v/>
      </c>
      <c r="R181" s="14">
        <f>R180*0.2851</f>
        <v/>
      </c>
    </row>
    <row r="183">
      <c r="K183" s="3" t="inlineStr">
        <is>
          <t>TOTAL</t>
        </is>
      </c>
      <c r="P183" s="3" t="inlineStr">
        <is>
          <t>ACTUAL</t>
        </is>
      </c>
      <c r="Q183" s="3" t="inlineStr">
        <is>
          <t>BUDGET</t>
        </is>
      </c>
      <c r="R183" s="3" t="inlineStr">
        <is>
          <t>TOTAL VAR</t>
        </is>
      </c>
    </row>
    <row r="184">
      <c r="P184" s="3" t="inlineStr">
        <is>
          <t>DAY COST</t>
        </is>
      </c>
      <c r="Q184" s="3" t="inlineStr">
        <is>
          <t>DY COST</t>
        </is>
      </c>
      <c r="R184" s="3" t="inlineStr">
        <is>
          <t>(OVER) / UNDER</t>
        </is>
      </c>
    </row>
    <row r="185">
      <c r="P185" s="16">
        <f>P28+P29+P51+P52+P58+P59+P77+P78+P85+P86+P96+P97+P102+P103+P110+P111+P122+P123+P133+P134+P146+P147+P154+P155+P172+P173+P180+P181</f>
        <v/>
      </c>
      <c r="Q185" s="16">
        <f>Q28+Q29+Q51+Q52+Q58+Q59+Q77+Q78+Q85+Q86+Q96+Q97+Q102+Q103+Q110+Q111+Q122+Q123+Q133+Q134+Q146+Q147+Q154+Q155+Q172+Q173+Q180+Q181</f>
        <v/>
      </c>
      <c r="R185" s="16">
        <f>R28+R29+R51+R52+R58+R59+R77+R78+R85+R86+R96+R97+R102+R103+R110+R111+R122+R123+R133+R134+R146+R147+R154+R155+R172+R173+R180+R181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2026-08-12T22:26:51Z</dcterms:created>
  <dcterms:modified xsi:type="dcterms:W3CDTF">2026-08-12T22:26:52Z</dcterms:modified>
</cp:coreProperties>
</file>