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01317 PRESHOOT" sheetId="1" state="visible" r:id="rId1"/>
    <sheet name="101617" sheetId="2" state="visible" r:id="rId2"/>
    <sheet name="101717" sheetId="3" state="visible" r:id="rId3"/>
    <sheet name="101817" sheetId="4" state="visible" r:id="rId4"/>
    <sheet name="101917" sheetId="5" state="visible" r:id="rId5"/>
    <sheet name="102017" sheetId="6" state="visible" r:id="rId6"/>
    <sheet name="102317" sheetId="7" state="visible" r:id="rId7"/>
    <sheet name="102417" sheetId="8" state="visible" r:id="rId8"/>
    <sheet name="102517" sheetId="9" state="visible" r:id="rId9"/>
    <sheet name="102617" sheetId="10" state="visible" r:id="rId10"/>
    <sheet name="102717" sheetId="11" state="visible" r:id="rId11"/>
    <sheet name="103017" sheetId="12" state="visible" r:id="rId12"/>
    <sheet name="103117" sheetId="13" state="visible" r:id="rId13"/>
    <sheet name="110117" sheetId="14" state="visible" r:id="rId14"/>
    <sheet name="110217" sheetId="15" state="visible" r:id="rId15"/>
    <sheet name="110317" sheetId="16" state="visible" r:id="rId16"/>
    <sheet name="110617" sheetId="17" state="visible" r:id="rId17"/>
    <sheet name="110717" sheetId="18" state="visible" r:id="rId18"/>
    <sheet name="110817" sheetId="19" state="visible" r:id="rId19"/>
    <sheet name="110917" sheetId="20" state="visible" r:id="rId20"/>
    <sheet name="111017" sheetId="21" state="visible" r:id="rId21"/>
    <sheet name="111317" sheetId="22" state="visible" r:id="rId22"/>
    <sheet name="111417" sheetId="23" state="visible" r:id="rId23"/>
    <sheet name="111517" sheetId="24" state="visible" r:id="rId24"/>
    <sheet name="111617" sheetId="25" state="visible" r:id="rId25"/>
    <sheet name="111717" sheetId="26" state="visible" r:id="rId2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2"/>
    </font>
    <font>
      <b val="1"/>
      <color rgb="001F5C4D"/>
      <sz val="9"/>
    </font>
    <font>
      <i val="1"/>
      <color rgb="00808080"/>
      <sz val="8"/>
    </font>
    <font>
      <b val="1"/>
      <sz val="9"/>
    </font>
    <font>
      <b val="1"/>
    </font>
  </fonts>
  <fills count="3">
    <fill>
      <patternFill/>
    </fill>
    <fill>
      <patternFill patternType="gray125"/>
    </fill>
    <fill>
      <patternFill patternType="solid">
        <fgColor rgb="00EDF1EC"/>
      </patternFill>
    </fill>
  </fills>
  <borders count="2">
    <border>
      <left/>
      <right/>
      <top/>
      <bottom/>
      <diagonal/>
    </border>
    <border>
      <bottom style="thin">
        <color rgb="00D0D0D0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wrapText="1"/>
    </xf>
    <xf numFmtId="0" fontId="0" fillId="0" borderId="1" pivotButton="0" quotePrefix="0" xfId="0"/>
    <xf numFmtId="4" fontId="0" fillId="0" borderId="1" pivotButton="0" quotePrefix="0" xfId="0"/>
    <xf numFmtId="2" fontId="0" fillId="0" borderId="1" pivotButton="0" quotePrefix="0" xfId="0"/>
    <xf numFmtId="4" fontId="0" fillId="0" borderId="0" pivotButton="0" quotePrefix="0" xfId="0"/>
    <xf numFmtId="0" fontId="4" fillId="0" borderId="0" pivotButton="0" quotePrefix="0" xfId="0"/>
    <xf numFmtId="4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styles" Target="styles.xml" Id="rId27" /><Relationship Type="http://schemas.openxmlformats.org/officeDocument/2006/relationships/theme" Target="theme/theme1.xml" Id="rId2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34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20" customWidth="1" min="3" max="3"/>
    <col width="9" customWidth="1" min="4" max="4"/>
    <col width="9" customWidth="1" min="5" max="5"/>
    <col width="7" customWidth="1" min="6" max="6"/>
    <col width="7" customWidth="1" min="7" max="7"/>
    <col width="8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12" customWidth="1" min="16" max="16"/>
    <col width="13" customWidth="1" min="17" max="17"/>
    <col width="14" customWidth="1" min="18" max="18"/>
  </cols>
  <sheetData>
    <row r="1">
      <c r="A1" s="1" t="inlineStr">
        <is>
          <t>HOT COST</t>
        </is>
      </c>
      <c r="C1" t="inlineStr">
        <is>
          <t>Friday 13 Oct 2017</t>
        </is>
      </c>
      <c r="F1" s="2" t="inlineStr">
        <is>
          <t>PRESHOOT</t>
        </is>
      </c>
    </row>
    <row r="2">
      <c r="A2" s="3" t="inlineStr">
        <is>
          <t>enter CALL, LUNCH, WRAP as decimal hours (e.g. 7.5) — everything right of WRAP computes</t>
        </is>
      </c>
    </row>
    <row r="4">
      <c r="A4" s="4" t="inlineStr">
        <is>
          <t>ACCT</t>
        </is>
      </c>
      <c r="B4" s="4" t="inlineStr">
        <is>
          <t>NAME</t>
        </is>
      </c>
      <c r="C4" s="4" t="inlineStr">
        <is>
          <t>POSITION</t>
        </is>
      </c>
      <c r="D4" s="4" t="inlineStr">
        <is>
          <t>UNION</t>
        </is>
      </c>
      <c r="E4" s="4" t="inlineStr">
        <is>
          <t>RATE</t>
        </is>
      </c>
      <c r="F4" s="4" t="inlineStr">
        <is>
          <t>CALL</t>
        </is>
      </c>
      <c r="G4" s="4" t="inlineStr">
        <is>
          <t>LUNCH</t>
        </is>
      </c>
      <c r="H4" s="4" t="inlineStr">
        <is>
          <t>LUNCH 2</t>
        </is>
      </c>
      <c r="I4" s="4" t="inlineStr">
        <is>
          <t>WRAP</t>
        </is>
      </c>
      <c r="J4" s="4" t="inlineStr">
        <is>
          <t>HRS</t>
        </is>
      </c>
      <c r="K4" s="4" t="inlineStr">
        <is>
          <t>MP'S</t>
        </is>
      </c>
      <c r="L4" s="4" t="inlineStr">
        <is>
          <t>ST</t>
        </is>
      </c>
      <c r="M4" s="4" t="inlineStr">
        <is>
          <t>1.5X</t>
        </is>
      </c>
      <c r="N4" s="4" t="inlineStr">
        <is>
          <t>2X</t>
        </is>
      </c>
      <c r="O4" s="4" t="inlineStr">
        <is>
          <t>3X</t>
        </is>
      </c>
      <c r="P4" s="4" t="inlineStr">
        <is>
          <t>TOTAL / DAY</t>
        </is>
      </c>
      <c r="Q4" s="4" t="inlineStr">
        <is>
          <t>BUDGET / DAY</t>
        </is>
      </c>
      <c r="R4" s="4" t="inlineStr">
        <is>
          <t>(OVER) / UNDER</t>
        </is>
      </c>
    </row>
    <row r="5">
      <c r="B5" s="2" t="inlineStr">
        <is>
          <t>LEAD#</t>
        </is>
      </c>
    </row>
    <row r="6">
      <c r="A6" s="5" t="inlineStr">
        <is>
          <t>1401</t>
        </is>
      </c>
      <c r="B6" s="5" t="inlineStr">
        <is>
          <t>Linda Cardellini</t>
        </is>
      </c>
      <c r="C6" s="5" t="inlineStr">
        <is>
          <t>"ANNA"</t>
        </is>
      </c>
      <c r="D6" s="5" t="inlineStr"/>
      <c r="E6" s="6" t="n">
        <v>1211.8</v>
      </c>
      <c r="F6" s="5" t="n"/>
      <c r="G6" s="5" t="n"/>
      <c r="H6" s="5" t="n"/>
      <c r="I6" s="5" t="n"/>
      <c r="J6" s="7">
        <f>IF(AND(N(F6)&gt;0,N(I6)&gt;0),I6-F6-IF(N(G6)&gt;0,0.5,0)-IF(N(H6)&gt;0,0.5,0),0)</f>
        <v/>
      </c>
      <c r="K6" s="5" t="n"/>
      <c r="L6" s="7">
        <f>MIN(J6,8.0)</f>
        <v/>
      </c>
      <c r="M6" s="7">
        <f>MAX(0,MIN(J6,12)-8.0)</f>
        <v/>
      </c>
      <c r="N6" s="7">
        <f>MAX(0,J6-12)</f>
        <v/>
      </c>
      <c r="O6" s="5" t="n"/>
      <c r="P6" s="6">
        <f>E6*(L6+M6*1.5+N6*2+O6*3+N(K6))</f>
        <v/>
      </c>
      <c r="Q6" s="6" t="n">
        <v>1211.8</v>
      </c>
      <c r="R6" s="6">
        <f>Q6-P6</f>
        <v/>
      </c>
    </row>
    <row r="7">
      <c r="P7" s="2" t="inlineStr">
        <is>
          <t>LEAD# LABOR</t>
        </is>
      </c>
      <c r="R7" s="8">
        <f>SUM(R6:R6)</f>
        <v/>
      </c>
    </row>
    <row r="9">
      <c r="B9" s="2" t="inlineStr">
        <is>
          <t>LEAD#2&amp;#</t>
        </is>
      </c>
    </row>
    <row r="10">
      <c r="A10" s="5" t="inlineStr">
        <is>
          <t>1402</t>
        </is>
      </c>
      <c r="B10" s="5" t="inlineStr">
        <is>
          <t>Roman Christou</t>
        </is>
      </c>
      <c r="C10" s="5" t="inlineStr">
        <is>
          <t>"CHRIS"(Minor)</t>
        </is>
      </c>
      <c r="D10" s="5" t="inlineStr"/>
      <c r="E10" s="6" t="n">
        <v>755.4</v>
      </c>
      <c r="F10" s="5" t="n"/>
      <c r="G10" s="5" t="n"/>
      <c r="H10" s="5" t="n"/>
      <c r="I10" s="5" t="n"/>
      <c r="J10" s="7">
        <f>IF(AND(N(F10)&gt;0,N(I10)&gt;0),I10-F10-IF(N(G10)&gt;0,0.5,0)-IF(N(H10)&gt;0,0.5,0),0)</f>
        <v/>
      </c>
      <c r="K10" s="5" t="n"/>
      <c r="L10" s="7">
        <f>MIN(J10,8.0)</f>
        <v/>
      </c>
      <c r="M10" s="7">
        <f>MAX(0,MIN(J10,12)-8.0)</f>
        <v/>
      </c>
      <c r="N10" s="7">
        <f>MAX(0,J10-12)</f>
        <v/>
      </c>
      <c r="O10" s="5" t="n"/>
      <c r="P10" s="6">
        <f>E10*(L10+M10*1.5+N10*2+O10*3+N(K10))</f>
        <v/>
      </c>
      <c r="Q10" s="6" t="n">
        <v>755.4</v>
      </c>
      <c r="R10" s="6">
        <f>Q10-P10</f>
        <v/>
      </c>
    </row>
    <row r="11">
      <c r="A11" s="5" t="inlineStr">
        <is>
          <t>1402</t>
        </is>
      </c>
      <c r="B11" s="5" t="inlineStr">
        <is>
          <t>Jaynee Lynee Kinchen</t>
        </is>
      </c>
      <c r="C11" s="5" t="inlineStr">
        <is>
          <t>"SAMANTHA"(Minor)</t>
        </is>
      </c>
      <c r="D11" s="5" t="inlineStr"/>
      <c r="E11" s="6" t="n">
        <v>755.4</v>
      </c>
      <c r="F11" s="5" t="n"/>
      <c r="G11" s="5" t="n"/>
      <c r="H11" s="5" t="n"/>
      <c r="I11" s="5" t="n"/>
      <c r="J11" s="7">
        <f>IF(AND(N(F11)&gt;0,N(I11)&gt;0),I11-F11-IF(N(G11)&gt;0,0.5,0)-IF(N(H11)&gt;0,0.5,0),0)</f>
        <v/>
      </c>
      <c r="K11" s="5" t="n"/>
      <c r="L11" s="7">
        <f>MIN(J11,8.0)</f>
        <v/>
      </c>
      <c r="M11" s="7">
        <f>MAX(0,MIN(J11,12)-8.0)</f>
        <v/>
      </c>
      <c r="N11" s="7">
        <f>MAX(0,J11-12)</f>
        <v/>
      </c>
      <c r="O11" s="5" t="n"/>
      <c r="P11" s="6">
        <f>E11*(L11+M11*1.5+N11*2+O11*3+N(K11))</f>
        <v/>
      </c>
      <c r="Q11" s="6" t="n">
        <v>755.4</v>
      </c>
      <c r="R11" s="6">
        <f>Q11-P11</f>
        <v/>
      </c>
    </row>
    <row r="12">
      <c r="P12" s="2" t="inlineStr">
        <is>
          <t>LEAD#2&amp;# LABOR</t>
        </is>
      </c>
      <c r="R12" s="8">
        <f>SUM(R10:R11)</f>
        <v/>
      </c>
    </row>
    <row r="14">
      <c r="B14" s="2" t="inlineStr">
        <is>
          <t>OTHERLEADCAST</t>
        </is>
      </c>
    </row>
    <row r="15">
      <c r="A15" s="5" t="inlineStr">
        <is>
          <t>1403</t>
        </is>
      </c>
      <c r="B15" s="5" t="inlineStr">
        <is>
          <t>Raymond Cruz</t>
        </is>
      </c>
      <c r="C15" s="5" t="inlineStr">
        <is>
          <t>"RAFAELOLVERA"</t>
        </is>
      </c>
      <c r="D15" s="5" t="inlineStr"/>
      <c r="E15" s="6" t="n">
        <v>1211.8</v>
      </c>
      <c r="F15" s="5" t="n"/>
      <c r="G15" s="5" t="n"/>
      <c r="H15" s="5" t="n"/>
      <c r="I15" s="5" t="n"/>
      <c r="J15" s="7">
        <f>IF(AND(N(F15)&gt;0,N(I15)&gt;0),I15-F15-IF(N(G15)&gt;0,0.5,0)-IF(N(H15)&gt;0,0.5,0),0)</f>
        <v/>
      </c>
      <c r="K15" s="5" t="n"/>
      <c r="L15" s="7">
        <f>MIN(J15,8.0)</f>
        <v/>
      </c>
      <c r="M15" s="7">
        <f>MAX(0,MIN(J15,12)-8.0)</f>
        <v/>
      </c>
      <c r="N15" s="7">
        <f>MAX(0,J15-12)</f>
        <v/>
      </c>
      <c r="O15" s="5" t="n"/>
      <c r="P15" s="6">
        <f>E15*(L15+M15*1.5+N15*2+O15*3+N(K15))</f>
        <v/>
      </c>
      <c r="Q15" s="6" t="n">
        <v>1211.8</v>
      </c>
      <c r="R15" s="6">
        <f>Q15-P15</f>
        <v/>
      </c>
    </row>
    <row r="16">
      <c r="A16" s="5" t="inlineStr">
        <is>
          <t>1403</t>
        </is>
      </c>
      <c r="B16" s="5" t="inlineStr">
        <is>
          <t>Marisol Ramirez</t>
        </is>
      </c>
      <c r="C16" s="5" t="inlineStr">
        <is>
          <t>"LALLORONA"</t>
        </is>
      </c>
      <c r="D16" s="5" t="inlineStr"/>
      <c r="E16" s="6" t="n">
        <v>1211.8</v>
      </c>
      <c r="F16" s="5" t="n"/>
      <c r="G16" s="5" t="n"/>
      <c r="H16" s="5" t="n"/>
      <c r="I16" s="5" t="n"/>
      <c r="J16" s="7">
        <f>IF(AND(N(F16)&gt;0,N(I16)&gt;0),I16-F16-IF(N(G16)&gt;0,0.5,0)-IF(N(H16)&gt;0,0.5,0),0)</f>
        <v/>
      </c>
      <c r="K16" s="5" t="n"/>
      <c r="L16" s="7">
        <f>MIN(J16,8.0)</f>
        <v/>
      </c>
      <c r="M16" s="7">
        <f>MAX(0,MIN(J16,12)-8.0)</f>
        <v/>
      </c>
      <c r="N16" s="7">
        <f>MAX(0,J16-12)</f>
        <v/>
      </c>
      <c r="O16" s="5" t="n"/>
      <c r="P16" s="6">
        <f>E16*(L16+M16*1.5+N16*2+O16*3+N(K16))</f>
        <v/>
      </c>
      <c r="Q16" s="6" t="n">
        <v>1211.8</v>
      </c>
      <c r="R16" s="6">
        <f>Q16-P16</f>
        <v/>
      </c>
    </row>
    <row r="17">
      <c r="A17" s="5" t="inlineStr">
        <is>
          <t>1403</t>
        </is>
      </c>
      <c r="B17" s="5" t="inlineStr">
        <is>
          <t>Patrica Velasquez</t>
        </is>
      </c>
      <c r="C17" s="5" t="inlineStr">
        <is>
          <t>"PATRICIA"</t>
        </is>
      </c>
      <c r="D17" s="5" t="inlineStr"/>
      <c r="E17" s="6" t="n">
        <v>1972</v>
      </c>
      <c r="F17" s="5" t="n"/>
      <c r="G17" s="5" t="n"/>
      <c r="H17" s="5" t="n"/>
      <c r="I17" s="5" t="n"/>
      <c r="J17" s="7">
        <f>IF(AND(N(F17)&gt;0,N(I17)&gt;0),I17-F17-IF(N(G17)&gt;0,0.5,0)-IF(N(H17)&gt;0,0.5,0),0)</f>
        <v/>
      </c>
      <c r="K17" s="5" t="n"/>
      <c r="L17" s="7">
        <f>MIN(J17,8.0)</f>
        <v/>
      </c>
      <c r="M17" s="7">
        <f>MAX(0,MIN(J17,12)-8.0)</f>
        <v/>
      </c>
      <c r="N17" s="7">
        <f>MAX(0,J17-12)</f>
        <v/>
      </c>
      <c r="O17" s="5" t="n"/>
      <c r="P17" s="6">
        <f>E17*(L17+M17*1.5+N17*2+O17*3+N(K17))</f>
        <v/>
      </c>
      <c r="Q17" s="6" t="n">
        <v>1972</v>
      </c>
      <c r="R17" s="6">
        <f>Q17-P17</f>
        <v/>
      </c>
    </row>
    <row r="18">
      <c r="P18" s="2" t="inlineStr">
        <is>
          <t>OTHERLEADCAST LABOR</t>
        </is>
      </c>
      <c r="R18" s="8">
        <f>SUM(R15:R17)</f>
        <v/>
      </c>
    </row>
    <row r="20">
      <c r="B20" s="2" t="inlineStr">
        <is>
          <t>SUPPORTINGCAST</t>
        </is>
      </c>
    </row>
    <row r="21">
      <c r="A21" s="5" t="inlineStr">
        <is>
          <t>1404</t>
        </is>
      </c>
      <c r="B21" s="5" t="inlineStr">
        <is>
          <t>Sean Patrick Thomas</t>
        </is>
      </c>
      <c r="C21" s="5" t="inlineStr">
        <is>
          <t>DETCOOPER</t>
        </is>
      </c>
      <c r="D21" s="5" t="inlineStr"/>
      <c r="E21" s="6" t="n">
        <v>1211.8</v>
      </c>
      <c r="F21" s="5" t="n"/>
      <c r="G21" s="5" t="n"/>
      <c r="H21" s="5" t="n"/>
      <c r="I21" s="5" t="n"/>
      <c r="J21" s="7">
        <f>IF(AND(N(F21)&gt;0,N(I21)&gt;0),I21-F21-IF(N(G21)&gt;0,0.5,0)-IF(N(H21)&gt;0,0.5,0),0)</f>
        <v/>
      </c>
      <c r="K21" s="5" t="n"/>
      <c r="L21" s="7">
        <f>MIN(J21,8.0)</f>
        <v/>
      </c>
      <c r="M21" s="7">
        <f>MAX(0,MIN(J21,12)-8.0)</f>
        <v/>
      </c>
      <c r="N21" s="7">
        <f>MAX(0,J21-12)</f>
        <v/>
      </c>
      <c r="O21" s="5" t="n"/>
      <c r="P21" s="6">
        <f>E21*(L21+M21*1.5+N21*2+O21*3+N(K21))</f>
        <v/>
      </c>
      <c r="Q21" s="6" t="n">
        <v>1211.8</v>
      </c>
      <c r="R21" s="6">
        <f>Q21-P21</f>
        <v/>
      </c>
    </row>
    <row r="22">
      <c r="A22" s="5" t="inlineStr">
        <is>
          <t>1404</t>
        </is>
      </c>
      <c r="B22" s="5" t="inlineStr">
        <is>
          <t>Tony Amendola</t>
        </is>
      </c>
      <c r="C22" s="5" t="inlineStr">
        <is>
          <t>"FATHERPEREZ"</t>
        </is>
      </c>
      <c r="D22" s="5" t="inlineStr"/>
      <c r="E22" s="6" t="n">
        <v>1972</v>
      </c>
      <c r="F22" s="5" t="n"/>
      <c r="G22" s="5" t="n"/>
      <c r="H22" s="5" t="n"/>
      <c r="I22" s="5" t="n"/>
      <c r="J22" s="7">
        <f>IF(AND(N(F22)&gt;0,N(I22)&gt;0),I22-F22-IF(N(G22)&gt;0,0.5,0)-IF(N(H22)&gt;0,0.5,0),0)</f>
        <v/>
      </c>
      <c r="K22" s="5" t="n"/>
      <c r="L22" s="7">
        <f>MIN(J22,8.0)</f>
        <v/>
      </c>
      <c r="M22" s="7">
        <f>MAX(0,MIN(J22,12)-8.0)</f>
        <v/>
      </c>
      <c r="N22" s="7">
        <f>MAX(0,J22-12)</f>
        <v/>
      </c>
      <c r="O22" s="5" t="n"/>
      <c r="P22" s="6">
        <f>E22*(L22+M22*1.5+N22*2+O22*3+N(K22))</f>
        <v/>
      </c>
      <c r="Q22" s="6" t="n">
        <v>1972</v>
      </c>
      <c r="R22" s="6">
        <f>Q22-P22</f>
        <v/>
      </c>
    </row>
    <row r="23">
      <c r="P23" s="2" t="inlineStr">
        <is>
          <t>SUPPORTINGCAST LABOR</t>
        </is>
      </c>
      <c r="R23" s="8">
        <f>SUM(R21:R22)</f>
        <v/>
      </c>
    </row>
    <row r="25">
      <c r="B25" s="2" t="inlineStr">
        <is>
          <t>DAYPLAYERS</t>
        </is>
      </c>
    </row>
    <row r="26">
      <c r="A26" s="5" t="inlineStr">
        <is>
          <t>1405</t>
        </is>
      </c>
      <c r="B26" s="5" t="inlineStr">
        <is>
          <t>Kristy Keng(Drop/Pickup)</t>
        </is>
      </c>
      <c r="C26" s="5" t="inlineStr">
        <is>
          <t>"DONNA"</t>
        </is>
      </c>
      <c r="D26" s="5" t="inlineStr"/>
      <c r="E26" s="6" t="n">
        <v>1972</v>
      </c>
      <c r="F26" s="5" t="n"/>
      <c r="G26" s="5" t="n"/>
      <c r="H26" s="5" t="n"/>
      <c r="I26" s="5" t="n"/>
      <c r="J26" s="7">
        <f>IF(AND(N(F26)&gt;0,N(I26)&gt;0),I26-F26-IF(N(G26)&gt;0,0.5,0)-IF(N(H26)&gt;0,0.5,0),0)</f>
        <v/>
      </c>
      <c r="K26" s="5" t="n"/>
      <c r="L26" s="7">
        <f>MIN(J26,8.0)</f>
        <v/>
      </c>
      <c r="M26" s="7">
        <f>MAX(0,MIN(J26,12)-8.0)</f>
        <v/>
      </c>
      <c r="N26" s="7">
        <f>MAX(0,J26-12)</f>
        <v/>
      </c>
      <c r="O26" s="5" t="n"/>
      <c r="P26" s="6">
        <f>E26*(L26+M26*1.5+N26*2+O26*3+N(K26))</f>
        <v/>
      </c>
      <c r="Q26" s="6" t="n">
        <v>1972</v>
      </c>
      <c r="R26" s="6">
        <f>Q26-P26</f>
        <v/>
      </c>
    </row>
    <row r="27">
      <c r="A27" s="5" t="inlineStr">
        <is>
          <t>1405</t>
        </is>
      </c>
      <c r="B27" s="5" t="inlineStr">
        <is>
          <t>Oliver Alexander</t>
        </is>
      </c>
      <c r="C27" s="5" t="inlineStr">
        <is>
          <t>"CARLOS"(Minor)</t>
        </is>
      </c>
      <c r="D27" s="5" t="inlineStr"/>
      <c r="E27" s="6" t="n">
        <v>1249</v>
      </c>
      <c r="F27" s="5" t="n"/>
      <c r="G27" s="5" t="n"/>
      <c r="H27" s="5" t="n"/>
      <c r="I27" s="5" t="n"/>
      <c r="J27" s="7">
        <f>IF(AND(N(F27)&gt;0,N(I27)&gt;0),I27-F27-IF(N(G27)&gt;0,0.5,0)-IF(N(H27)&gt;0,0.5,0),0)</f>
        <v/>
      </c>
      <c r="K27" s="5" t="n"/>
      <c r="L27" s="7">
        <f>MIN(J27,8.0)</f>
        <v/>
      </c>
      <c r="M27" s="7">
        <f>MAX(0,MIN(J27,12)-8.0)</f>
        <v/>
      </c>
      <c r="N27" s="7">
        <f>MAX(0,J27-12)</f>
        <v/>
      </c>
      <c r="O27" s="5" t="n"/>
      <c r="P27" s="6">
        <f>E27*(L27+M27*1.5+N27*2+O27*3+N(K27))</f>
        <v/>
      </c>
      <c r="Q27" s="6" t="n">
        <v>1249</v>
      </c>
      <c r="R27" s="6">
        <f>Q27-P27</f>
        <v/>
      </c>
    </row>
    <row r="28">
      <c r="A28" s="5" t="inlineStr">
        <is>
          <t>1405</t>
        </is>
      </c>
      <c r="B28" s="5" t="inlineStr">
        <is>
          <t>Adam Lewandowski</t>
        </is>
      </c>
      <c r="C28" s="5" t="inlineStr">
        <is>
          <t>"TOMAS"(Minor)</t>
        </is>
      </c>
      <c r="D28" s="5" t="inlineStr"/>
      <c r="E28" s="6" t="n">
        <v>1249</v>
      </c>
      <c r="F28" s="5" t="n"/>
      <c r="G28" s="5" t="n"/>
      <c r="H28" s="5" t="n"/>
      <c r="I28" s="5" t="n"/>
      <c r="J28" s="7">
        <f>IF(AND(N(F28)&gt;0,N(I28)&gt;0),I28-F28-IF(N(G28)&gt;0,0.5,0)-IF(N(H28)&gt;0,0.5,0),0)</f>
        <v/>
      </c>
      <c r="K28" s="5" t="n"/>
      <c r="L28" s="7">
        <f>MIN(J28,8.0)</f>
        <v/>
      </c>
      <c r="M28" s="7">
        <f>MAX(0,MIN(J28,12)-8.0)</f>
        <v/>
      </c>
      <c r="N28" s="7">
        <f>MAX(0,J28-12)</f>
        <v/>
      </c>
      <c r="O28" s="5" t="n"/>
      <c r="P28" s="6">
        <f>E28*(L28+M28*1.5+N28*2+O28*3+N(K28))</f>
        <v/>
      </c>
      <c r="Q28" s="6" t="n">
        <v>1249</v>
      </c>
      <c r="R28" s="6">
        <f>Q28-P28</f>
        <v/>
      </c>
    </row>
    <row r="29">
      <c r="A29" s="5" t="inlineStr">
        <is>
          <t>1405</t>
        </is>
      </c>
      <c r="B29" s="5" t="inlineStr">
        <is>
          <t>Paul Rodriquez Jr.</t>
        </is>
      </c>
      <c r="C29" s="5" t="inlineStr">
        <is>
          <t>"OFFICERCLARO"</t>
        </is>
      </c>
      <c r="D29" s="5" t="inlineStr"/>
      <c r="E29" s="6" t="n">
        <v>1972</v>
      </c>
      <c r="F29" s="5" t="n"/>
      <c r="G29" s="5" t="n"/>
      <c r="H29" s="5" t="n"/>
      <c r="I29" s="5" t="n"/>
      <c r="J29" s="7">
        <f>IF(AND(N(F29)&gt;0,N(I29)&gt;0),I29-F29-IF(N(G29)&gt;0,0.5,0)-IF(N(H29)&gt;0,0.5,0),0)</f>
        <v/>
      </c>
      <c r="K29" s="5" t="n"/>
      <c r="L29" s="7">
        <f>MIN(J29,8.0)</f>
        <v/>
      </c>
      <c r="M29" s="7">
        <f>MAX(0,MIN(J29,12)-8.0)</f>
        <v/>
      </c>
      <c r="N29" s="7">
        <f>MAX(0,J29-12)</f>
        <v/>
      </c>
      <c r="O29" s="5" t="n"/>
      <c r="P29" s="6">
        <f>E29*(L29+M29*1.5+N29*2+O29*3+N(K29))</f>
        <v/>
      </c>
      <c r="Q29" s="6" t="n">
        <v>1972</v>
      </c>
      <c r="R29" s="6">
        <f>Q29-P29</f>
        <v/>
      </c>
    </row>
    <row r="30">
      <c r="A30" s="5" t="inlineStr">
        <is>
          <t>1405</t>
        </is>
      </c>
      <c r="B30" s="5" t="inlineStr">
        <is>
          <t>Sophia Santi</t>
        </is>
      </c>
      <c r="C30" s="5" t="inlineStr">
        <is>
          <t>"FEMALECUSTOMER"</t>
        </is>
      </c>
      <c r="D30" s="5" t="inlineStr"/>
      <c r="E30" s="6" t="n">
        <v>1972</v>
      </c>
      <c r="F30" s="5" t="n"/>
      <c r="G30" s="5" t="n"/>
      <c r="H30" s="5" t="n"/>
      <c r="I30" s="5" t="n"/>
      <c r="J30" s="7">
        <f>IF(AND(N(F30)&gt;0,N(I30)&gt;0),I30-F30-IF(N(G30)&gt;0,0.5,0)-IF(N(H30)&gt;0,0.5,0),0)</f>
        <v/>
      </c>
      <c r="K30" s="5" t="n"/>
      <c r="L30" s="7">
        <f>MIN(J30,8.0)</f>
        <v/>
      </c>
      <c r="M30" s="7">
        <f>MAX(0,MIN(J30,12)-8.0)</f>
        <v/>
      </c>
      <c r="N30" s="7">
        <f>MAX(0,J30-12)</f>
        <v/>
      </c>
      <c r="O30" s="5" t="n"/>
      <c r="P30" s="6">
        <f>E30*(L30+M30*1.5+N30*2+O30*3+N(K30))</f>
        <v/>
      </c>
      <c r="Q30" s="6" t="n">
        <v>1972</v>
      </c>
      <c r="R30" s="6">
        <f>Q30-P30</f>
        <v/>
      </c>
    </row>
    <row r="31">
      <c r="A31" s="5" t="inlineStr">
        <is>
          <t>1405</t>
        </is>
      </c>
      <c r="B31" s="5" t="inlineStr">
        <is>
          <t>John Marshall Jones</t>
        </is>
      </c>
      <c r="C31" s="5" t="inlineStr">
        <is>
          <t>"MRHANKINS"</t>
        </is>
      </c>
      <c r="D31" s="5" t="inlineStr"/>
      <c r="E31" s="6" t="n">
        <v>1972</v>
      </c>
      <c r="F31" s="5" t="n"/>
      <c r="G31" s="5" t="n"/>
      <c r="H31" s="5" t="n"/>
      <c r="I31" s="5" t="n"/>
      <c r="J31" s="7">
        <f>IF(AND(N(F31)&gt;0,N(I31)&gt;0),I31-F31-IF(N(G31)&gt;0,0.5,0)-IF(N(H31)&gt;0,0.5,0),0)</f>
        <v/>
      </c>
      <c r="K31" s="5" t="n"/>
      <c r="L31" s="7">
        <f>MIN(J31,8.0)</f>
        <v/>
      </c>
      <c r="M31" s="7">
        <f>MAX(0,MIN(J31,12)-8.0)</f>
        <v/>
      </c>
      <c r="N31" s="7">
        <f>MAX(0,J31-12)</f>
        <v/>
      </c>
      <c r="O31" s="5" t="n"/>
      <c r="P31" s="6">
        <f>E31*(L31+M31*1.5+N31*2+O31*3+N(K31))</f>
        <v/>
      </c>
      <c r="Q31" s="6" t="n">
        <v>1972</v>
      </c>
      <c r="R31" s="6">
        <f>Q31-P31</f>
        <v/>
      </c>
    </row>
    <row r="32">
      <c r="A32" s="5" t="inlineStr">
        <is>
          <t>1405</t>
        </is>
      </c>
      <c r="B32" s="5" t="inlineStr">
        <is>
          <t>Madeleine Mcgraw</t>
        </is>
      </c>
      <c r="C32" s="5" t="inlineStr">
        <is>
          <t>"APRIL"(Minor)</t>
        </is>
      </c>
      <c r="D32" s="5" t="inlineStr"/>
      <c r="E32" s="6" t="n">
        <v>1249</v>
      </c>
      <c r="F32" s="5" t="n"/>
      <c r="G32" s="5" t="n"/>
      <c r="H32" s="5" t="n"/>
      <c r="I32" s="5" t="n"/>
      <c r="J32" s="7">
        <f>IF(AND(N(F32)&gt;0,N(I32)&gt;0),I32-F32-IF(N(G32)&gt;0,0.5,0)-IF(N(H32)&gt;0,0.5,0),0)</f>
        <v/>
      </c>
      <c r="K32" s="5" t="n"/>
      <c r="L32" s="7">
        <f>MIN(J32,8.0)</f>
        <v/>
      </c>
      <c r="M32" s="7">
        <f>MAX(0,MIN(J32,12)-8.0)</f>
        <v/>
      </c>
      <c r="N32" s="7">
        <f>MAX(0,J32-12)</f>
        <v/>
      </c>
      <c r="O32" s="5" t="n"/>
      <c r="P32" s="6">
        <f>E32*(L32+M32*1.5+N32*2+O32*3+N(K32))</f>
        <v/>
      </c>
      <c r="Q32" s="6" t="n">
        <v>1249</v>
      </c>
      <c r="R32" s="6">
        <f>Q32-P32</f>
        <v/>
      </c>
    </row>
    <row r="33">
      <c r="P33" s="2" t="inlineStr">
        <is>
          <t>DAYPLAYERS LABOR</t>
        </is>
      </c>
      <c r="R33" s="8">
        <f>SUM(R26:R32)</f>
        <v/>
      </c>
    </row>
    <row r="35">
      <c r="B35" s="2" t="inlineStr">
        <is>
          <t>STUNTCOORD</t>
        </is>
      </c>
    </row>
    <row r="36">
      <c r="A36" s="5" t="inlineStr">
        <is>
          <t>1406</t>
        </is>
      </c>
      <c r="B36" s="5" t="inlineStr">
        <is>
          <t>Rob King</t>
        </is>
      </c>
      <c r="C36" s="5" t="inlineStr">
        <is>
          <t>STUNTCOORDINATOR</t>
        </is>
      </c>
      <c r="D36" s="5" t="inlineStr"/>
      <c r="E36" s="6" t="n">
        <v>1173</v>
      </c>
      <c r="F36" s="5" t="n"/>
      <c r="G36" s="5" t="n"/>
      <c r="H36" s="5" t="n"/>
      <c r="I36" s="5" t="n"/>
      <c r="J36" s="7">
        <f>IF(AND(N(F36)&gt;0,N(I36)&gt;0),I36-F36-IF(N(G36)&gt;0,0.5,0)-IF(N(H36)&gt;0,0.5,0),0)</f>
        <v/>
      </c>
      <c r="K36" s="5" t="n"/>
      <c r="L36" s="7">
        <f>MIN(J36,8.0)</f>
        <v/>
      </c>
      <c r="M36" s="7">
        <f>MAX(0,MIN(J36,12)-8.0)</f>
        <v/>
      </c>
      <c r="N36" s="7">
        <f>MAX(0,J36-12)</f>
        <v/>
      </c>
      <c r="O36" s="5" t="n"/>
      <c r="P36" s="6">
        <f>E36*(L36+M36*1.5+N36*2+O36*3+N(K36))</f>
        <v/>
      </c>
      <c r="Q36" s="6" t="n">
        <v>1173</v>
      </c>
      <c r="R36" s="6">
        <f>Q36-P36</f>
        <v/>
      </c>
    </row>
    <row r="37">
      <c r="P37" s="2" t="inlineStr">
        <is>
          <t>STUNTCOORD LABOR</t>
        </is>
      </c>
      <c r="R37" s="8">
        <f>SUM(R36:R36)</f>
        <v/>
      </c>
    </row>
    <row r="39">
      <c r="B39" s="2" t="inlineStr">
        <is>
          <t>TEACHER/WELFAREWORKER</t>
        </is>
      </c>
    </row>
    <row r="40">
      <c r="A40" s="5" t="inlineStr">
        <is>
          <t>1412</t>
        </is>
      </c>
      <c r="B40" s="5" t="inlineStr"/>
      <c r="C40" s="5" t="inlineStr">
        <is>
          <t>WELFAREWORKER</t>
        </is>
      </c>
      <c r="D40" s="5" t="inlineStr">
        <is>
          <t>Local884</t>
        </is>
      </c>
      <c r="E40" s="6" t="n">
        <v>25.5</v>
      </c>
      <c r="F40" s="5" t="n"/>
      <c r="G40" s="5" t="n"/>
      <c r="H40" s="5" t="n"/>
      <c r="I40" s="5" t="n"/>
      <c r="J40" s="7">
        <f>IF(AND(N(F40)&gt;0,N(I40)&gt;0),I40-F40-IF(N(G40)&gt;0,0.5,0)-IF(N(H40)&gt;0,0.5,0),0)</f>
        <v/>
      </c>
      <c r="K40" s="5" t="n"/>
      <c r="L40" s="7">
        <f>MIN(J40,8.0)</f>
        <v/>
      </c>
      <c r="M40" s="7">
        <f>MAX(0,MIN(J40,12)-8.0)</f>
        <v/>
      </c>
      <c r="N40" s="7">
        <f>MAX(0,J40-12)</f>
        <v/>
      </c>
      <c r="O40" s="5" t="n"/>
      <c r="P40" s="6">
        <f>E40*(L40+M40*1.5+N40*2+O40*3+N(K40))</f>
        <v/>
      </c>
      <c r="Q40" s="6" t="n">
        <v>280.5</v>
      </c>
      <c r="R40" s="6">
        <f>Q40-P40</f>
        <v/>
      </c>
    </row>
    <row r="41">
      <c r="A41" s="5" t="inlineStr">
        <is>
          <t>1412</t>
        </is>
      </c>
      <c r="B41" s="5" t="inlineStr"/>
      <c r="C41" s="5" t="inlineStr">
        <is>
          <t>ADDLWELFAREWORKER</t>
        </is>
      </c>
      <c r="D41" s="5" t="inlineStr">
        <is>
          <t>Local884</t>
        </is>
      </c>
      <c r="E41" s="6" t="n">
        <v>25.5</v>
      </c>
      <c r="F41" s="5" t="n"/>
      <c r="G41" s="5" t="n"/>
      <c r="H41" s="5" t="n"/>
      <c r="I41" s="5" t="n"/>
      <c r="J41" s="7">
        <f>IF(AND(N(F41)&gt;0,N(I41)&gt;0),I41-F41-IF(N(G41)&gt;0,0.5,0)-IF(N(H41)&gt;0,0.5,0),0)</f>
        <v/>
      </c>
      <c r="K41" s="5" t="n"/>
      <c r="L41" s="7">
        <f>MIN(J41,8.0)</f>
        <v/>
      </c>
      <c r="M41" s="7">
        <f>MAX(0,MIN(J41,12)-8.0)</f>
        <v/>
      </c>
      <c r="N41" s="7">
        <f>MAX(0,J41-12)</f>
        <v/>
      </c>
      <c r="O41" s="5" t="n"/>
      <c r="P41" s="6">
        <f>E41*(L41+M41*1.5+N41*2+O41*3+N(K41))</f>
        <v/>
      </c>
      <c r="Q41" s="5" t="n"/>
      <c r="R41" s="6">
        <f>Q41-P41</f>
        <v/>
      </c>
    </row>
    <row r="42">
      <c r="P42" s="2" t="inlineStr">
        <is>
          <t>TEACHER/WELFAREWORKER LABOR</t>
        </is>
      </c>
      <c r="R42" s="8">
        <f>SUM(R40:R41)</f>
        <v/>
      </c>
    </row>
    <row r="44">
      <c r="B44" s="2" t="inlineStr">
        <is>
          <t>CASTINGDIRECTORS</t>
        </is>
      </c>
    </row>
    <row r="45">
      <c r="A45" s="5" t="inlineStr">
        <is>
          <t>1413</t>
        </is>
      </c>
      <c r="B45" s="5" t="inlineStr">
        <is>
          <t>Rich Delia</t>
        </is>
      </c>
      <c r="C45" s="5" t="inlineStr">
        <is>
          <t>CASTINGDIRECTOR</t>
        </is>
      </c>
      <c r="D45" s="5" t="inlineStr"/>
      <c r="E45" s="6" t="n">
        <v>600</v>
      </c>
      <c r="F45" s="5" t="n"/>
      <c r="G45" s="5" t="n"/>
      <c r="H45" s="5" t="n"/>
      <c r="I45" s="5" t="n"/>
      <c r="J45" s="7">
        <f>IF(AND(N(F45)&gt;0,N(I45)&gt;0),I45-F45-IF(N(G45)&gt;0,0.5,0)-IF(N(H45)&gt;0,0.5,0),0)</f>
        <v/>
      </c>
      <c r="K45" s="5" t="n"/>
      <c r="L45" s="7">
        <f>MIN(J45,8.0)</f>
        <v/>
      </c>
      <c r="M45" s="7">
        <f>MAX(0,MIN(J45,12)-8.0)</f>
        <v/>
      </c>
      <c r="N45" s="7">
        <f>MAX(0,J45-12)</f>
        <v/>
      </c>
      <c r="O45" s="5" t="n"/>
      <c r="P45" s="6">
        <f>E45*(L45+M45*1.5+N45*2+O45*3+N(K45))</f>
        <v/>
      </c>
      <c r="Q45" s="5" t="n"/>
      <c r="R45" s="6">
        <f>Q45-P45</f>
        <v/>
      </c>
    </row>
    <row r="46">
      <c r="P46" s="2" t="inlineStr">
        <is>
          <t>CASTINGDIRECTORS LABOR</t>
        </is>
      </c>
      <c r="R46" s="8">
        <f>SUM(R45:R45)</f>
        <v/>
      </c>
    </row>
    <row r="48">
      <c r="B48" s="2" t="inlineStr">
        <is>
          <t>CASTINGASSOCIATES/ASSISTANTS</t>
        </is>
      </c>
    </row>
    <row r="49">
      <c r="A49" s="5" t="inlineStr">
        <is>
          <t>1414</t>
        </is>
      </c>
      <c r="B49" s="5" t="inlineStr">
        <is>
          <t>Adam Richards</t>
        </is>
      </c>
      <c r="C49" s="5" t="inlineStr">
        <is>
          <t>CASTINGASSOCIATE</t>
        </is>
      </c>
      <c r="D49" s="5" t="inlineStr"/>
      <c r="E49" s="6" t="n">
        <v>200</v>
      </c>
      <c r="F49" s="5" t="n"/>
      <c r="G49" s="5" t="n"/>
      <c r="H49" s="5" t="n"/>
      <c r="I49" s="5" t="n"/>
      <c r="J49" s="7">
        <f>IF(AND(N(F49)&gt;0,N(I49)&gt;0),I49-F49-IF(N(G49)&gt;0,0.5,0)-IF(N(H49)&gt;0,0.5,0),0)</f>
        <v/>
      </c>
      <c r="K49" s="5" t="n"/>
      <c r="L49" s="7">
        <f>MIN(J49,8.0)</f>
        <v/>
      </c>
      <c r="M49" s="7">
        <f>MAX(0,MIN(J49,12)-8.0)</f>
        <v/>
      </c>
      <c r="N49" s="7">
        <f>MAX(0,J49-12)</f>
        <v/>
      </c>
      <c r="O49" s="5" t="n"/>
      <c r="P49" s="6">
        <f>E49*(L49+M49*1.5+N49*2+O49*3+N(K49))</f>
        <v/>
      </c>
      <c r="Q49" s="5" t="n"/>
      <c r="R49" s="6">
        <f>Q49-P49</f>
        <v/>
      </c>
    </row>
    <row r="50">
      <c r="P50" s="2" t="inlineStr">
        <is>
          <t>CASTINGASSOCIATES/ASSISTANTS LABOR</t>
        </is>
      </c>
      <c r="R50" s="8">
        <f>SUM(R49:R49)</f>
        <v/>
      </c>
    </row>
    <row r="52">
      <c r="B52" s="2" t="inlineStr">
        <is>
          <t>CASTDRIVERS/VEHICLES</t>
        </is>
      </c>
    </row>
    <row r="53">
      <c r="A53" s="5" t="inlineStr">
        <is>
          <t>1455</t>
        </is>
      </c>
      <c r="B53" s="5" t="inlineStr"/>
      <c r="C53" s="5" t="inlineStr">
        <is>
          <t>CAST 3-RMDRIVER</t>
        </is>
      </c>
      <c r="D53" s="5" t="inlineStr">
        <is>
          <t>Local399</t>
        </is>
      </c>
      <c r="E53" s="6" t="n">
        <v>32.36</v>
      </c>
      <c r="F53" s="5" t="n"/>
      <c r="G53" s="5" t="n"/>
      <c r="H53" s="5" t="n"/>
      <c r="I53" s="5" t="n"/>
      <c r="J53" s="7">
        <f>IF(AND(N(F53)&gt;0,N(I53)&gt;0),I53-F53-IF(N(G53)&gt;0,0.5,0)-IF(N(H53)&gt;0,0.5,0),0)</f>
        <v/>
      </c>
      <c r="K53" s="5" t="n"/>
      <c r="L53" s="7">
        <f>MIN(J53,8.0)</f>
        <v/>
      </c>
      <c r="M53" s="7">
        <f>MAX(0,MIN(J53,12)-8.0)</f>
        <v/>
      </c>
      <c r="N53" s="7">
        <f>MAX(0,J53-12)</f>
        <v/>
      </c>
      <c r="O53" s="5" t="n"/>
      <c r="P53" s="6">
        <f>E53*(L53+M53*1.5+N53*2+O53*3+N(K53))</f>
        <v/>
      </c>
      <c r="Q53" s="6" t="n">
        <v>453.04</v>
      </c>
      <c r="R53" s="6">
        <f>Q53-P53</f>
        <v/>
      </c>
    </row>
    <row r="54">
      <c r="A54" s="5" t="inlineStr">
        <is>
          <t>1455</t>
        </is>
      </c>
      <c r="B54" s="5" t="inlineStr"/>
      <c r="C54" s="5" t="inlineStr">
        <is>
          <t>CASTMINIVANDRIVER</t>
        </is>
      </c>
      <c r="D54" s="5" t="inlineStr">
        <is>
          <t>Local399</t>
        </is>
      </c>
      <c r="E54" s="6" t="n">
        <v>32.36</v>
      </c>
      <c r="F54" s="5" t="n"/>
      <c r="G54" s="5" t="n"/>
      <c r="H54" s="5" t="n"/>
      <c r="I54" s="5" t="n"/>
      <c r="J54" s="7">
        <f>IF(AND(N(F54)&gt;0,N(I54)&gt;0),I54-F54-IF(N(G54)&gt;0,0.5,0)-IF(N(H54)&gt;0,0.5,0),0)</f>
        <v/>
      </c>
      <c r="K54" s="5" t="n"/>
      <c r="L54" s="7">
        <f>MIN(J54,8.0)</f>
        <v/>
      </c>
      <c r="M54" s="7">
        <f>MAX(0,MIN(J54,12)-8.0)</f>
        <v/>
      </c>
      <c r="N54" s="7">
        <f>MAX(0,J54-12)</f>
        <v/>
      </c>
      <c r="O54" s="5" t="n"/>
      <c r="P54" s="6">
        <f>E54*(L54+M54*1.5+N54*2+O54*3+N(K54))</f>
        <v/>
      </c>
      <c r="Q54" s="6" t="n">
        <v>453.04</v>
      </c>
      <c r="R54" s="6">
        <f>Q54-P54</f>
        <v/>
      </c>
    </row>
    <row r="55">
      <c r="P55" s="2" t="inlineStr">
        <is>
          <t>CASTDRIVERS/VEHICLES LABOR</t>
        </is>
      </c>
      <c r="R55" s="8">
        <f>SUM(R53:R54)</f>
        <v/>
      </c>
    </row>
    <row r="57">
      <c r="B57" s="2" t="inlineStr">
        <is>
          <t>PRODUCTIONMANAGER</t>
        </is>
      </c>
    </row>
    <row r="58">
      <c r="A58" s="5" t="inlineStr">
        <is>
          <t>2001</t>
        </is>
      </c>
      <c r="B58" s="5" t="inlineStr">
        <is>
          <t>Carrie Morrow</t>
        </is>
      </c>
      <c r="C58" s="5" t="inlineStr">
        <is>
          <t>UPM</t>
        </is>
      </c>
      <c r="D58" s="5" t="inlineStr">
        <is>
          <t>DGA</t>
        </is>
      </c>
      <c r="E58" s="6" t="n">
        <v>1063.6</v>
      </c>
      <c r="F58" s="5" t="n"/>
      <c r="G58" s="5" t="n"/>
      <c r="H58" s="5" t="n"/>
      <c r="I58" s="5" t="n"/>
      <c r="J58" s="7">
        <f>IF(AND(N(F58)&gt;0,N(I58)&gt;0),I58-F58-IF(N(G58)&gt;0,0.5,0)-IF(N(H58)&gt;0,0.5,0),0)</f>
        <v/>
      </c>
      <c r="K58" s="5" t="n"/>
      <c r="L58" s="7">
        <f>MIN(J58,8.0)</f>
        <v/>
      </c>
      <c r="M58" s="7">
        <f>MAX(0,MIN(J58,12)-8.0)</f>
        <v/>
      </c>
      <c r="N58" s="7">
        <f>MAX(0,J58-12)</f>
        <v/>
      </c>
      <c r="O58" s="5" t="n"/>
      <c r="P58" s="6">
        <f>E58*(L58+M58*1.5+N58*2+O58*3+N(K58))</f>
        <v/>
      </c>
      <c r="Q58" s="6" t="n">
        <v>1063.6</v>
      </c>
      <c r="R58" s="6">
        <f>Q58-P58</f>
        <v/>
      </c>
    </row>
    <row r="59">
      <c r="P59" s="2" t="inlineStr">
        <is>
          <t>PRODUCTIONMANAGER LABOR</t>
        </is>
      </c>
      <c r="R59" s="8">
        <f>SUM(R58:R58)</f>
        <v/>
      </c>
    </row>
    <row r="61">
      <c r="B61" s="2" t="inlineStr">
        <is>
          <t>1STASSTDIRECTOR</t>
        </is>
      </c>
    </row>
    <row r="62">
      <c r="A62" s="5" t="inlineStr">
        <is>
          <t>2002</t>
        </is>
      </c>
      <c r="B62" s="5" t="inlineStr">
        <is>
          <t>James Moran</t>
        </is>
      </c>
      <c r="C62" s="5" t="inlineStr">
        <is>
          <t>1STASSTDIRECTOR</t>
        </is>
      </c>
      <c r="D62" s="5" t="inlineStr">
        <is>
          <t>DGA</t>
        </is>
      </c>
      <c r="E62" s="6" t="n">
        <v>985.6</v>
      </c>
      <c r="F62" s="5" t="n"/>
      <c r="G62" s="5" t="n"/>
      <c r="H62" s="5" t="n"/>
      <c r="I62" s="5" t="n"/>
      <c r="J62" s="7">
        <f>IF(AND(N(F62)&gt;0,N(I62)&gt;0),I62-F62-IF(N(G62)&gt;0,0.5,0)-IF(N(H62)&gt;0,0.5,0),0)</f>
        <v/>
      </c>
      <c r="K62" s="5" t="n"/>
      <c r="L62" s="7">
        <f>MIN(J62,8.0)</f>
        <v/>
      </c>
      <c r="M62" s="7">
        <f>MAX(0,MIN(J62,12)-8.0)</f>
        <v/>
      </c>
      <c r="N62" s="7">
        <f>MAX(0,J62-12)</f>
        <v/>
      </c>
      <c r="O62" s="5" t="n"/>
      <c r="P62" s="6">
        <f>E62*(L62+M62*1.5+N62*2+O62*3+N(K62))</f>
        <v/>
      </c>
      <c r="Q62" s="6" t="n">
        <v>985.6</v>
      </c>
      <c r="R62" s="6">
        <f>Q62-P62</f>
        <v/>
      </c>
    </row>
    <row r="63">
      <c r="P63" s="2" t="inlineStr">
        <is>
          <t>1STASSTDIRECTOR LABOR</t>
        </is>
      </c>
      <c r="R63" s="8">
        <f>SUM(R62:R62)</f>
        <v/>
      </c>
    </row>
    <row r="65">
      <c r="B65" s="2" t="inlineStr">
        <is>
          <t>2NDASSTDIRECTORS</t>
        </is>
      </c>
    </row>
    <row r="66">
      <c r="A66" s="5" t="inlineStr">
        <is>
          <t>2003</t>
        </is>
      </c>
      <c r="B66" s="5" t="inlineStr">
        <is>
          <t>Mark Newland</t>
        </is>
      </c>
      <c r="C66" s="5" t="inlineStr">
        <is>
          <t>KEY 2NDA. D.</t>
        </is>
      </c>
      <c r="D66" s="5" t="inlineStr">
        <is>
          <t>DGA</t>
        </is>
      </c>
      <c r="E66" s="6" t="n">
        <v>674.6</v>
      </c>
      <c r="F66" s="5" t="n"/>
      <c r="G66" s="5" t="n"/>
      <c r="H66" s="5" t="n"/>
      <c r="I66" s="5" t="n"/>
      <c r="J66" s="7">
        <f>IF(AND(N(F66)&gt;0,N(I66)&gt;0),I66-F66-IF(N(G66)&gt;0,0.5,0)-IF(N(H66)&gt;0,0.5,0),0)</f>
        <v/>
      </c>
      <c r="K66" s="5" t="n"/>
      <c r="L66" s="7">
        <f>MIN(J66,8.0)</f>
        <v/>
      </c>
      <c r="M66" s="7">
        <f>MAX(0,MIN(J66,12)-8.0)</f>
        <v/>
      </c>
      <c r="N66" s="7">
        <f>MAX(0,J66-12)</f>
        <v/>
      </c>
      <c r="O66" s="5" t="n"/>
      <c r="P66" s="6">
        <f>E66*(L66+M66*1.5+N66*2+O66*3+N(K66))</f>
        <v/>
      </c>
      <c r="Q66" s="6" t="n">
        <v>674.6</v>
      </c>
      <c r="R66" s="6">
        <f>Q66-P66</f>
        <v/>
      </c>
    </row>
    <row r="67">
      <c r="A67" s="5" t="inlineStr">
        <is>
          <t>2003</t>
        </is>
      </c>
      <c r="B67" s="5" t="inlineStr"/>
      <c r="C67" s="5" t="inlineStr">
        <is>
          <t>2ND 2NDA. D.</t>
        </is>
      </c>
      <c r="D67" s="5" t="inlineStr">
        <is>
          <t>DGA</t>
        </is>
      </c>
      <c r="E67" s="6" t="n">
        <v>526</v>
      </c>
      <c r="F67" s="5" t="n"/>
      <c r="G67" s="5" t="n"/>
      <c r="H67" s="5" t="n"/>
      <c r="I67" s="5" t="n"/>
      <c r="J67" s="7">
        <f>IF(AND(N(F67)&gt;0,N(I67)&gt;0),I67-F67-IF(N(G67)&gt;0,0.5,0)-IF(N(H67)&gt;0,0.5,0),0)</f>
        <v/>
      </c>
      <c r="K67" s="5" t="n"/>
      <c r="L67" s="7">
        <f>MIN(J67,8.0)</f>
        <v/>
      </c>
      <c r="M67" s="7">
        <f>MAX(0,MIN(J67,12)-8.0)</f>
        <v/>
      </c>
      <c r="N67" s="7">
        <f>MAX(0,J67-12)</f>
        <v/>
      </c>
      <c r="O67" s="5" t="n"/>
      <c r="P67" s="6">
        <f>E67*(L67+M67*1.5+N67*2+O67*3+N(K67))</f>
        <v/>
      </c>
      <c r="Q67" s="6" t="n">
        <v>526</v>
      </c>
      <c r="R67" s="6">
        <f>Q67-P67</f>
        <v/>
      </c>
    </row>
    <row r="68">
      <c r="P68" s="2" t="inlineStr">
        <is>
          <t>2NDASSTDIRECTORS LABOR</t>
        </is>
      </c>
      <c r="R68" s="8">
        <f>SUM(R66:R67)</f>
        <v/>
      </c>
    </row>
    <row r="70">
      <c r="B70" s="2" t="inlineStr">
        <is>
          <t>SCRIPTSUPERVISOR</t>
        </is>
      </c>
    </row>
    <row r="71">
      <c r="A71" s="5" t="inlineStr">
        <is>
          <t>2005</t>
        </is>
      </c>
      <c r="B71" s="5" t="inlineStr">
        <is>
          <t>Renata Amador</t>
        </is>
      </c>
      <c r="C71" s="5" t="inlineStr">
        <is>
          <t>SCRIPTSUPERVISOR</t>
        </is>
      </c>
      <c r="D71" s="5" t="inlineStr">
        <is>
          <t>Local871</t>
        </is>
      </c>
      <c r="E71" s="6" t="n">
        <v>25.5</v>
      </c>
      <c r="F71" s="5" t="n"/>
      <c r="G71" s="5" t="n"/>
      <c r="H71" s="5" t="n"/>
      <c r="I71" s="5" t="n"/>
      <c r="J71" s="7">
        <f>IF(AND(N(F71)&gt;0,N(I71)&gt;0),I71-F71-IF(N(G71)&gt;0,0.5,0)-IF(N(H71)&gt;0,0.5,0),0)</f>
        <v/>
      </c>
      <c r="K71" s="5" t="n"/>
      <c r="L71" s="7">
        <f>MIN(J71,10.0)</f>
        <v/>
      </c>
      <c r="M71" s="7">
        <f>MAX(0,MIN(J71,12)-10.0)</f>
        <v/>
      </c>
      <c r="N71" s="7">
        <f>MAX(0,J71-12)</f>
        <v/>
      </c>
      <c r="O71" s="5" t="n"/>
      <c r="P71" s="6">
        <f>E71*(L71+M71*1.5+N71*2+O71*3+N(K71))</f>
        <v/>
      </c>
      <c r="Q71" s="6" t="n">
        <v>280.5</v>
      </c>
      <c r="R71" s="6">
        <f>Q71-P71</f>
        <v/>
      </c>
    </row>
    <row r="72">
      <c r="P72" s="2" t="inlineStr">
        <is>
          <t>SCRIPTSUPERVISOR LABOR</t>
        </is>
      </c>
      <c r="R72" s="8">
        <f>SUM(R71:R71)</f>
        <v/>
      </c>
    </row>
    <row r="74">
      <c r="B74" s="2" t="inlineStr">
        <is>
          <t>LOCATIONMANAGERS</t>
        </is>
      </c>
    </row>
    <row r="75">
      <c r="A75" s="5" t="inlineStr">
        <is>
          <t>2007</t>
        </is>
      </c>
      <c r="B75" s="5" t="inlineStr">
        <is>
          <t>Stacey Brashear-Rodriquez</t>
        </is>
      </c>
      <c r="C75" s="5" t="inlineStr">
        <is>
          <t>LOCATIONMANAGER</t>
        </is>
      </c>
      <c r="D75" s="5" t="inlineStr">
        <is>
          <t>Local399</t>
        </is>
      </c>
      <c r="E75" s="6" t="n">
        <v>557.6</v>
      </c>
      <c r="F75" s="5" t="n"/>
      <c r="G75" s="5" t="n"/>
      <c r="H75" s="5" t="n"/>
      <c r="I75" s="5" t="n"/>
      <c r="J75" s="7">
        <f>IF(AND(N(F75)&gt;0,N(I75)&gt;0),I75-F75-IF(N(G75)&gt;0,0.5,0)-IF(N(H75)&gt;0,0.5,0),0)</f>
        <v/>
      </c>
      <c r="K75" s="5" t="n"/>
      <c r="L75" s="7">
        <f>MIN(J75,8.0)</f>
        <v/>
      </c>
      <c r="M75" s="7">
        <f>MAX(0,MIN(J75,12)-8.0)</f>
        <v/>
      </c>
      <c r="N75" s="7">
        <f>MAX(0,J75-12)</f>
        <v/>
      </c>
      <c r="O75" s="5" t="n"/>
      <c r="P75" s="6">
        <f>E75*(L75+M75*1.5+N75*2+O75*3+N(K75))</f>
        <v/>
      </c>
      <c r="Q75" s="6" t="n">
        <v>557.6</v>
      </c>
      <c r="R75" s="6">
        <f>Q75-P75</f>
        <v/>
      </c>
    </row>
    <row r="76">
      <c r="P76" s="2" t="inlineStr">
        <is>
          <t>LOCATIONMANAGERS LABOR</t>
        </is>
      </c>
      <c r="R76" s="8">
        <f>SUM(R75:R75)</f>
        <v/>
      </c>
    </row>
    <row r="78">
      <c r="B78" s="2" t="inlineStr">
        <is>
          <t>ASSISTANTLOCATIONMANAGERS</t>
        </is>
      </c>
    </row>
    <row r="79">
      <c r="A79" s="5" t="inlineStr">
        <is>
          <t>2008</t>
        </is>
      </c>
      <c r="B79" s="5" t="inlineStr">
        <is>
          <t>Rich Heichel</t>
        </is>
      </c>
      <c r="C79" s="5" t="inlineStr">
        <is>
          <t>KEYASSTLOCATIONMGR#1</t>
        </is>
      </c>
      <c r="D79" s="5" t="inlineStr">
        <is>
          <t>Local399</t>
        </is>
      </c>
      <c r="E79" s="6" t="n">
        <v>334.2</v>
      </c>
      <c r="F79" s="5" t="n"/>
      <c r="G79" s="5" t="n"/>
      <c r="H79" s="5" t="n"/>
      <c r="I79" s="5" t="n"/>
      <c r="J79" s="7">
        <f>IF(AND(N(F79)&gt;0,N(I79)&gt;0),I79-F79-IF(N(G79)&gt;0,0.5,0)-IF(N(H79)&gt;0,0.5,0),0)</f>
        <v/>
      </c>
      <c r="K79" s="5" t="n"/>
      <c r="L79" s="7">
        <f>MIN(J79,8.0)</f>
        <v/>
      </c>
      <c r="M79" s="7">
        <f>MAX(0,MIN(J79,12)-8.0)</f>
        <v/>
      </c>
      <c r="N79" s="7">
        <f>MAX(0,J79-12)</f>
        <v/>
      </c>
      <c r="O79" s="5" t="n"/>
      <c r="P79" s="6">
        <f>E79*(L79+M79*1.5+N79*2+O79*3+N(K79))</f>
        <v/>
      </c>
      <c r="Q79" s="6" t="n">
        <v>334.2</v>
      </c>
      <c r="R79" s="6">
        <f>Q79-P79</f>
        <v/>
      </c>
    </row>
    <row r="80">
      <c r="A80" s="5" t="inlineStr">
        <is>
          <t>2008</t>
        </is>
      </c>
      <c r="B80" s="5" t="inlineStr">
        <is>
          <t>Jason Mc Cauley</t>
        </is>
      </c>
      <c r="C80" s="5" t="inlineStr">
        <is>
          <t>LOCATIONASST</t>
        </is>
      </c>
      <c r="D80" s="5" t="inlineStr">
        <is>
          <t>Local399</t>
        </is>
      </c>
      <c r="E80" s="6" t="n">
        <v>229</v>
      </c>
      <c r="F80" s="5" t="n"/>
      <c r="G80" s="5" t="n"/>
      <c r="H80" s="5" t="n"/>
      <c r="I80" s="5" t="n"/>
      <c r="J80" s="7">
        <f>IF(AND(N(F80)&gt;0,N(I80)&gt;0),I80-F80-IF(N(G80)&gt;0,0.5,0)-IF(N(H80)&gt;0,0.5,0),0)</f>
        <v/>
      </c>
      <c r="K80" s="5" t="n"/>
      <c r="L80" s="7">
        <f>MIN(J80,8.0)</f>
        <v/>
      </c>
      <c r="M80" s="7">
        <f>MAX(0,MIN(J80,12)-8.0)</f>
        <v/>
      </c>
      <c r="N80" s="7">
        <f>MAX(0,J80-12)</f>
        <v/>
      </c>
      <c r="O80" s="5" t="n"/>
      <c r="P80" s="6">
        <f>E80*(L80+M80*1.5+N80*2+O80*3+N(K80))</f>
        <v/>
      </c>
      <c r="Q80" s="6" t="n">
        <v>229</v>
      </c>
      <c r="R80" s="6">
        <f>Q80-P80</f>
        <v/>
      </c>
    </row>
    <row r="81">
      <c r="P81" s="2" t="inlineStr">
        <is>
          <t>ASSISTANTLOCATIONMANAGERS LABOR</t>
        </is>
      </c>
      <c r="R81" s="8">
        <f>SUM(R79:R80)</f>
        <v/>
      </c>
    </row>
    <row r="83">
      <c r="B83" s="2" t="inlineStr">
        <is>
          <t>PRODUCTIONCOORDINATOR</t>
        </is>
      </c>
    </row>
    <row r="84">
      <c r="A84" s="5" t="inlineStr">
        <is>
          <t>2009</t>
        </is>
      </c>
      <c r="B84" s="5" t="inlineStr">
        <is>
          <t>Ali Griffith</t>
        </is>
      </c>
      <c r="C84" s="5" t="inlineStr">
        <is>
          <t>PRODUCTIONOFCCOORD</t>
        </is>
      </c>
      <c r="D84" s="5" t="inlineStr"/>
      <c r="E84" s="6" t="n">
        <v>360</v>
      </c>
      <c r="F84" s="5" t="n"/>
      <c r="G84" s="5" t="n"/>
      <c r="H84" s="5" t="n"/>
      <c r="I84" s="5" t="n"/>
      <c r="J84" s="7">
        <f>IF(AND(N(F84)&gt;0,N(I84)&gt;0),I84-F84-IF(N(G84)&gt;0,0.5,0)-IF(N(H84)&gt;0,0.5,0),0)</f>
        <v/>
      </c>
      <c r="K84" s="5" t="n"/>
      <c r="L84" s="7">
        <f>MIN(J84,8.0)</f>
        <v/>
      </c>
      <c r="M84" s="7">
        <f>MAX(0,MIN(J84,12)-8.0)</f>
        <v/>
      </c>
      <c r="N84" s="7">
        <f>MAX(0,J84-12)</f>
        <v/>
      </c>
      <c r="O84" s="5" t="n"/>
      <c r="P84" s="6">
        <f>E84*(L84+M84*1.5+N84*2+O84*3+N(K84))</f>
        <v/>
      </c>
      <c r="Q84" s="6" t="n">
        <v>360</v>
      </c>
      <c r="R84" s="6">
        <f>Q84-P84</f>
        <v/>
      </c>
    </row>
    <row r="85">
      <c r="P85" s="2" t="inlineStr">
        <is>
          <t>PRODUCTIONCOORDINATOR LABOR</t>
        </is>
      </c>
      <c r="R85" s="8">
        <f>SUM(R84:R84)</f>
        <v/>
      </c>
    </row>
    <row r="87">
      <c r="B87" s="2" t="inlineStr">
        <is>
          <t>ASSTPRODUCTIONCOORDINATOR</t>
        </is>
      </c>
    </row>
    <row r="88">
      <c r="A88" s="5" t="inlineStr">
        <is>
          <t>2010</t>
        </is>
      </c>
      <c r="B88" s="5" t="inlineStr">
        <is>
          <t>Holly Dellocono</t>
        </is>
      </c>
      <c r="C88" s="5" t="inlineStr">
        <is>
          <t>APOC</t>
        </is>
      </c>
      <c r="D88" s="5" t="inlineStr">
        <is>
          <t>Local871</t>
        </is>
      </c>
      <c r="E88" s="6" t="n">
        <v>20.57</v>
      </c>
      <c r="F88" s="5" t="n"/>
      <c r="G88" s="5" t="n"/>
      <c r="H88" s="5" t="n"/>
      <c r="I88" s="5" t="n"/>
      <c r="J88" s="7">
        <f>IF(AND(N(F88)&gt;0,N(I88)&gt;0),I88-F88-IF(N(G88)&gt;0,0.5,0)-IF(N(H88)&gt;0,0.5,0),0)</f>
        <v/>
      </c>
      <c r="K88" s="5" t="n"/>
      <c r="L88" s="7">
        <f>MIN(J88,10.0)</f>
        <v/>
      </c>
      <c r="M88" s="7">
        <f>MAX(0,MIN(J88,12)-10.0)</f>
        <v/>
      </c>
      <c r="N88" s="7">
        <f>MAX(0,J88-12)</f>
        <v/>
      </c>
      <c r="O88" s="5" t="n"/>
      <c r="P88" s="6">
        <f>E88*(L88+M88*1.5+N88*2+O88*3+N(K88))</f>
        <v/>
      </c>
      <c r="Q88" s="6" t="n">
        <v>287.98</v>
      </c>
      <c r="R88" s="6">
        <f>Q88-P88</f>
        <v/>
      </c>
    </row>
    <row r="89">
      <c r="P89" s="2" t="inlineStr">
        <is>
          <t>ASSTPRODUCTIONCOORDINATOR LABOR</t>
        </is>
      </c>
      <c r="R89" s="8">
        <f>SUM(R88:R88)</f>
        <v/>
      </c>
    </row>
    <row r="91">
      <c r="B91" s="2" t="inlineStr">
        <is>
          <t>OFFICESTAFFASSISTANTS</t>
        </is>
      </c>
    </row>
    <row r="92">
      <c r="A92" s="5" t="inlineStr">
        <is>
          <t>2011</t>
        </is>
      </c>
      <c r="B92" s="5" t="inlineStr">
        <is>
          <t>John Humber</t>
        </is>
      </c>
      <c r="C92" s="5" t="inlineStr">
        <is>
          <t>OFFICEPA#1</t>
        </is>
      </c>
      <c r="D92" s="5" t="inlineStr"/>
      <c r="E92" s="6" t="n">
        <v>22.5</v>
      </c>
      <c r="F92" s="5" t="n"/>
      <c r="G92" s="5" t="n"/>
      <c r="H92" s="5" t="n"/>
      <c r="I92" s="5" t="n"/>
      <c r="J92" s="7">
        <f>IF(AND(N(F92)&gt;0,N(I92)&gt;0),I92-F92-IF(N(G92)&gt;0,0.5,0)-IF(N(H92)&gt;0,0.5,0),0)</f>
        <v/>
      </c>
      <c r="K92" s="5" t="n"/>
      <c r="L92" s="7">
        <f>MIN(J92,8.0)</f>
        <v/>
      </c>
      <c r="M92" s="7">
        <f>MAX(0,MIN(J92,12)-8.0)</f>
        <v/>
      </c>
      <c r="N92" s="7">
        <f>MAX(0,J92-12)</f>
        <v/>
      </c>
      <c r="O92" s="5" t="n"/>
      <c r="P92" s="6">
        <f>E92*(L92+M92*1.5+N92*2+O92*3+N(K92))</f>
        <v/>
      </c>
      <c r="Q92" s="6" t="n">
        <v>247.5</v>
      </c>
      <c r="R92" s="6">
        <f>Q92-P92</f>
        <v/>
      </c>
    </row>
    <row r="93">
      <c r="A93" s="5" t="inlineStr">
        <is>
          <t>2011</t>
        </is>
      </c>
      <c r="B93" s="5" t="inlineStr">
        <is>
          <t>Sarah Semenas</t>
        </is>
      </c>
      <c r="C93" s="5" t="inlineStr">
        <is>
          <t>OFFICEPA#2</t>
        </is>
      </c>
      <c r="D93" s="5" t="inlineStr"/>
      <c r="E93" s="6" t="n">
        <v>22.5</v>
      </c>
      <c r="F93" s="5" t="n"/>
      <c r="G93" s="5" t="n"/>
      <c r="H93" s="5" t="n"/>
      <c r="I93" s="5" t="n"/>
      <c r="J93" s="7">
        <f>IF(AND(N(F93)&gt;0,N(I93)&gt;0),I93-F93-IF(N(G93)&gt;0,0.5,0)-IF(N(H93)&gt;0,0.5,0),0)</f>
        <v/>
      </c>
      <c r="K93" s="5" t="n"/>
      <c r="L93" s="7">
        <f>MIN(J93,8.0)</f>
        <v/>
      </c>
      <c r="M93" s="7">
        <f>MAX(0,MIN(J93,12)-8.0)</f>
        <v/>
      </c>
      <c r="N93" s="7">
        <f>MAX(0,J93-12)</f>
        <v/>
      </c>
      <c r="O93" s="5" t="n"/>
      <c r="P93" s="6">
        <f>E93*(L93+M93*1.5+N93*2+O93*3+N(K93))</f>
        <v/>
      </c>
      <c r="Q93" s="6" t="n">
        <v>247.5</v>
      </c>
      <c r="R93" s="6">
        <f>Q93-P93</f>
        <v/>
      </c>
    </row>
    <row r="94">
      <c r="P94" s="2" t="inlineStr">
        <is>
          <t>OFFICESTAFFASSISTANTS LABOR</t>
        </is>
      </c>
      <c r="R94" s="8">
        <f>SUM(R92:R93)</f>
        <v/>
      </c>
    </row>
    <row r="96">
      <c r="B96" s="2" t="inlineStr">
        <is>
          <t>SETSTAFFASSISTANTS</t>
        </is>
      </c>
    </row>
    <row r="97">
      <c r="A97" s="5" t="inlineStr">
        <is>
          <t>2012</t>
        </is>
      </c>
      <c r="B97" s="5" t="inlineStr">
        <is>
          <t>Paula Henry</t>
        </is>
      </c>
      <c r="C97" s="5" t="inlineStr">
        <is>
          <t>KEYSETPA</t>
        </is>
      </c>
      <c r="D97" s="5" t="inlineStr"/>
      <c r="E97" s="6" t="n">
        <v>12</v>
      </c>
      <c r="F97" s="5" t="n"/>
      <c r="G97" s="5" t="n"/>
      <c r="H97" s="5" t="n"/>
      <c r="I97" s="5" t="n"/>
      <c r="J97" s="7">
        <f>IF(AND(N(F97)&gt;0,N(I97)&gt;0),I97-F97-IF(N(G97)&gt;0,0.5,0)-IF(N(H97)&gt;0,0.5,0),0)</f>
        <v/>
      </c>
      <c r="K97" s="5" t="n"/>
      <c r="L97" s="7">
        <f>MIN(J97,8.0)</f>
        <v/>
      </c>
      <c r="M97" s="7">
        <f>MAX(0,MIN(J97,12)-8.0)</f>
        <v/>
      </c>
      <c r="N97" s="7">
        <f>MAX(0,J97-12)</f>
        <v/>
      </c>
      <c r="O97" s="5" t="n"/>
      <c r="P97" s="6">
        <f>E97*(L97+M97*1.5+N97*2+O97*3+N(K97))</f>
        <v/>
      </c>
      <c r="Q97" s="6" t="n">
        <v>216</v>
      </c>
      <c r="R97" s="6">
        <f>Q97-P97</f>
        <v/>
      </c>
    </row>
    <row r="98">
      <c r="A98" s="5" t="inlineStr">
        <is>
          <t>2012</t>
        </is>
      </c>
      <c r="B98" s="5" t="inlineStr"/>
      <c r="C98" s="5" t="inlineStr">
        <is>
          <t>SETPA#2</t>
        </is>
      </c>
      <c r="D98" s="5" t="inlineStr"/>
      <c r="E98" s="6" t="n">
        <v>12</v>
      </c>
      <c r="F98" s="5" t="n"/>
      <c r="G98" s="5" t="n"/>
      <c r="H98" s="5" t="n"/>
      <c r="I98" s="5" t="n"/>
      <c r="J98" s="7">
        <f>IF(AND(N(F98)&gt;0,N(I98)&gt;0),I98-F98-IF(N(G98)&gt;0,0.5,0)-IF(N(H98)&gt;0,0.5,0),0)</f>
        <v/>
      </c>
      <c r="K98" s="5" t="n"/>
      <c r="L98" s="7">
        <f>MIN(J98,8.0)</f>
        <v/>
      </c>
      <c r="M98" s="7">
        <f>MAX(0,MIN(J98,12)-8.0)</f>
        <v/>
      </c>
      <c r="N98" s="7">
        <f>MAX(0,J98-12)</f>
        <v/>
      </c>
      <c r="O98" s="5" t="n"/>
      <c r="P98" s="6">
        <f>E98*(L98+M98*1.5+N98*2+O98*3+N(K98))</f>
        <v/>
      </c>
      <c r="Q98" s="6" t="n">
        <v>216</v>
      </c>
      <c r="R98" s="6">
        <f>Q98-P98</f>
        <v/>
      </c>
    </row>
    <row r="99">
      <c r="A99" s="5" t="inlineStr">
        <is>
          <t>2012</t>
        </is>
      </c>
      <c r="B99" s="5" t="inlineStr"/>
      <c r="C99" s="5" t="inlineStr">
        <is>
          <t>SETPA#3</t>
        </is>
      </c>
      <c r="D99" s="5" t="inlineStr"/>
      <c r="E99" s="6" t="n">
        <v>12</v>
      </c>
      <c r="F99" s="5" t="n"/>
      <c r="G99" s="5" t="n"/>
      <c r="H99" s="5" t="n"/>
      <c r="I99" s="5" t="n"/>
      <c r="J99" s="7">
        <f>IF(AND(N(F99)&gt;0,N(I99)&gt;0),I99-F99-IF(N(G99)&gt;0,0.5,0)-IF(N(H99)&gt;0,0.5,0),0)</f>
        <v/>
      </c>
      <c r="K99" s="5" t="n"/>
      <c r="L99" s="7">
        <f>MIN(J99,8.0)</f>
        <v/>
      </c>
      <c r="M99" s="7">
        <f>MAX(0,MIN(J99,12)-8.0)</f>
        <v/>
      </c>
      <c r="N99" s="7">
        <f>MAX(0,J99-12)</f>
        <v/>
      </c>
      <c r="O99" s="5" t="n"/>
      <c r="P99" s="6">
        <f>E99*(L99+M99*1.5+N99*2+O99*3+N(K99))</f>
        <v/>
      </c>
      <c r="Q99" s="6" t="n">
        <v>216</v>
      </c>
      <c r="R99" s="6">
        <f>Q99-P99</f>
        <v/>
      </c>
    </row>
    <row r="100">
      <c r="A100" s="5" t="inlineStr">
        <is>
          <t>2012</t>
        </is>
      </c>
      <c r="B100" s="5" t="inlineStr"/>
      <c r="C100" s="5" t="inlineStr">
        <is>
          <t>SETPA#4</t>
        </is>
      </c>
      <c r="D100" s="5" t="inlineStr"/>
      <c r="E100" s="6" t="n">
        <v>12</v>
      </c>
      <c r="F100" s="5" t="n"/>
      <c r="G100" s="5" t="n"/>
      <c r="H100" s="5" t="n"/>
      <c r="I100" s="5" t="n"/>
      <c r="J100" s="7">
        <f>IF(AND(N(F100)&gt;0,N(I100)&gt;0),I100-F100-IF(N(G100)&gt;0,0.5,0)-IF(N(H100)&gt;0,0.5,0),0)</f>
        <v/>
      </c>
      <c r="K100" s="5" t="n"/>
      <c r="L100" s="7">
        <f>MIN(J100,8.0)</f>
        <v/>
      </c>
      <c r="M100" s="7">
        <f>MAX(0,MIN(J100,12)-8.0)</f>
        <v/>
      </c>
      <c r="N100" s="7">
        <f>MAX(0,J100-12)</f>
        <v/>
      </c>
      <c r="O100" s="5" t="n"/>
      <c r="P100" s="6">
        <f>E100*(L100+M100*1.5+N100*2+O100*3+N(K100))</f>
        <v/>
      </c>
      <c r="Q100" s="5" t="n"/>
      <c r="R100" s="6">
        <f>Q100-P100</f>
        <v/>
      </c>
    </row>
    <row r="101">
      <c r="P101" s="2" t="inlineStr">
        <is>
          <t>SETSTAFFASSISTANTS LABOR</t>
        </is>
      </c>
      <c r="R101" s="8">
        <f>SUM(R97:R100)</f>
        <v/>
      </c>
    </row>
    <row r="103">
      <c r="B103" s="2" t="inlineStr">
        <is>
          <t>PRODUCTIONACCOUNTANT</t>
        </is>
      </c>
    </row>
    <row r="104">
      <c r="A104" s="5" t="inlineStr">
        <is>
          <t>2013</t>
        </is>
      </c>
      <c r="B104" s="5" t="inlineStr">
        <is>
          <t>Joel Tokarsky</t>
        </is>
      </c>
      <c r="C104" s="5" t="inlineStr">
        <is>
          <t>PRODUCTIONACCOUNTANT</t>
        </is>
      </c>
      <c r="D104" s="5" t="inlineStr">
        <is>
          <t>Local871</t>
        </is>
      </c>
      <c r="E104" s="6" t="n">
        <v>740</v>
      </c>
      <c r="F104" s="5" t="n"/>
      <c r="G104" s="5" t="n"/>
      <c r="H104" s="5" t="n"/>
      <c r="I104" s="5" t="n"/>
      <c r="J104" s="7">
        <f>IF(AND(N(F104)&gt;0,N(I104)&gt;0),I104-F104-IF(N(G104)&gt;0,0.5,0)-IF(N(H104)&gt;0,0.5,0),0)</f>
        <v/>
      </c>
      <c r="K104" s="5" t="n"/>
      <c r="L104" s="7">
        <f>MIN(J104,10.0)</f>
        <v/>
      </c>
      <c r="M104" s="7">
        <f>MAX(0,MIN(J104,12)-10.0)</f>
        <v/>
      </c>
      <c r="N104" s="7">
        <f>MAX(0,J104-12)</f>
        <v/>
      </c>
      <c r="O104" s="5" t="n"/>
      <c r="P104" s="6">
        <f>E104*(L104+M104*1.5+N104*2+O104*3+N(K104))</f>
        <v/>
      </c>
      <c r="Q104" s="6" t="n">
        <v>740</v>
      </c>
      <c r="R104" s="6">
        <f>Q104-P104</f>
        <v/>
      </c>
    </row>
    <row r="105">
      <c r="P105" s="2" t="inlineStr">
        <is>
          <t>PRODUCTIONACCOUNTANT LABOR</t>
        </is>
      </c>
      <c r="R105" s="8">
        <f>SUM(R104:R104)</f>
        <v/>
      </c>
    </row>
    <row r="107">
      <c r="B107" s="2" t="inlineStr">
        <is>
          <t>ASSTPRODUCTIONACCOUNTANTS</t>
        </is>
      </c>
    </row>
    <row r="108">
      <c r="A108" s="5" t="inlineStr">
        <is>
          <t>2014</t>
        </is>
      </c>
      <c r="B108" s="5" t="inlineStr">
        <is>
          <t>Co-Co Aiello</t>
        </is>
      </c>
      <c r="C108" s="5" t="inlineStr">
        <is>
          <t>1STASSTACCT</t>
        </is>
      </c>
      <c r="D108" s="5" t="inlineStr">
        <is>
          <t>Local871</t>
        </is>
      </c>
      <c r="E108" s="6" t="n">
        <v>480</v>
      </c>
      <c r="F108" s="5" t="n"/>
      <c r="G108" s="5" t="n"/>
      <c r="H108" s="5" t="n"/>
      <c r="I108" s="5" t="n"/>
      <c r="J108" s="7">
        <f>IF(AND(N(F108)&gt;0,N(I108)&gt;0),I108-F108-IF(N(G108)&gt;0,0.5,0)-IF(N(H108)&gt;0,0.5,0),0)</f>
        <v/>
      </c>
      <c r="K108" s="5" t="n"/>
      <c r="L108" s="7">
        <f>MIN(J108,10.0)</f>
        <v/>
      </c>
      <c r="M108" s="7">
        <f>MAX(0,MIN(J108,12)-10.0)</f>
        <v/>
      </c>
      <c r="N108" s="7">
        <f>MAX(0,J108-12)</f>
        <v/>
      </c>
      <c r="O108" s="5" t="n"/>
      <c r="P108" s="6">
        <f>E108*(L108+M108*1.5+N108*2+O108*3+N(K108))</f>
        <v/>
      </c>
      <c r="Q108" s="6" t="n">
        <v>480</v>
      </c>
      <c r="R108" s="6">
        <f>Q108-P108</f>
        <v/>
      </c>
    </row>
    <row r="109">
      <c r="A109" s="5" t="inlineStr">
        <is>
          <t>2014</t>
        </is>
      </c>
      <c r="B109" s="5" t="inlineStr">
        <is>
          <t>Steve Goldstein</t>
        </is>
      </c>
      <c r="C109" s="5" t="inlineStr">
        <is>
          <t>PAYROLLACCT</t>
        </is>
      </c>
      <c r="D109" s="5" t="inlineStr">
        <is>
          <t>Local871</t>
        </is>
      </c>
      <c r="E109" s="6" t="n">
        <v>420</v>
      </c>
      <c r="F109" s="5" t="n"/>
      <c r="G109" s="5" t="n"/>
      <c r="H109" s="5" t="n"/>
      <c r="I109" s="5" t="n"/>
      <c r="J109" s="7">
        <f>IF(AND(N(F109)&gt;0,N(I109)&gt;0),I109-F109-IF(N(G109)&gt;0,0.5,0)-IF(N(H109)&gt;0,0.5,0),0)</f>
        <v/>
      </c>
      <c r="K109" s="5" t="n"/>
      <c r="L109" s="7">
        <f>MIN(J109,10.0)</f>
        <v/>
      </c>
      <c r="M109" s="7">
        <f>MAX(0,MIN(J109,12)-10.0)</f>
        <v/>
      </c>
      <c r="N109" s="7">
        <f>MAX(0,J109-12)</f>
        <v/>
      </c>
      <c r="O109" s="5" t="n"/>
      <c r="P109" s="6">
        <f>E109*(L109+M109*1.5+N109*2+O109*3+N(K109))</f>
        <v/>
      </c>
      <c r="Q109" s="6" t="n">
        <v>420</v>
      </c>
      <c r="R109" s="6">
        <f>Q109-P109</f>
        <v/>
      </c>
    </row>
    <row r="110">
      <c r="P110" s="2" t="inlineStr">
        <is>
          <t>ASSTPRODUCTIONACCOUNTANTS LABOR</t>
        </is>
      </c>
      <c r="R110" s="8">
        <f>SUM(R108:R109)</f>
        <v/>
      </c>
    </row>
    <row r="112">
      <c r="B112" s="2" t="inlineStr">
        <is>
          <t>CONSTRUCTIONCOORDINATOR</t>
        </is>
      </c>
    </row>
    <row r="113">
      <c r="A113" s="5" t="inlineStr">
        <is>
          <t>2302</t>
        </is>
      </c>
      <c r="B113" s="5" t="inlineStr">
        <is>
          <t>Drew Rebelin</t>
        </is>
      </c>
      <c r="C113" s="5" t="inlineStr">
        <is>
          <t>CONSTCOORDINATOR</t>
        </is>
      </c>
      <c r="D113" s="5" t="inlineStr">
        <is>
          <t>Local44</t>
        </is>
      </c>
      <c r="E113" s="6" t="n">
        <v>400</v>
      </c>
      <c r="F113" s="5" t="n"/>
      <c r="G113" s="5" t="n"/>
      <c r="H113" s="5" t="n"/>
      <c r="I113" s="5" t="n"/>
      <c r="J113" s="7">
        <f>IF(AND(N(F113)&gt;0,N(I113)&gt;0),I113-F113-IF(N(G113)&gt;0,0.5,0)-IF(N(H113)&gt;0,0.5,0),0)</f>
        <v/>
      </c>
      <c r="K113" s="5" t="n"/>
      <c r="L113" s="7">
        <f>MIN(J113,10.0)</f>
        <v/>
      </c>
      <c r="M113" s="7">
        <f>MAX(0,MIN(J113,12)-10.0)</f>
        <v/>
      </c>
      <c r="N113" s="7">
        <f>MAX(0,J113-12)</f>
        <v/>
      </c>
      <c r="O113" s="5" t="n"/>
      <c r="P113" s="6">
        <f>E113*(L113+M113*1.5+N113*2+O113*3+N(K113))</f>
        <v/>
      </c>
      <c r="Q113" s="6" t="n">
        <v>400</v>
      </c>
      <c r="R113" s="6">
        <f>Q113-P113</f>
        <v/>
      </c>
    </row>
    <row r="114">
      <c r="P114" s="2" t="inlineStr">
        <is>
          <t>CONSTRUCTIONCOORDINATOR LABOR</t>
        </is>
      </c>
      <c r="R114" s="8">
        <f>SUM(R113:R113)</f>
        <v/>
      </c>
    </row>
    <row r="116">
      <c r="B116" s="2" t="inlineStr">
        <is>
          <t>PAINTFOREMAN</t>
        </is>
      </c>
    </row>
    <row r="117">
      <c r="A117" s="5" t="inlineStr">
        <is>
          <t>2304</t>
        </is>
      </c>
      <c r="B117" s="5" t="inlineStr">
        <is>
          <t>Kristeen Reimnitz</t>
        </is>
      </c>
      <c r="C117" s="5" t="inlineStr">
        <is>
          <t>PAINTER</t>
        </is>
      </c>
      <c r="D117" s="5" t="inlineStr">
        <is>
          <t>Local729</t>
        </is>
      </c>
      <c r="E117" s="6" t="n">
        <v>23.04</v>
      </c>
      <c r="F117" s="5" t="n"/>
      <c r="G117" s="5" t="n"/>
      <c r="H117" s="5" t="n"/>
      <c r="I117" s="5" t="n"/>
      <c r="J117" s="7">
        <f>IF(AND(N(F117)&gt;0,N(I117)&gt;0),I117-F117-IF(N(G117)&gt;0,0.5,0)-IF(N(H117)&gt;0,0.5,0),0)</f>
        <v/>
      </c>
      <c r="K117" s="5" t="n"/>
      <c r="L117" s="7">
        <f>MIN(J117,10.0)</f>
        <v/>
      </c>
      <c r="M117" s="7">
        <f>MAX(0,MIN(J117,12)-10.0)</f>
        <v/>
      </c>
      <c r="N117" s="7">
        <f>MAX(0,J117-12)</f>
        <v/>
      </c>
      <c r="O117" s="5" t="n"/>
      <c r="P117" s="6">
        <f>E117*(L117+M117*1.5+N117*2+O117*3+N(K117))</f>
        <v/>
      </c>
      <c r="Q117" s="6" t="n">
        <v>322.56</v>
      </c>
      <c r="R117" s="6">
        <f>Q117-P117</f>
        <v/>
      </c>
    </row>
    <row r="118">
      <c r="P118" s="2" t="inlineStr">
        <is>
          <t>PAINTFOREMAN LABOR</t>
        </is>
      </c>
      <c r="R118" s="8">
        <f>SUM(R117:R117)</f>
        <v/>
      </c>
    </row>
    <row r="120">
      <c r="B120" s="2" t="inlineStr">
        <is>
          <t>FIRSTAIDLABOR</t>
        </is>
      </c>
    </row>
    <row r="121">
      <c r="A121" s="5" t="inlineStr">
        <is>
          <t>2310</t>
        </is>
      </c>
      <c r="B121" s="5" t="inlineStr"/>
      <c r="C121" s="5" t="inlineStr">
        <is>
          <t>CONSTRUCTIONMEDIC</t>
        </is>
      </c>
      <c r="D121" s="5" t="inlineStr">
        <is>
          <t>Local80</t>
        </is>
      </c>
      <c r="E121" s="6" t="n">
        <v>23.04</v>
      </c>
      <c r="F121" s="5" t="n"/>
      <c r="G121" s="5" t="n"/>
      <c r="H121" s="5" t="n"/>
      <c r="I121" s="5" t="n"/>
      <c r="J121" s="7">
        <f>IF(AND(N(F121)&gt;0,N(I121)&gt;0),I121-F121-IF(N(G121)&gt;0,0.5,0)-IF(N(H121)&gt;0,0.5,0),0)</f>
        <v/>
      </c>
      <c r="K121" s="5" t="n"/>
      <c r="L121" s="7">
        <f>MIN(J121,10.0)</f>
        <v/>
      </c>
      <c r="M121" s="7">
        <f>MAX(0,MIN(J121,12)-10.0)</f>
        <v/>
      </c>
      <c r="N121" s="7">
        <f>MAX(0,J121-12)</f>
        <v/>
      </c>
      <c r="O121" s="5" t="n"/>
      <c r="P121" s="6">
        <f>E121*(L121+M121*1.5+N121*2+O121*3+N(K121))</f>
        <v/>
      </c>
      <c r="Q121" s="6" t="n">
        <v>253.44</v>
      </c>
      <c r="R121" s="6">
        <f>Q121-P121</f>
        <v/>
      </c>
    </row>
    <row r="122">
      <c r="P122" s="2" t="inlineStr">
        <is>
          <t>FIRSTAIDLABOR LABOR</t>
        </is>
      </c>
      <c r="R122" s="8">
        <f>SUM(R121:R121)</f>
        <v/>
      </c>
    </row>
    <row r="124">
      <c r="B124" s="2" t="inlineStr">
        <is>
          <t>KEYGRIP</t>
        </is>
      </c>
    </row>
    <row r="125">
      <c r="A125" s="5" t="inlineStr">
        <is>
          <t>2501</t>
        </is>
      </c>
      <c r="B125" s="5" t="inlineStr">
        <is>
          <t>Pat O'Mara</t>
        </is>
      </c>
      <c r="C125" s="5" t="inlineStr">
        <is>
          <t>KEYGRIP</t>
        </is>
      </c>
      <c r="D125" s="5" t="inlineStr">
        <is>
          <t>Local80</t>
        </is>
      </c>
      <c r="E125" s="6" t="n">
        <v>25.5</v>
      </c>
      <c r="F125" s="5" t="n"/>
      <c r="G125" s="5" t="n"/>
      <c r="H125" s="5" t="n"/>
      <c r="I125" s="5" t="n"/>
      <c r="J125" s="7">
        <f>IF(AND(N(F125)&gt;0,N(I125)&gt;0),I125-F125-IF(N(G125)&gt;0,0.5,0)-IF(N(H125)&gt;0,0.5,0),0)</f>
        <v/>
      </c>
      <c r="K125" s="5" t="n"/>
      <c r="L125" s="7">
        <f>MIN(J125,10.0)</f>
        <v/>
      </c>
      <c r="M125" s="7">
        <f>MAX(0,MIN(J125,12)-10.0)</f>
        <v/>
      </c>
      <c r="N125" s="7">
        <f>MAX(0,J125-12)</f>
        <v/>
      </c>
      <c r="O125" s="5" t="n"/>
      <c r="P125" s="6">
        <f>E125*(L125+M125*1.5+N125*2+O125*3+N(K125))</f>
        <v/>
      </c>
      <c r="Q125" s="6" t="n">
        <v>395.25</v>
      </c>
      <c r="R125" s="6">
        <f>Q125-P125</f>
        <v/>
      </c>
    </row>
    <row r="126">
      <c r="P126" s="2" t="inlineStr">
        <is>
          <t>KEYGRIP LABOR</t>
        </is>
      </c>
      <c r="R126" s="8">
        <f>SUM(R125:R125)</f>
        <v/>
      </c>
    </row>
    <row r="128">
      <c r="B128" s="2" t="inlineStr">
        <is>
          <t>BESTBOYGRIP</t>
        </is>
      </c>
    </row>
    <row r="129">
      <c r="A129" s="5" t="inlineStr">
        <is>
          <t>2502</t>
        </is>
      </c>
      <c r="B129" s="5" t="inlineStr">
        <is>
          <t>Aaron Fairley</t>
        </is>
      </c>
      <c r="C129" s="5" t="inlineStr">
        <is>
          <t>BESTBOYGRIP</t>
        </is>
      </c>
      <c r="D129" s="5" t="inlineStr">
        <is>
          <t>Local80</t>
        </is>
      </c>
      <c r="E129" s="6" t="n">
        <v>23.04</v>
      </c>
      <c r="F129" s="5" t="n"/>
      <c r="G129" s="5" t="n"/>
      <c r="H129" s="5" t="n"/>
      <c r="I129" s="5" t="n"/>
      <c r="J129" s="7">
        <f>IF(AND(N(F129)&gt;0,N(I129)&gt;0),I129-F129-IF(N(G129)&gt;0,0.5,0)-IF(N(H129)&gt;0,0.5,0),0)</f>
        <v/>
      </c>
      <c r="K129" s="5" t="n"/>
      <c r="L129" s="7">
        <f>MIN(J129,10.0)</f>
        <v/>
      </c>
      <c r="M129" s="7">
        <f>MAX(0,MIN(J129,12)-10.0)</f>
        <v/>
      </c>
      <c r="N129" s="7">
        <f>MAX(0,J129-12)</f>
        <v/>
      </c>
      <c r="O129" s="5" t="n"/>
      <c r="P129" s="6">
        <f>E129*(L129+M129*1.5+N129*2+O129*3+N(K129))</f>
        <v/>
      </c>
      <c r="Q129" s="6" t="n">
        <v>357.12</v>
      </c>
      <c r="R129" s="6">
        <f>Q129-P129</f>
        <v/>
      </c>
    </row>
    <row r="130">
      <c r="A130" s="5" t="inlineStr">
        <is>
          <t>2502</t>
        </is>
      </c>
      <c r="B130" s="5" t="inlineStr"/>
      <c r="C130" s="5" t="inlineStr">
        <is>
          <t>STUDIOBESTBOYGRIP</t>
        </is>
      </c>
      <c r="D130" s="5" t="inlineStr">
        <is>
          <t>Local80</t>
        </is>
      </c>
      <c r="E130" s="6" t="n">
        <v>43.05</v>
      </c>
      <c r="F130" s="5" t="n"/>
      <c r="G130" s="5" t="n"/>
      <c r="H130" s="5" t="n"/>
      <c r="I130" s="5" t="n"/>
      <c r="J130" s="7">
        <f>IF(AND(N(F130)&gt;0,N(I130)&gt;0),I130-F130-IF(N(G130)&gt;0,0.5,0)-IF(N(H130)&gt;0,0.5,0),0)</f>
        <v/>
      </c>
      <c r="K130" s="5" t="n"/>
      <c r="L130" s="7">
        <f>MIN(J130,10.0)</f>
        <v/>
      </c>
      <c r="M130" s="7">
        <f>MAX(0,MIN(J130,12)-10.0)</f>
        <v/>
      </c>
      <c r="N130" s="7">
        <f>MAX(0,J130-12)</f>
        <v/>
      </c>
      <c r="O130" s="5" t="n"/>
      <c r="P130" s="6">
        <f>E130*(L130+M130*1.5+N130*2+O130*3+N(K130))</f>
        <v/>
      </c>
      <c r="Q130" s="6" t="n">
        <v>667.27</v>
      </c>
      <c r="R130" s="6">
        <f>Q130-P130</f>
        <v/>
      </c>
    </row>
    <row r="131">
      <c r="P131" s="2" t="inlineStr">
        <is>
          <t>BESTBOYGRIP LABOR</t>
        </is>
      </c>
      <c r="R131" s="8">
        <f>SUM(R129:R130)</f>
        <v/>
      </c>
    </row>
    <row r="133">
      <c r="B133" s="2" t="inlineStr">
        <is>
          <t>DOLLYGRIP</t>
        </is>
      </c>
    </row>
    <row r="134">
      <c r="A134" s="5" t="inlineStr">
        <is>
          <t>2503</t>
        </is>
      </c>
      <c r="B134" s="5" t="inlineStr">
        <is>
          <t>Peter Weidenfeller</t>
        </is>
      </c>
      <c r="C134" s="5" t="inlineStr">
        <is>
          <t>"A"DOLLYGRIP</t>
        </is>
      </c>
      <c r="D134" s="5" t="inlineStr">
        <is>
          <t>Local80</t>
        </is>
      </c>
      <c r="E134" s="6" t="n">
        <v>23.04</v>
      </c>
      <c r="F134" s="5" t="n"/>
      <c r="G134" s="5" t="n"/>
      <c r="H134" s="5" t="n"/>
      <c r="I134" s="5" t="n"/>
      <c r="J134" s="7">
        <f>IF(AND(N(F134)&gt;0,N(I134)&gt;0),I134-F134-IF(N(G134)&gt;0,0.5,0)-IF(N(H134)&gt;0,0.5,0),0)</f>
        <v/>
      </c>
      <c r="K134" s="5" t="n"/>
      <c r="L134" s="7">
        <f>MIN(J134,10.0)</f>
        <v/>
      </c>
      <c r="M134" s="7">
        <f>MAX(0,MIN(J134,12)-10.0)</f>
        <v/>
      </c>
      <c r="N134" s="7">
        <f>MAX(0,J134-12)</f>
        <v/>
      </c>
      <c r="O134" s="5" t="n"/>
      <c r="P134" s="6">
        <f>E134*(L134+M134*1.5+N134*2+O134*3+N(K134))</f>
        <v/>
      </c>
      <c r="Q134" s="6" t="n">
        <v>357.12</v>
      </c>
      <c r="R134" s="6">
        <f>Q134-P134</f>
        <v/>
      </c>
    </row>
    <row r="135">
      <c r="P135" s="2" t="inlineStr">
        <is>
          <t>DOLLYGRIP LABOR</t>
        </is>
      </c>
      <c r="R135" s="8">
        <f>SUM(R134:R134)</f>
        <v/>
      </c>
    </row>
    <row r="137">
      <c r="B137" s="2" t="inlineStr">
        <is>
          <t>CRANEGRIPS</t>
        </is>
      </c>
    </row>
    <row r="138">
      <c r="A138" s="5" t="inlineStr">
        <is>
          <t>2504</t>
        </is>
      </c>
      <c r="B138" s="5" t="inlineStr"/>
      <c r="C138" s="5" t="inlineStr">
        <is>
          <t>CRANEOPERATOR</t>
        </is>
      </c>
      <c r="D138" s="5" t="inlineStr">
        <is>
          <t>Local80</t>
        </is>
      </c>
      <c r="E138" s="6" t="n">
        <v>792</v>
      </c>
      <c r="F138" s="5" t="n"/>
      <c r="G138" s="5" t="n"/>
      <c r="H138" s="5" t="n"/>
      <c r="I138" s="5" t="n"/>
      <c r="J138" s="7">
        <f>IF(AND(N(F138)&gt;0,N(I138)&gt;0),I138-F138-IF(N(G138)&gt;0,0.5,0)-IF(N(H138)&gt;0,0.5,0),0)</f>
        <v/>
      </c>
      <c r="K138" s="5" t="n"/>
      <c r="L138" s="7">
        <f>MIN(J138,10.0)</f>
        <v/>
      </c>
      <c r="M138" s="7">
        <f>MAX(0,MIN(J138,12)-10.0)</f>
        <v/>
      </c>
      <c r="N138" s="7">
        <f>MAX(0,J138-12)</f>
        <v/>
      </c>
      <c r="O138" s="5" t="n"/>
      <c r="P138" s="6">
        <f>E138*(L138+M138*1.5+N138*2+O138*3+N(K138))</f>
        <v/>
      </c>
      <c r="Q138" s="6" t="n">
        <v>924</v>
      </c>
      <c r="R138" s="6">
        <f>Q138-P138</f>
        <v/>
      </c>
    </row>
    <row r="139">
      <c r="A139" s="5" t="inlineStr">
        <is>
          <t>2504</t>
        </is>
      </c>
      <c r="B139" s="5" t="inlineStr"/>
      <c r="C139" s="5" t="inlineStr">
        <is>
          <t>CRANEASSISTANT</t>
        </is>
      </c>
      <c r="D139" s="5" t="inlineStr">
        <is>
          <t>Local80</t>
        </is>
      </c>
      <c r="E139" s="6" t="n">
        <v>660</v>
      </c>
      <c r="F139" s="5" t="n"/>
      <c r="G139" s="5" t="n"/>
      <c r="H139" s="5" t="n"/>
      <c r="I139" s="5" t="n"/>
      <c r="J139" s="7">
        <f>IF(AND(N(F139)&gt;0,N(I139)&gt;0),I139-F139-IF(N(G139)&gt;0,0.5,0)-IF(N(H139)&gt;0,0.5,0),0)</f>
        <v/>
      </c>
      <c r="K139" s="5" t="n"/>
      <c r="L139" s="7">
        <f>MIN(J139,10.0)</f>
        <v/>
      </c>
      <c r="M139" s="7">
        <f>MAX(0,MIN(J139,12)-10.0)</f>
        <v/>
      </c>
      <c r="N139" s="7">
        <f>MAX(0,J139-12)</f>
        <v/>
      </c>
      <c r="O139" s="5" t="n"/>
      <c r="P139" s="6">
        <f>E139*(L139+M139*1.5+N139*2+O139*3+N(K139))</f>
        <v/>
      </c>
      <c r="Q139" s="6" t="n">
        <v>770</v>
      </c>
      <c r="R139" s="6">
        <f>Q139-P139</f>
        <v/>
      </c>
    </row>
    <row r="140">
      <c r="P140" s="2" t="inlineStr">
        <is>
          <t>CRANEGRIPS LABOR</t>
        </is>
      </c>
      <c r="R140" s="8">
        <f>SUM(R138:R139)</f>
        <v/>
      </c>
    </row>
    <row r="142">
      <c r="B142" s="2" t="inlineStr">
        <is>
          <t>COMPANYGRIPS</t>
        </is>
      </c>
    </row>
    <row r="143">
      <c r="A143" s="5" t="inlineStr">
        <is>
          <t>2505</t>
        </is>
      </c>
      <c r="B143" s="5" t="inlineStr"/>
      <c r="C143" s="5" t="inlineStr">
        <is>
          <t>GRIP#1</t>
        </is>
      </c>
      <c r="D143" s="5" t="inlineStr">
        <is>
          <t>Local80</t>
        </is>
      </c>
      <c r="E143" s="6" t="n">
        <v>20.57</v>
      </c>
      <c r="F143" s="5" t="n"/>
      <c r="G143" s="5" t="n"/>
      <c r="H143" s="5" t="n"/>
      <c r="I143" s="5" t="n"/>
      <c r="J143" s="7">
        <f>IF(AND(N(F143)&gt;0,N(I143)&gt;0),I143-F143-IF(N(G143)&gt;0,0.5,0)-IF(N(H143)&gt;0,0.5,0),0)</f>
        <v/>
      </c>
      <c r="K143" s="5" t="n"/>
      <c r="L143" s="7">
        <f>MIN(J143,10.0)</f>
        <v/>
      </c>
      <c r="M143" s="7">
        <f>MAX(0,MIN(J143,12)-10.0)</f>
        <v/>
      </c>
      <c r="N143" s="7">
        <f>MAX(0,J143-12)</f>
        <v/>
      </c>
      <c r="O143" s="5" t="n"/>
      <c r="P143" s="6">
        <f>E143*(L143+M143*1.5+N143*2+O143*3+N(K143))</f>
        <v/>
      </c>
      <c r="Q143" s="6" t="n">
        <v>318.83</v>
      </c>
      <c r="R143" s="6">
        <f>Q143-P143</f>
        <v/>
      </c>
    </row>
    <row r="144">
      <c r="A144" s="5" t="inlineStr">
        <is>
          <t>2505</t>
        </is>
      </c>
      <c r="B144" s="5" t="inlineStr"/>
      <c r="C144" s="5" t="inlineStr">
        <is>
          <t>GRIP#2</t>
        </is>
      </c>
      <c r="D144" s="5" t="inlineStr">
        <is>
          <t>Local80</t>
        </is>
      </c>
      <c r="E144" s="6" t="n">
        <v>20.57</v>
      </c>
      <c r="F144" s="5" t="n"/>
      <c r="G144" s="5" t="n"/>
      <c r="H144" s="5" t="n"/>
      <c r="I144" s="5" t="n"/>
      <c r="J144" s="7">
        <f>IF(AND(N(F144)&gt;0,N(I144)&gt;0),I144-F144-IF(N(G144)&gt;0,0.5,0)-IF(N(H144)&gt;0,0.5,0),0)</f>
        <v/>
      </c>
      <c r="K144" s="5" t="n"/>
      <c r="L144" s="7">
        <f>MIN(J144,10.0)</f>
        <v/>
      </c>
      <c r="M144" s="7">
        <f>MAX(0,MIN(J144,12)-10.0)</f>
        <v/>
      </c>
      <c r="N144" s="7">
        <f>MAX(0,J144-12)</f>
        <v/>
      </c>
      <c r="O144" s="5" t="n"/>
      <c r="P144" s="6">
        <f>E144*(L144+M144*1.5+N144*2+O144*3+N(K144))</f>
        <v/>
      </c>
      <c r="Q144" s="6" t="n">
        <v>318.83</v>
      </c>
      <c r="R144" s="6">
        <f>Q144-P144</f>
        <v/>
      </c>
    </row>
    <row r="145">
      <c r="A145" s="5" t="inlineStr">
        <is>
          <t>2505</t>
        </is>
      </c>
      <c r="B145" s="5" t="inlineStr"/>
      <c r="C145" s="5" t="inlineStr">
        <is>
          <t>GRIP#3</t>
        </is>
      </c>
      <c r="D145" s="5" t="inlineStr">
        <is>
          <t>Local80</t>
        </is>
      </c>
      <c r="E145" s="6" t="n">
        <v>20.57</v>
      </c>
      <c r="F145" s="5" t="n"/>
      <c r="G145" s="5" t="n"/>
      <c r="H145" s="5" t="n"/>
      <c r="I145" s="5" t="n"/>
      <c r="J145" s="7">
        <f>IF(AND(N(F145)&gt;0,N(I145)&gt;0),I145-F145-IF(N(G145)&gt;0,0.5,0)-IF(N(H145)&gt;0,0.5,0),0)</f>
        <v/>
      </c>
      <c r="K145" s="5" t="n"/>
      <c r="L145" s="7">
        <f>MIN(J145,10.0)</f>
        <v/>
      </c>
      <c r="M145" s="7">
        <f>MAX(0,MIN(J145,12)-10.0)</f>
        <v/>
      </c>
      <c r="N145" s="7">
        <f>MAX(0,J145-12)</f>
        <v/>
      </c>
      <c r="O145" s="5" t="n"/>
      <c r="P145" s="6">
        <f>E145*(L145+M145*1.5+N145*2+O145*3+N(K145))</f>
        <v/>
      </c>
      <c r="Q145" s="6" t="n">
        <v>318.83</v>
      </c>
      <c r="R145" s="6">
        <f>Q145-P145</f>
        <v/>
      </c>
    </row>
    <row r="146">
      <c r="P146" s="2" t="inlineStr">
        <is>
          <t>COMPANYGRIPS LABOR</t>
        </is>
      </c>
      <c r="R146" s="8">
        <f>SUM(R143:R145)</f>
        <v/>
      </c>
    </row>
    <row r="148">
      <c r="B148" s="2" t="inlineStr">
        <is>
          <t>OTHERLABOR</t>
        </is>
      </c>
    </row>
    <row r="149">
      <c r="A149" s="5" t="inlineStr">
        <is>
          <t>2506</t>
        </is>
      </c>
      <c r="B149" s="5" t="inlineStr"/>
      <c r="C149" s="5" t="inlineStr">
        <is>
          <t>GRIPMANDAYS&amp;RIGGINGMANDAYS</t>
        </is>
      </c>
      <c r="D149" s="5" t="inlineStr">
        <is>
          <t>Local80</t>
        </is>
      </c>
      <c r="E149" s="6" t="n">
        <v>20.57</v>
      </c>
      <c r="F149" s="5" t="n"/>
      <c r="G149" s="5" t="n"/>
      <c r="H149" s="5" t="n"/>
      <c r="I149" s="5" t="n"/>
      <c r="J149" s="7">
        <f>IF(AND(N(F149)&gt;0,N(I149)&gt;0),I149-F149-IF(N(G149)&gt;0,0.5,0)-IF(N(H149)&gt;0,0.5,0),0)</f>
        <v/>
      </c>
      <c r="K149" s="5" t="n"/>
      <c r="L149" s="7">
        <f>MIN(J149,10.0)</f>
        <v/>
      </c>
      <c r="M149" s="7">
        <f>MAX(0,MIN(J149,12)-10.0)</f>
        <v/>
      </c>
      <c r="N149" s="7">
        <f>MAX(0,J149-12)</f>
        <v/>
      </c>
      <c r="O149" s="5" t="n"/>
      <c r="P149" s="6">
        <f>E149*(L149+M149*1.5+N149*2+O149*3+N(K149))</f>
        <v/>
      </c>
      <c r="Q149" s="6" t="n">
        <v>318.83</v>
      </c>
      <c r="R149" s="6">
        <f>Q149-P149</f>
        <v/>
      </c>
    </row>
    <row r="150">
      <c r="P150" s="2" t="inlineStr">
        <is>
          <t>OTHERLABOR LABOR</t>
        </is>
      </c>
      <c r="R150" s="8">
        <f>SUM(R149:R149)</f>
        <v/>
      </c>
    </row>
    <row r="152">
      <c r="B152" s="2" t="inlineStr">
        <is>
          <t>STANDBYLABOR</t>
        </is>
      </c>
    </row>
    <row r="153">
      <c r="A153" s="5" t="inlineStr">
        <is>
          <t>2510</t>
        </is>
      </c>
      <c r="B153" s="5" t="inlineStr"/>
      <c r="C153" s="5" t="inlineStr">
        <is>
          <t>LAYOUTBOARD</t>
        </is>
      </c>
      <c r="D153" s="5" t="inlineStr">
        <is>
          <t>Local729</t>
        </is>
      </c>
      <c r="E153" s="6" t="n">
        <v>25.5</v>
      </c>
      <c r="F153" s="5" t="n"/>
      <c r="G153" s="5" t="n"/>
      <c r="H153" s="5" t="n"/>
      <c r="I153" s="5" t="n"/>
      <c r="J153" s="7">
        <f>IF(AND(N(F153)&gt;0,N(I153)&gt;0),I153-F153-IF(N(G153)&gt;0,0.5,0)-IF(N(H153)&gt;0,0.5,0),0)</f>
        <v/>
      </c>
      <c r="K153" s="5" t="n"/>
      <c r="L153" s="7">
        <f>MIN(J153,10.0)</f>
        <v/>
      </c>
      <c r="M153" s="7">
        <f>MAX(0,MIN(J153,12)-10.0)</f>
        <v/>
      </c>
      <c r="N153" s="7">
        <f>MAX(0,J153-12)</f>
        <v/>
      </c>
      <c r="O153" s="5" t="n"/>
      <c r="P153" s="6">
        <f>E153*(L153+M153*1.5+N153*2+O153*3+N(K153))</f>
        <v/>
      </c>
      <c r="Q153" s="6" t="n">
        <v>395.25</v>
      </c>
      <c r="R153" s="6">
        <f>Q153-P153</f>
        <v/>
      </c>
    </row>
    <row r="154">
      <c r="P154" s="2" t="inlineStr">
        <is>
          <t>STANDBYLABOR LABOR</t>
        </is>
      </c>
      <c r="R154" s="8">
        <f>SUM(R153:R153)</f>
        <v/>
      </c>
    </row>
    <row r="156">
      <c r="B156" s="2" t="inlineStr">
        <is>
          <t>SETCRAFTSERVICELABOR</t>
        </is>
      </c>
    </row>
    <row r="157">
      <c r="A157" s="5" t="inlineStr">
        <is>
          <t>2511</t>
        </is>
      </c>
      <c r="B157" s="5" t="inlineStr">
        <is>
          <t>Maurico Solis</t>
        </is>
      </c>
      <c r="C157" s="5" t="inlineStr">
        <is>
          <t>KEYCRAFTSERVICE</t>
        </is>
      </c>
      <c r="D157" s="5" t="inlineStr">
        <is>
          <t>Local80</t>
        </is>
      </c>
      <c r="E157" s="6" t="n">
        <v>25.5</v>
      </c>
      <c r="F157" s="5" t="n"/>
      <c r="G157" s="5" t="n"/>
      <c r="H157" s="5" t="n"/>
      <c r="I157" s="5" t="n"/>
      <c r="J157" s="7">
        <f>IF(AND(N(F157)&gt;0,N(I157)&gt;0),I157-F157-IF(N(G157)&gt;0,0.5,0)-IF(N(H157)&gt;0,0.5,0),0)</f>
        <v/>
      </c>
      <c r="K157" s="5" t="n"/>
      <c r="L157" s="7">
        <f>MIN(J157,10.0)</f>
        <v/>
      </c>
      <c r="M157" s="7">
        <f>MAX(0,MIN(J157,12)-10.0)</f>
        <v/>
      </c>
      <c r="N157" s="7">
        <f>MAX(0,J157-12)</f>
        <v/>
      </c>
      <c r="O157" s="5" t="n"/>
      <c r="P157" s="6">
        <f>E157*(L157+M157*1.5+N157*2+O157*3+N(K157))</f>
        <v/>
      </c>
      <c r="Q157" s="6" t="n">
        <v>439.87</v>
      </c>
      <c r="R157" s="6">
        <f>Q157-P157</f>
        <v/>
      </c>
    </row>
    <row r="158">
      <c r="A158" s="5" t="inlineStr">
        <is>
          <t>2511</t>
        </is>
      </c>
      <c r="B158" s="5" t="inlineStr"/>
      <c r="C158" s="5" t="inlineStr">
        <is>
          <t>ASSTCRAFTSERVICE</t>
        </is>
      </c>
      <c r="D158" s="5" t="inlineStr">
        <is>
          <t>Local80</t>
        </is>
      </c>
      <c r="E158" s="6" t="n">
        <v>23.04</v>
      </c>
      <c r="F158" s="5" t="n"/>
      <c r="G158" s="5" t="n"/>
      <c r="H158" s="5" t="n"/>
      <c r="I158" s="5" t="n"/>
      <c r="J158" s="7">
        <f>IF(AND(N(F158)&gt;0,N(I158)&gt;0),I158-F158-IF(N(G158)&gt;0,0.5,0)-IF(N(H158)&gt;0,0.5,0),0)</f>
        <v/>
      </c>
      <c r="K158" s="5" t="n"/>
      <c r="L158" s="7">
        <f>MIN(J158,10.0)</f>
        <v/>
      </c>
      <c r="M158" s="7">
        <f>MAX(0,MIN(J158,12)-10.0)</f>
        <v/>
      </c>
      <c r="N158" s="7">
        <f>MAX(0,J158-12)</f>
        <v/>
      </c>
      <c r="O158" s="5" t="n"/>
      <c r="P158" s="6">
        <f>E158*(L158+M158*1.5+N158*2+O158*3+N(K158))</f>
        <v/>
      </c>
      <c r="Q158" s="6" t="n">
        <v>397.43</v>
      </c>
      <c r="R158" s="6">
        <f>Q158-P158</f>
        <v/>
      </c>
    </row>
    <row r="159">
      <c r="P159" s="2" t="inlineStr">
        <is>
          <t>SETCRAFTSERVICELABOR LABOR</t>
        </is>
      </c>
      <c r="R159" s="8">
        <f>SUM(R157:R158)</f>
        <v/>
      </c>
    </row>
    <row r="161">
      <c r="B161" s="2" t="inlineStr">
        <is>
          <t>SETFIRSTAIDLABOR</t>
        </is>
      </c>
    </row>
    <row r="162">
      <c r="A162" s="5" t="inlineStr">
        <is>
          <t>2514</t>
        </is>
      </c>
      <c r="B162" s="5" t="inlineStr">
        <is>
          <t>Robert Hill</t>
        </is>
      </c>
      <c r="C162" s="5" t="inlineStr">
        <is>
          <t>SETMEDIC</t>
        </is>
      </c>
      <c r="D162" s="5" t="inlineStr">
        <is>
          <t>Local80</t>
        </is>
      </c>
      <c r="E162" s="6" t="n">
        <v>23.04</v>
      </c>
      <c r="F162" s="5" t="n"/>
      <c r="G162" s="5" t="n"/>
      <c r="H162" s="5" t="n"/>
      <c r="I162" s="5" t="n"/>
      <c r="J162" s="7">
        <f>IF(AND(N(F162)&gt;0,N(I162)&gt;0),I162-F162-IF(N(G162)&gt;0,0.5,0)-IF(N(H162)&gt;0,0.5,0),0)</f>
        <v/>
      </c>
      <c r="K162" s="5" t="n"/>
      <c r="L162" s="7">
        <f>MIN(J162,10.0)</f>
        <v/>
      </c>
      <c r="M162" s="7">
        <f>MAX(0,MIN(J162,12)-10.0)</f>
        <v/>
      </c>
      <c r="N162" s="7">
        <f>MAX(0,J162-12)</f>
        <v/>
      </c>
      <c r="O162" s="5" t="n"/>
      <c r="P162" s="6">
        <f>E162*(L162+M162*1.5+N162*2+O162*3+N(K162))</f>
        <v/>
      </c>
      <c r="Q162" s="6" t="n">
        <v>397.43</v>
      </c>
      <c r="R162" s="6">
        <f>Q162-P162</f>
        <v/>
      </c>
    </row>
    <row r="163">
      <c r="A163" s="5" t="inlineStr">
        <is>
          <t>2514</t>
        </is>
      </c>
      <c r="B163" s="5" t="inlineStr"/>
      <c r="C163" s="5" t="inlineStr">
        <is>
          <t>RIGGINGMEDICMANDAYS</t>
        </is>
      </c>
      <c r="D163" s="5" t="inlineStr">
        <is>
          <t>Local80</t>
        </is>
      </c>
      <c r="E163" s="6" t="n">
        <v>23.04</v>
      </c>
      <c r="F163" s="5" t="n"/>
      <c r="G163" s="5" t="n"/>
      <c r="H163" s="5" t="n"/>
      <c r="I163" s="5" t="n"/>
      <c r="J163" s="7">
        <f>IF(AND(N(F163)&gt;0,N(I163)&gt;0),I163-F163-IF(N(G163)&gt;0,0.5,0)-IF(N(H163)&gt;0,0.5,0),0)</f>
        <v/>
      </c>
      <c r="K163" s="5" t="n"/>
      <c r="L163" s="7">
        <f>MIN(J163,10.0)</f>
        <v/>
      </c>
      <c r="M163" s="7">
        <f>MAX(0,MIN(J163,12)-10.0)</f>
        <v/>
      </c>
      <c r="N163" s="7">
        <f>MAX(0,J163-12)</f>
        <v/>
      </c>
      <c r="O163" s="5" t="n"/>
      <c r="P163" s="6">
        <f>E163*(L163+M163*1.5+N163*2+O163*3+N(K163))</f>
        <v/>
      </c>
      <c r="Q163" s="5" t="n"/>
      <c r="R163" s="6">
        <f>Q163-P163</f>
        <v/>
      </c>
    </row>
    <row r="164">
      <c r="P164" s="2" t="inlineStr">
        <is>
          <t>SETFIRSTAIDLABOR LABOR</t>
        </is>
      </c>
      <c r="R164" s="8">
        <f>SUM(R162:R163)</f>
        <v/>
      </c>
    </row>
    <row r="166">
      <c r="B166" s="2" t="inlineStr">
        <is>
          <t>SFXCOORDINATOR</t>
        </is>
      </c>
    </row>
    <row r="167">
      <c r="A167" s="5" t="inlineStr">
        <is>
          <t>2601</t>
        </is>
      </c>
      <c r="B167" s="5" t="inlineStr">
        <is>
          <t>Zak Knight</t>
        </is>
      </c>
      <c r="C167" s="5" t="inlineStr">
        <is>
          <t>SPFXCOORDINATOR</t>
        </is>
      </c>
      <c r="D167" s="5" t="inlineStr">
        <is>
          <t>Local44</t>
        </is>
      </c>
      <c r="E167" s="6" t="n">
        <v>42</v>
      </c>
      <c r="F167" s="5" t="n"/>
      <c r="G167" s="5" t="n"/>
      <c r="H167" s="5" t="n"/>
      <c r="I167" s="5" t="n"/>
      <c r="J167" s="7">
        <f>IF(AND(N(F167)&gt;0,N(I167)&gt;0),I167-F167-IF(N(G167)&gt;0,0.5,0)-IF(N(H167)&gt;0,0.5,0),0)</f>
        <v/>
      </c>
      <c r="K167" s="5" t="n"/>
      <c r="L167" s="7">
        <f>MIN(J167,10.0)</f>
        <v/>
      </c>
      <c r="M167" s="7">
        <f>MAX(0,MIN(J167,12)-10.0)</f>
        <v/>
      </c>
      <c r="N167" s="7">
        <f>MAX(0,J167-12)</f>
        <v/>
      </c>
      <c r="O167" s="5" t="n"/>
      <c r="P167" s="6">
        <f>E167*(L167+M167*1.5+N167*2+O167*3+N(K167))</f>
        <v/>
      </c>
      <c r="Q167" s="6" t="n">
        <v>462</v>
      </c>
      <c r="R167" s="6">
        <f>Q167-P167</f>
        <v/>
      </c>
    </row>
    <row r="168">
      <c r="P168" s="2" t="inlineStr">
        <is>
          <t>SFXCOORDINATOR LABOR</t>
        </is>
      </c>
      <c r="R168" s="8">
        <f>SUM(R167:R167)</f>
        <v/>
      </c>
    </row>
    <row r="170">
      <c r="B170" s="2" t="inlineStr">
        <is>
          <t>SFXTECHMANDAYS</t>
        </is>
      </c>
    </row>
    <row r="171">
      <c r="A171" s="5" t="inlineStr">
        <is>
          <t>2609</t>
        </is>
      </c>
      <c r="B171" s="5" t="inlineStr"/>
      <c r="C171" s="5" t="inlineStr">
        <is>
          <t>SPFXTECHMANDAYS</t>
        </is>
      </c>
      <c r="D171" s="5" t="inlineStr">
        <is>
          <t>Local44</t>
        </is>
      </c>
      <c r="E171" s="6" t="n">
        <v>40</v>
      </c>
      <c r="F171" s="5" t="n"/>
      <c r="G171" s="5" t="n"/>
      <c r="H171" s="5" t="n"/>
      <c r="I171" s="5" t="n"/>
      <c r="J171" s="7">
        <f>IF(AND(N(F171)&gt;0,N(I171)&gt;0),I171-F171-IF(N(G171)&gt;0,0.5,0)-IF(N(H171)&gt;0,0.5,0),0)</f>
        <v/>
      </c>
      <c r="K171" s="5" t="n"/>
      <c r="L171" s="7">
        <f>MIN(J171,10.0)</f>
        <v/>
      </c>
      <c r="M171" s="7">
        <f>MAX(0,MIN(J171,12)-10.0)</f>
        <v/>
      </c>
      <c r="N171" s="7">
        <f>MAX(0,J171-12)</f>
        <v/>
      </c>
      <c r="O171" s="5" t="n"/>
      <c r="P171" s="6">
        <f>E171*(L171+M171*1.5+N171*2+O171*3+N(K171))</f>
        <v/>
      </c>
      <c r="Q171" s="5" t="n"/>
      <c r="R171" s="6">
        <f>Q171-P171</f>
        <v/>
      </c>
    </row>
    <row r="172">
      <c r="A172" s="5" t="inlineStr">
        <is>
          <t>2609</t>
        </is>
      </c>
      <c r="B172" s="5" t="inlineStr"/>
      <c r="C172" s="5" t="inlineStr">
        <is>
          <t>SPFXASSISTANTMANDAYS</t>
        </is>
      </c>
      <c r="D172" s="5" t="inlineStr">
        <is>
          <t>Local44</t>
        </is>
      </c>
      <c r="E172" s="6" t="n">
        <v>25.5</v>
      </c>
      <c r="F172" s="5" t="n"/>
      <c r="G172" s="5" t="n"/>
      <c r="H172" s="5" t="n"/>
      <c r="I172" s="5" t="n"/>
      <c r="J172" s="7">
        <f>IF(AND(N(F172)&gt;0,N(I172)&gt;0),I172-F172-IF(N(G172)&gt;0,0.5,0)-IF(N(H172)&gt;0,0.5,0),0)</f>
        <v/>
      </c>
      <c r="K172" s="5" t="n"/>
      <c r="L172" s="7">
        <f>MIN(J172,10.0)</f>
        <v/>
      </c>
      <c r="M172" s="7">
        <f>MAX(0,MIN(J172,12)-10.0)</f>
        <v/>
      </c>
      <c r="N172" s="7">
        <f>MAX(0,J172-12)</f>
        <v/>
      </c>
      <c r="O172" s="5" t="n"/>
      <c r="P172" s="6">
        <f>E172*(L172+M172*1.5+N172*2+O172*3+N(K172))</f>
        <v/>
      </c>
      <c r="Q172" s="5" t="n"/>
      <c r="R172" s="6">
        <f>Q172-P172</f>
        <v/>
      </c>
    </row>
    <row r="173">
      <c r="A173" s="5" t="inlineStr">
        <is>
          <t>2609</t>
        </is>
      </c>
      <c r="B173" s="5" t="inlineStr"/>
      <c r="C173" s="5" t="inlineStr">
        <is>
          <t>PYROMANDAYS</t>
        </is>
      </c>
      <c r="D173" s="5" t="inlineStr">
        <is>
          <t>Local44</t>
        </is>
      </c>
      <c r="E173" s="6" t="n">
        <v>68.18000000000001</v>
      </c>
      <c r="F173" s="5" t="n"/>
      <c r="G173" s="5" t="n"/>
      <c r="H173" s="5" t="n"/>
      <c r="I173" s="5" t="n"/>
      <c r="J173" s="7">
        <f>IF(AND(N(F173)&gt;0,N(I173)&gt;0),I173-F173-IF(N(G173)&gt;0,0.5,0)-IF(N(H173)&gt;0,0.5,0),0)</f>
        <v/>
      </c>
      <c r="K173" s="5" t="n"/>
      <c r="L173" s="7">
        <f>MIN(J173,10.0)</f>
        <v/>
      </c>
      <c r="M173" s="7">
        <f>MAX(0,MIN(J173,12)-10.0)</f>
        <v/>
      </c>
      <c r="N173" s="7">
        <f>MAX(0,J173-12)</f>
        <v/>
      </c>
      <c r="O173" s="5" t="n"/>
      <c r="P173" s="6">
        <f>E173*(L173+M173*1.5+N173*2+O173*3+N(K173))</f>
        <v/>
      </c>
      <c r="Q173" s="5" t="n"/>
      <c r="R173" s="6">
        <f>Q173-P173</f>
        <v/>
      </c>
    </row>
    <row r="174">
      <c r="P174" s="2" t="inlineStr">
        <is>
          <t>SFXTECHMANDAYS LABOR</t>
        </is>
      </c>
      <c r="R174" s="8">
        <f>SUM(R171:R173)</f>
        <v/>
      </c>
    </row>
    <row r="176">
      <c r="B176" s="2" t="inlineStr">
        <is>
          <t>SETDECORATOR</t>
        </is>
      </c>
    </row>
    <row r="177">
      <c r="A177" s="5" t="inlineStr">
        <is>
          <t>2701</t>
        </is>
      </c>
      <c r="B177" s="5" t="inlineStr">
        <is>
          <t>Sandy Skora</t>
        </is>
      </c>
      <c r="C177" s="5" t="inlineStr">
        <is>
          <t>SETDECORATOR</t>
        </is>
      </c>
      <c r="D177" s="5" t="inlineStr">
        <is>
          <t>Local44</t>
        </is>
      </c>
      <c r="E177" s="6" t="n">
        <v>400</v>
      </c>
      <c r="F177" s="5" t="n"/>
      <c r="G177" s="5" t="n"/>
      <c r="H177" s="5" t="n"/>
      <c r="I177" s="5" t="n"/>
      <c r="J177" s="7">
        <f>IF(AND(N(F177)&gt;0,N(I177)&gt;0),I177-F177-IF(N(G177)&gt;0,0.5,0)-IF(N(H177)&gt;0,0.5,0),0)</f>
        <v/>
      </c>
      <c r="K177" s="5" t="n"/>
      <c r="L177" s="7">
        <f>MIN(J177,10.0)</f>
        <v/>
      </c>
      <c r="M177" s="7">
        <f>MAX(0,MIN(J177,12)-10.0)</f>
        <v/>
      </c>
      <c r="N177" s="7">
        <f>MAX(0,J177-12)</f>
        <v/>
      </c>
      <c r="O177" s="5" t="n"/>
      <c r="P177" s="6">
        <f>E177*(L177+M177*1.5+N177*2+O177*3+N(K177))</f>
        <v/>
      </c>
      <c r="Q177" s="6" t="n">
        <v>400</v>
      </c>
      <c r="R177" s="6">
        <f>Q177-P177</f>
        <v/>
      </c>
    </row>
    <row r="178">
      <c r="P178" s="2" t="inlineStr">
        <is>
          <t>SETDECORATOR LABOR</t>
        </is>
      </c>
      <c r="R178" s="8">
        <f>SUM(R177:R177)</f>
        <v/>
      </c>
    </row>
    <row r="180">
      <c r="B180" s="2" t="inlineStr">
        <is>
          <t>LEADPERSON</t>
        </is>
      </c>
    </row>
    <row r="181">
      <c r="A181" s="5" t="inlineStr">
        <is>
          <t>2702</t>
        </is>
      </c>
      <c r="B181" s="5" t="inlineStr">
        <is>
          <t>Josh Richmond</t>
        </is>
      </c>
      <c r="C181" s="5" t="inlineStr">
        <is>
          <t>LEADPERSON</t>
        </is>
      </c>
      <c r="D181" s="5" t="inlineStr">
        <is>
          <t>Local44</t>
        </is>
      </c>
      <c r="E181" s="6" t="n">
        <v>23.04</v>
      </c>
      <c r="F181" s="5" t="n"/>
      <c r="G181" s="5" t="n"/>
      <c r="H181" s="5" t="n"/>
      <c r="I181" s="5" t="n"/>
      <c r="J181" s="7">
        <f>IF(AND(N(F181)&gt;0,N(I181)&gt;0),I181-F181-IF(N(G181)&gt;0,0.5,0)-IF(N(H181)&gt;0,0.5,0),0)</f>
        <v/>
      </c>
      <c r="K181" s="5" t="n"/>
      <c r="L181" s="7">
        <f>MIN(J181,10.0)</f>
        <v/>
      </c>
      <c r="M181" s="7">
        <f>MAX(0,MIN(J181,12)-10.0)</f>
        <v/>
      </c>
      <c r="N181" s="7">
        <f>MAX(0,J181-12)</f>
        <v/>
      </c>
      <c r="O181" s="5" t="n"/>
      <c r="P181" s="6">
        <f>E181*(L181+M181*1.5+N181*2+O181*3+N(K181))</f>
        <v/>
      </c>
      <c r="Q181" s="6" t="n">
        <v>322.56</v>
      </c>
      <c r="R181" s="6">
        <f>Q181-P181</f>
        <v/>
      </c>
    </row>
    <row r="182">
      <c r="P182" s="2" t="inlineStr">
        <is>
          <t>LEADPERSON LABOR</t>
        </is>
      </c>
      <c r="R182" s="8">
        <f>SUM(R181:R181)</f>
        <v/>
      </c>
    </row>
    <row r="184">
      <c r="B184" s="2" t="inlineStr">
        <is>
          <t>SWINGLABOR</t>
        </is>
      </c>
    </row>
    <row r="185">
      <c r="A185" s="5" t="inlineStr">
        <is>
          <t>2703</t>
        </is>
      </c>
      <c r="B185" s="5" t="inlineStr">
        <is>
          <t>Tim Dodge</t>
        </is>
      </c>
      <c r="C185" s="5" t="inlineStr">
        <is>
          <t>SWING#1</t>
        </is>
      </c>
      <c r="D185" s="5" t="inlineStr">
        <is>
          <t>Local44</t>
        </is>
      </c>
      <c r="E185" s="6" t="n">
        <v>20.57</v>
      </c>
      <c r="F185" s="5" t="n"/>
      <c r="G185" s="5" t="n"/>
      <c r="H185" s="5" t="n"/>
      <c r="I185" s="5" t="n"/>
      <c r="J185" s="7">
        <f>IF(AND(N(F185)&gt;0,N(I185)&gt;0),I185-F185-IF(N(G185)&gt;0,0.5,0)-IF(N(H185)&gt;0,0.5,0),0)</f>
        <v/>
      </c>
      <c r="K185" s="5" t="n"/>
      <c r="L185" s="7">
        <f>MIN(J185,10.0)</f>
        <v/>
      </c>
      <c r="M185" s="7">
        <f>MAX(0,MIN(J185,12)-10.0)</f>
        <v/>
      </c>
      <c r="N185" s="7">
        <f>MAX(0,J185-12)</f>
        <v/>
      </c>
      <c r="O185" s="5" t="n"/>
      <c r="P185" s="6">
        <f>E185*(L185+M185*1.5+N185*2+O185*3+N(K185))</f>
        <v/>
      </c>
      <c r="Q185" s="6" t="n">
        <v>287.98</v>
      </c>
      <c r="R185" s="6">
        <f>Q185-P185</f>
        <v/>
      </c>
    </row>
    <row r="186">
      <c r="A186" s="5" t="inlineStr">
        <is>
          <t>2703</t>
        </is>
      </c>
      <c r="B186" s="5" t="inlineStr"/>
      <c r="C186" s="5" t="inlineStr">
        <is>
          <t>SWING#2</t>
        </is>
      </c>
      <c r="D186" s="5" t="inlineStr">
        <is>
          <t>Local44</t>
        </is>
      </c>
      <c r="E186" s="6" t="n">
        <v>20.57</v>
      </c>
      <c r="F186" s="5" t="n"/>
      <c r="G186" s="5" t="n"/>
      <c r="H186" s="5" t="n"/>
      <c r="I186" s="5" t="n"/>
      <c r="J186" s="7">
        <f>IF(AND(N(F186)&gt;0,N(I186)&gt;0),I186-F186-IF(N(G186)&gt;0,0.5,0)-IF(N(H186)&gt;0,0.5,0),0)</f>
        <v/>
      </c>
      <c r="K186" s="5" t="n"/>
      <c r="L186" s="7">
        <f>MIN(J186,10.0)</f>
        <v/>
      </c>
      <c r="M186" s="7">
        <f>MAX(0,MIN(J186,12)-10.0)</f>
        <v/>
      </c>
      <c r="N186" s="7">
        <f>MAX(0,J186-12)</f>
        <v/>
      </c>
      <c r="O186" s="5" t="n"/>
      <c r="P186" s="6">
        <f>E186*(L186+M186*1.5+N186*2+O186*3+N(K186))</f>
        <v/>
      </c>
      <c r="Q186" s="6" t="n">
        <v>287.98</v>
      </c>
      <c r="R186" s="6">
        <f>Q186-P186</f>
        <v/>
      </c>
    </row>
    <row r="187">
      <c r="A187" s="5" t="inlineStr">
        <is>
          <t>2703</t>
        </is>
      </c>
      <c r="B187" s="5" t="inlineStr"/>
      <c r="C187" s="5" t="inlineStr">
        <is>
          <t>ADDITIONALSWINGMANDAYS</t>
        </is>
      </c>
      <c r="D187" s="5" t="inlineStr">
        <is>
          <t>Local44</t>
        </is>
      </c>
      <c r="E187" s="6" t="n">
        <v>20.57</v>
      </c>
      <c r="F187" s="5" t="n"/>
      <c r="G187" s="5" t="n"/>
      <c r="H187" s="5" t="n"/>
      <c r="I187" s="5" t="n"/>
      <c r="J187" s="7">
        <f>IF(AND(N(F187)&gt;0,N(I187)&gt;0),I187-F187-IF(N(G187)&gt;0,0.5,0)-IF(N(H187)&gt;0,0.5,0),0)</f>
        <v/>
      </c>
      <c r="K187" s="5" t="n"/>
      <c r="L187" s="7">
        <f>MIN(J187,10.0)</f>
        <v/>
      </c>
      <c r="M187" s="7">
        <f>MAX(0,MIN(J187,12)-10.0)</f>
        <v/>
      </c>
      <c r="N187" s="7">
        <f>MAX(0,J187-12)</f>
        <v/>
      </c>
      <c r="O187" s="5" t="n"/>
      <c r="P187" s="6">
        <f>E187*(L187+M187*1.5+N187*2+O187*3+N(K187))</f>
        <v/>
      </c>
      <c r="Q187" s="6" t="n">
        <v>287.98</v>
      </c>
      <c r="R187" s="6">
        <f>Q187-P187</f>
        <v/>
      </c>
    </row>
    <row r="188">
      <c r="P188" s="2" t="inlineStr">
        <is>
          <t>SWINGLABOR LABOR</t>
        </is>
      </c>
      <c r="R188" s="8">
        <f>SUM(R185:R187)</f>
        <v/>
      </c>
    </row>
    <row r="190">
      <c r="B190" s="2" t="inlineStr">
        <is>
          <t>ON-SETDRESSER</t>
        </is>
      </c>
    </row>
    <row r="191">
      <c r="A191" s="5" t="inlineStr">
        <is>
          <t>2705</t>
        </is>
      </c>
      <c r="B191" s="5" t="inlineStr">
        <is>
          <t>Khamisi Thurman</t>
        </is>
      </c>
      <c r="C191" s="5" t="inlineStr">
        <is>
          <t>ON-SETDRESSER</t>
        </is>
      </c>
      <c r="D191" s="5" t="inlineStr">
        <is>
          <t>Local44</t>
        </is>
      </c>
      <c r="E191" s="6" t="n">
        <v>20.57</v>
      </c>
      <c r="F191" s="5" t="n"/>
      <c r="G191" s="5" t="n"/>
      <c r="H191" s="5" t="n"/>
      <c r="I191" s="5" t="n"/>
      <c r="J191" s="7">
        <f>IF(AND(N(F191)&gt;0,N(I191)&gt;0),I191-F191-IF(N(G191)&gt;0,0.5,0)-IF(N(H191)&gt;0,0.5,0),0)</f>
        <v/>
      </c>
      <c r="K191" s="5" t="n"/>
      <c r="L191" s="7">
        <f>MIN(J191,10.0)</f>
        <v/>
      </c>
      <c r="M191" s="7">
        <f>MAX(0,MIN(J191,12)-10.0)</f>
        <v/>
      </c>
      <c r="N191" s="7">
        <f>MAX(0,J191-12)</f>
        <v/>
      </c>
      <c r="O191" s="5" t="n"/>
      <c r="P191" s="6">
        <f>E191*(L191+M191*1.5+N191*2+O191*3+N(K191))</f>
        <v/>
      </c>
      <c r="Q191" s="6" t="n">
        <v>318.83</v>
      </c>
      <c r="R191" s="6">
        <f>Q191-P191</f>
        <v/>
      </c>
    </row>
    <row r="192">
      <c r="P192" s="2" t="inlineStr">
        <is>
          <t>ON-SETDRESSER LABOR</t>
        </is>
      </c>
      <c r="R192" s="8">
        <f>SUM(R191:R191)</f>
        <v/>
      </c>
    </row>
    <row r="194">
      <c r="B194" s="2" t="inlineStr">
        <is>
          <t>BUYERS</t>
        </is>
      </c>
    </row>
    <row r="195">
      <c r="A195" s="5" t="inlineStr">
        <is>
          <t>2706</t>
        </is>
      </c>
      <c r="B195" s="5" t="inlineStr">
        <is>
          <t>Sarah Hickman</t>
        </is>
      </c>
      <c r="C195" s="5" t="inlineStr">
        <is>
          <t>BUYER</t>
        </is>
      </c>
      <c r="D195" s="5" t="inlineStr">
        <is>
          <t>Local44</t>
        </is>
      </c>
      <c r="E195" s="6" t="n">
        <v>23.04</v>
      </c>
      <c r="F195" s="5" t="n"/>
      <c r="G195" s="5" t="n"/>
      <c r="H195" s="5" t="n"/>
      <c r="I195" s="5" t="n"/>
      <c r="J195" s="7">
        <f>IF(AND(N(F195)&gt;0,N(I195)&gt;0),I195-F195-IF(N(G195)&gt;0,0.5,0)-IF(N(H195)&gt;0,0.5,0),0)</f>
        <v/>
      </c>
      <c r="K195" s="5" t="n"/>
      <c r="L195" s="7">
        <f>MIN(J195,10.0)</f>
        <v/>
      </c>
      <c r="M195" s="7">
        <f>MAX(0,MIN(J195,12)-10.0)</f>
        <v/>
      </c>
      <c r="N195" s="7">
        <f>MAX(0,J195-12)</f>
        <v/>
      </c>
      <c r="O195" s="5" t="n"/>
      <c r="P195" s="6">
        <f>E195*(L195+M195*1.5+N195*2+O195*3+N(K195))</f>
        <v/>
      </c>
      <c r="Q195" s="6" t="n">
        <v>253.44</v>
      </c>
      <c r="R195" s="6">
        <f>Q195-P195</f>
        <v/>
      </c>
    </row>
    <row r="196">
      <c r="P196" s="2" t="inlineStr">
        <is>
          <t>BUYERS LABOR</t>
        </is>
      </c>
      <c r="R196" s="8">
        <f>SUM(R195:R195)</f>
        <v/>
      </c>
    </row>
    <row r="198">
      <c r="B198" s="2" t="inlineStr">
        <is>
          <t>PROPMASTER</t>
        </is>
      </c>
    </row>
    <row r="199">
      <c r="A199" s="5" t="inlineStr">
        <is>
          <t>2801</t>
        </is>
      </c>
      <c r="B199" s="5" t="inlineStr">
        <is>
          <t>Annie Brandt</t>
        </is>
      </c>
      <c r="C199" s="5" t="inlineStr">
        <is>
          <t>PROPMASTER</t>
        </is>
      </c>
      <c r="D199" s="5" t="inlineStr">
        <is>
          <t>Local44</t>
        </is>
      </c>
      <c r="E199" s="6" t="n">
        <v>25.5</v>
      </c>
      <c r="F199" s="5" t="n"/>
      <c r="G199" s="5" t="n"/>
      <c r="H199" s="5" t="n"/>
      <c r="I199" s="5" t="n"/>
      <c r="J199" s="7">
        <f>IF(AND(N(F199)&gt;0,N(I199)&gt;0),I199-F199-IF(N(G199)&gt;0,0.5,0)-IF(N(H199)&gt;0,0.5,0),0)</f>
        <v/>
      </c>
      <c r="K199" s="5" t="n"/>
      <c r="L199" s="7">
        <f>MIN(J199,10.0)</f>
        <v/>
      </c>
      <c r="M199" s="7">
        <f>MAX(0,MIN(J199,12)-10.0)</f>
        <v/>
      </c>
      <c r="N199" s="7">
        <f>MAX(0,J199-12)</f>
        <v/>
      </c>
      <c r="O199" s="5" t="n"/>
      <c r="P199" s="6">
        <f>E199*(L199+M199*1.5+N199*2+O199*3+N(K199))</f>
        <v/>
      </c>
      <c r="Q199" s="6" t="n">
        <v>395.25</v>
      </c>
      <c r="R199" s="6">
        <f>Q199-P199</f>
        <v/>
      </c>
    </row>
    <row r="200">
      <c r="P200" s="2" t="inlineStr">
        <is>
          <t>PROPMASTER LABOR</t>
        </is>
      </c>
      <c r="R200" s="8">
        <f>SUM(R199:R199)</f>
        <v/>
      </c>
    </row>
    <row r="202">
      <c r="B202" s="2" t="inlineStr">
        <is>
          <t>ASSTPROPMASTER</t>
        </is>
      </c>
    </row>
    <row r="203">
      <c r="A203" s="5" t="inlineStr">
        <is>
          <t>2802</t>
        </is>
      </c>
      <c r="B203" s="5" t="inlineStr">
        <is>
          <t>Nate Bakes</t>
        </is>
      </c>
      <c r="C203" s="5" t="inlineStr">
        <is>
          <t>ASSTPROPMASTER</t>
        </is>
      </c>
      <c r="D203" s="5" t="inlineStr">
        <is>
          <t>Local44</t>
        </is>
      </c>
      <c r="E203" s="6" t="n">
        <v>23.04</v>
      </c>
      <c r="F203" s="5" t="n"/>
      <c r="G203" s="5" t="n"/>
      <c r="H203" s="5" t="n"/>
      <c r="I203" s="5" t="n"/>
      <c r="J203" s="7">
        <f>IF(AND(N(F203)&gt;0,N(I203)&gt;0),I203-F203-IF(N(G203)&gt;0,0.5,0)-IF(N(H203)&gt;0,0.5,0),0)</f>
        <v/>
      </c>
      <c r="K203" s="5" t="n"/>
      <c r="L203" s="7">
        <f>MIN(J203,10.0)</f>
        <v/>
      </c>
      <c r="M203" s="7">
        <f>MAX(0,MIN(J203,12)-10.0)</f>
        <v/>
      </c>
      <c r="N203" s="7">
        <f>MAX(0,J203-12)</f>
        <v/>
      </c>
      <c r="O203" s="5" t="n"/>
      <c r="P203" s="6">
        <f>E203*(L203+M203*1.5+N203*2+O203*3+N(K203))</f>
        <v/>
      </c>
      <c r="Q203" s="6" t="n">
        <v>357.12</v>
      </c>
      <c r="R203" s="6">
        <f>Q203-P203</f>
        <v/>
      </c>
    </row>
    <row r="204">
      <c r="P204" s="2" t="inlineStr">
        <is>
          <t>ASSTPROPMASTER LABOR</t>
        </is>
      </c>
      <c r="R204" s="8">
        <f>SUM(R203:R203)</f>
        <v/>
      </c>
    </row>
    <row r="206">
      <c r="B206" s="2" t="inlineStr">
        <is>
          <t>COSTUMEDESIGNER</t>
        </is>
      </c>
    </row>
    <row r="207">
      <c r="A207" s="5" t="inlineStr">
        <is>
          <t>2901</t>
        </is>
      </c>
      <c r="B207" s="5" t="inlineStr">
        <is>
          <t>Megan Spatz</t>
        </is>
      </c>
      <c r="C207" s="5" t="inlineStr">
        <is>
          <t>COSTUMEDESIGNER</t>
        </is>
      </c>
      <c r="D207" s="5" t="inlineStr">
        <is>
          <t>Local892</t>
        </is>
      </c>
      <c r="E207" s="6" t="n">
        <v>540</v>
      </c>
      <c r="F207" s="5" t="n"/>
      <c r="G207" s="5" t="n"/>
      <c r="H207" s="5" t="n"/>
      <c r="I207" s="5" t="n"/>
      <c r="J207" s="7">
        <f>IF(AND(N(F207)&gt;0,N(I207)&gt;0),I207-F207-IF(N(G207)&gt;0,0.5,0)-IF(N(H207)&gt;0,0.5,0),0)</f>
        <v/>
      </c>
      <c r="K207" s="5" t="n"/>
      <c r="L207" s="7">
        <f>MIN(J207,8.0)</f>
        <v/>
      </c>
      <c r="M207" s="7">
        <f>MAX(0,MIN(J207,12)-8.0)</f>
        <v/>
      </c>
      <c r="N207" s="7">
        <f>MAX(0,J207-12)</f>
        <v/>
      </c>
      <c r="O207" s="5" t="n"/>
      <c r="P207" s="6">
        <f>E207*(L207+M207*1.5+N207*2+O207*3+N(K207))</f>
        <v/>
      </c>
      <c r="Q207" s="6" t="n">
        <v>540</v>
      </c>
      <c r="R207" s="6">
        <f>Q207-P207</f>
        <v/>
      </c>
    </row>
    <row r="208">
      <c r="P208" s="2" t="inlineStr">
        <is>
          <t>COSTUMEDESIGNER LABOR</t>
        </is>
      </c>
      <c r="R208" s="8">
        <f>SUM(R207:R207)</f>
        <v/>
      </c>
    </row>
    <row r="210">
      <c r="B210" s="2" t="inlineStr">
        <is>
          <t>COSTUMESUPERVISOR</t>
        </is>
      </c>
    </row>
    <row r="211">
      <c r="A211" s="5" t="inlineStr">
        <is>
          <t>2903</t>
        </is>
      </c>
      <c r="B211" s="5" t="inlineStr">
        <is>
          <t>Danielle Schuck</t>
        </is>
      </c>
      <c r="C211" s="5" t="inlineStr">
        <is>
          <t>COSTUMESUPERVISOR</t>
        </is>
      </c>
      <c r="D211" s="5" t="inlineStr">
        <is>
          <t>Local705</t>
        </is>
      </c>
      <c r="E211" s="6" t="n">
        <v>25.5</v>
      </c>
      <c r="F211" s="5" t="n"/>
      <c r="G211" s="5" t="n"/>
      <c r="H211" s="5" t="n"/>
      <c r="I211" s="5" t="n"/>
      <c r="J211" s="7">
        <f>IF(AND(N(F211)&gt;0,N(I211)&gt;0),I211-F211-IF(N(G211)&gt;0,0.5,0)-IF(N(H211)&gt;0,0.5,0),0)</f>
        <v/>
      </c>
      <c r="K211" s="5" t="n"/>
      <c r="L211" s="7">
        <f>MIN(J211,8.0)</f>
        <v/>
      </c>
      <c r="M211" s="7">
        <f>MAX(0,MIN(J211,12)-8.0)</f>
        <v/>
      </c>
      <c r="N211" s="7">
        <f>MAX(0,J211-12)</f>
        <v/>
      </c>
      <c r="O211" s="5" t="n"/>
      <c r="P211" s="6">
        <f>E211*(L211+M211*1.5+N211*2+O211*3+N(K211))</f>
        <v/>
      </c>
      <c r="Q211" s="6" t="n">
        <v>280.5</v>
      </c>
      <c r="R211" s="6">
        <f>Q211-P211</f>
        <v/>
      </c>
    </row>
    <row r="212">
      <c r="P212" s="2" t="inlineStr">
        <is>
          <t>COSTUMESUPERVISOR LABOR</t>
        </is>
      </c>
      <c r="R212" s="8">
        <f>SUM(R211:R211)</f>
        <v/>
      </c>
    </row>
    <row r="214">
      <c r="B214" s="2" t="inlineStr">
        <is>
          <t>SETCOSTUMERS</t>
        </is>
      </c>
    </row>
    <row r="215">
      <c r="A215" s="5" t="inlineStr">
        <is>
          <t>2905</t>
        </is>
      </c>
      <c r="B215" s="5" t="inlineStr">
        <is>
          <t>Monavie Tutop</t>
        </is>
      </c>
      <c r="C215" s="5" t="inlineStr">
        <is>
          <t>COSTUMER#1</t>
        </is>
      </c>
      <c r="D215" s="5" t="inlineStr">
        <is>
          <t>Local705</t>
        </is>
      </c>
      <c r="E215" s="6" t="n">
        <v>23.04</v>
      </c>
      <c r="F215" s="5" t="n"/>
      <c r="G215" s="5" t="n"/>
      <c r="H215" s="5" t="n"/>
      <c r="I215" s="5" t="n"/>
      <c r="J215" s="7">
        <f>IF(AND(N(F215)&gt;0,N(I215)&gt;0),I215-F215-IF(N(G215)&gt;0,0.5,0)-IF(N(H215)&gt;0,0.5,0),0)</f>
        <v/>
      </c>
      <c r="K215" s="5" t="n"/>
      <c r="L215" s="7">
        <f>MIN(J215,8.0)</f>
        <v/>
      </c>
      <c r="M215" s="7">
        <f>MAX(0,MIN(J215,12)-8.0)</f>
        <v/>
      </c>
      <c r="N215" s="7">
        <f>MAX(0,J215-12)</f>
        <v/>
      </c>
      <c r="O215" s="5" t="n"/>
      <c r="P215" s="6">
        <f>E215*(L215+M215*1.5+N215*2+O215*3+N(K215))</f>
        <v/>
      </c>
      <c r="Q215" s="6" t="n">
        <v>253.44</v>
      </c>
      <c r="R215" s="6">
        <f>Q215-P215</f>
        <v/>
      </c>
    </row>
    <row r="216">
      <c r="A216" s="5" t="inlineStr">
        <is>
          <t>2905</t>
        </is>
      </c>
      <c r="B216" s="5" t="inlineStr"/>
      <c r="C216" s="5" t="inlineStr">
        <is>
          <t>COSTUMER#2</t>
        </is>
      </c>
      <c r="D216" s="5" t="inlineStr">
        <is>
          <t>Local705</t>
        </is>
      </c>
      <c r="E216" s="6" t="n">
        <v>20.57</v>
      </c>
      <c r="F216" s="5" t="n"/>
      <c r="G216" s="5" t="n"/>
      <c r="H216" s="5" t="n"/>
      <c r="I216" s="5" t="n"/>
      <c r="J216" s="7">
        <f>IF(AND(N(F216)&gt;0,N(I216)&gt;0),I216-F216-IF(N(G216)&gt;0,0.5,0)-IF(N(H216)&gt;0,0.5,0),0)</f>
        <v/>
      </c>
      <c r="K216" s="5" t="n"/>
      <c r="L216" s="7">
        <f>MIN(J216,8.0)</f>
        <v/>
      </c>
      <c r="M216" s="7">
        <f>MAX(0,MIN(J216,12)-8.0)</f>
        <v/>
      </c>
      <c r="N216" s="7">
        <f>MAX(0,J216-12)</f>
        <v/>
      </c>
      <c r="O216" s="5" t="n"/>
      <c r="P216" s="6">
        <f>E216*(L216+M216*1.5+N216*2+O216*3+N(K216))</f>
        <v/>
      </c>
      <c r="Q216" s="6" t="n">
        <v>226.27</v>
      </c>
      <c r="R216" s="6">
        <f>Q216-P216</f>
        <v/>
      </c>
    </row>
    <row r="217">
      <c r="P217" s="2" t="inlineStr">
        <is>
          <t>SETCOSTUMERS LABOR</t>
        </is>
      </c>
      <c r="R217" s="8">
        <f>SUM(R215:R216)</f>
        <v/>
      </c>
    </row>
    <row r="219">
      <c r="B219" s="2" t="inlineStr">
        <is>
          <t>KEYMAKE-UP</t>
        </is>
      </c>
    </row>
    <row r="220">
      <c r="A220" s="5" t="inlineStr">
        <is>
          <t>3101</t>
        </is>
      </c>
      <c r="B220" s="5" t="inlineStr">
        <is>
          <t>Eleanor Sabaduquia</t>
        </is>
      </c>
      <c r="C220" s="5" t="inlineStr">
        <is>
          <t>KEYMAKEUPARTIST</t>
        </is>
      </c>
      <c r="D220" s="5" t="inlineStr">
        <is>
          <t>Local706</t>
        </is>
      </c>
      <c r="E220" s="6" t="n">
        <v>25.5</v>
      </c>
      <c r="F220" s="5" t="n"/>
      <c r="G220" s="5" t="n"/>
      <c r="H220" s="5" t="n"/>
      <c r="I220" s="5" t="n"/>
      <c r="J220" s="7">
        <f>IF(AND(N(F220)&gt;0,N(I220)&gt;0),I220-F220-IF(N(G220)&gt;0,0.5,0)-IF(N(H220)&gt;0,0.5,0),0)</f>
        <v/>
      </c>
      <c r="K220" s="5" t="n"/>
      <c r="L220" s="7">
        <f>MIN(J220,10.0)</f>
        <v/>
      </c>
      <c r="M220" s="7">
        <f>MAX(0,MIN(J220,12)-10.0)</f>
        <v/>
      </c>
      <c r="N220" s="7">
        <f>MAX(0,J220-12)</f>
        <v/>
      </c>
      <c r="O220" s="5" t="n"/>
      <c r="P220" s="6">
        <f>E220*(L220+M220*1.5+N220*2+O220*3+N(K220))</f>
        <v/>
      </c>
      <c r="Q220" s="6" t="n">
        <v>280.5</v>
      </c>
      <c r="R220" s="6">
        <f>Q220-P220</f>
        <v/>
      </c>
    </row>
    <row r="221">
      <c r="P221" s="2" t="inlineStr">
        <is>
          <t>KEYMAKE-UP LABOR</t>
        </is>
      </c>
      <c r="R221" s="8">
        <f>SUM(R220:R220)</f>
        <v/>
      </c>
    </row>
    <row r="223">
      <c r="B223" s="2" t="inlineStr">
        <is>
          <t>ASSTMAKE-UP</t>
        </is>
      </c>
    </row>
    <row r="224">
      <c r="A224" s="5" t="inlineStr">
        <is>
          <t>3102</t>
        </is>
      </c>
      <c r="B224" s="5" t="inlineStr">
        <is>
          <t>Yoko Nobushi</t>
        </is>
      </c>
      <c r="C224" s="5" t="inlineStr">
        <is>
          <t>ASSTMAKEUPARTIST#1</t>
        </is>
      </c>
      <c r="D224" s="5" t="inlineStr">
        <is>
          <t>Local706</t>
        </is>
      </c>
      <c r="E224" s="6" t="n">
        <v>23.04</v>
      </c>
      <c r="F224" s="5" t="n"/>
      <c r="G224" s="5" t="n"/>
      <c r="H224" s="5" t="n"/>
      <c r="I224" s="5" t="n"/>
      <c r="J224" s="7">
        <f>IF(AND(N(F224)&gt;0,N(I224)&gt;0),I224-F224-IF(N(G224)&gt;0,0.5,0)-IF(N(H224)&gt;0,0.5,0),0)</f>
        <v/>
      </c>
      <c r="K224" s="5" t="n"/>
      <c r="L224" s="7">
        <f>MIN(J224,10.0)</f>
        <v/>
      </c>
      <c r="M224" s="7">
        <f>MAX(0,MIN(J224,12)-10.0)</f>
        <v/>
      </c>
      <c r="N224" s="7">
        <f>MAX(0,J224-12)</f>
        <v/>
      </c>
      <c r="O224" s="5" t="n"/>
      <c r="P224" s="6">
        <f>E224*(L224+M224*1.5+N224*2+O224*3+N(K224))</f>
        <v/>
      </c>
      <c r="Q224" s="6" t="n">
        <v>253.44</v>
      </c>
      <c r="R224" s="6">
        <f>Q224-P224</f>
        <v/>
      </c>
    </row>
    <row r="225">
      <c r="P225" s="2" t="inlineStr">
        <is>
          <t>ASSTMAKE-UP LABOR</t>
        </is>
      </c>
      <c r="R225" s="8">
        <f>SUM(R224:R224)</f>
        <v/>
      </c>
    </row>
    <row r="227">
      <c r="B227" s="2" t="inlineStr">
        <is>
          <t>ADDITIONALMAKE-UPLABOR</t>
        </is>
      </c>
    </row>
    <row r="228">
      <c r="A228" s="5" t="inlineStr">
        <is>
          <t>3103</t>
        </is>
      </c>
      <c r="B228" s="5" t="inlineStr"/>
      <c r="C228" s="5" t="inlineStr">
        <is>
          <t>ADDLMAKEUPARTISTDAYS</t>
        </is>
      </c>
      <c r="D228" s="5" t="inlineStr">
        <is>
          <t>Local706</t>
        </is>
      </c>
      <c r="E228" s="6" t="n">
        <v>23.04</v>
      </c>
      <c r="F228" s="5" t="n"/>
      <c r="G228" s="5" t="n"/>
      <c r="H228" s="5" t="n"/>
      <c r="I228" s="5" t="n"/>
      <c r="J228" s="7">
        <f>IF(AND(N(F228)&gt;0,N(I228)&gt;0),I228-F228-IF(N(G228)&gt;0,0.5,0)-IF(N(H228)&gt;0,0.5,0),0)</f>
        <v/>
      </c>
      <c r="K228" s="5" t="n"/>
      <c r="L228" s="7">
        <f>MIN(J228,10.0)</f>
        <v/>
      </c>
      <c r="M228" s="7">
        <f>MAX(0,MIN(J228,12)-10.0)</f>
        <v/>
      </c>
      <c r="N228" s="7">
        <f>MAX(0,J228-12)</f>
        <v/>
      </c>
      <c r="O228" s="5" t="n"/>
      <c r="P228" s="6">
        <f>E228*(L228+M228*1.5+N228*2+O228*3+N(K228))</f>
        <v/>
      </c>
      <c r="Q228" s="5" t="n"/>
      <c r="R228" s="6">
        <f>Q228-P228</f>
        <v/>
      </c>
    </row>
    <row r="229">
      <c r="P229" s="2" t="inlineStr">
        <is>
          <t>ADDITIONALMAKE-UPLABOR LABOR</t>
        </is>
      </c>
      <c r="R229" s="8">
        <f>SUM(R228:R228)</f>
        <v/>
      </c>
    </row>
    <row r="231">
      <c r="B231" s="2" t="inlineStr">
        <is>
          <t>PROSTHETICS</t>
        </is>
      </c>
    </row>
    <row r="232">
      <c r="A232" s="5" t="inlineStr">
        <is>
          <t>3105</t>
        </is>
      </c>
      <c r="B232" s="5" t="inlineStr"/>
      <c r="C232" s="5" t="inlineStr">
        <is>
          <t>PROSTHETICMAKEUPARTIST</t>
        </is>
      </c>
      <c r="D232" s="5" t="inlineStr">
        <is>
          <t>Local706</t>
        </is>
      </c>
      <c r="E232" s="6" t="n">
        <v>25.5</v>
      </c>
      <c r="F232" s="5" t="n"/>
      <c r="G232" s="5" t="n"/>
      <c r="H232" s="5" t="n"/>
      <c r="I232" s="5" t="n"/>
      <c r="J232" s="7">
        <f>IF(AND(N(F232)&gt;0,N(I232)&gt;0),I232-F232-IF(N(G232)&gt;0,0.5,0)-IF(N(H232)&gt;0,0.5,0),0)</f>
        <v/>
      </c>
      <c r="K232" s="5" t="n"/>
      <c r="L232" s="7">
        <f>MIN(J232,10.0)</f>
        <v/>
      </c>
      <c r="M232" s="7">
        <f>MAX(0,MIN(J232,12)-10.0)</f>
        <v/>
      </c>
      <c r="N232" s="7">
        <f>MAX(0,J232-12)</f>
        <v/>
      </c>
      <c r="O232" s="5" t="n"/>
      <c r="P232" s="6">
        <f>E232*(L232+M232*1.5+N232*2+O232*3+N(K232))</f>
        <v/>
      </c>
      <c r="Q232" s="6" t="n">
        <v>280.5</v>
      </c>
      <c r="R232" s="6">
        <f>Q232-P232</f>
        <v/>
      </c>
    </row>
    <row r="233">
      <c r="A233" s="5" t="inlineStr">
        <is>
          <t>3105</t>
        </is>
      </c>
      <c r="B233" s="5" t="inlineStr"/>
      <c r="C233" s="5" t="inlineStr">
        <is>
          <t>LENSCONSULTANT</t>
        </is>
      </c>
      <c r="D233" s="5" t="inlineStr"/>
      <c r="E233" s="6" t="n">
        <v>50</v>
      </c>
      <c r="F233" s="5" t="n"/>
      <c r="G233" s="5" t="n"/>
      <c r="H233" s="5" t="n"/>
      <c r="I233" s="5" t="n"/>
      <c r="J233" s="7">
        <f>IF(AND(N(F233)&gt;0,N(I233)&gt;0),I233-F233-IF(N(G233)&gt;0,0.5,0)-IF(N(H233)&gt;0,0.5,0),0)</f>
        <v/>
      </c>
      <c r="K233" s="5" t="n"/>
      <c r="L233" s="7">
        <f>MIN(J233,8.0)</f>
        <v/>
      </c>
      <c r="M233" s="7">
        <f>MAX(0,MIN(J233,12)-8.0)</f>
        <v/>
      </c>
      <c r="N233" s="7">
        <f>MAX(0,J233-12)</f>
        <v/>
      </c>
      <c r="O233" s="5" t="n"/>
      <c r="P233" s="6">
        <f>E233*(L233+M233*1.5+N233*2+O233*3+N(K233))</f>
        <v/>
      </c>
      <c r="Q233" s="6" t="n">
        <v>550</v>
      </c>
      <c r="R233" s="6">
        <f>Q233-P233</f>
        <v/>
      </c>
    </row>
    <row r="234">
      <c r="P234" s="2" t="inlineStr">
        <is>
          <t>PROSTHETICS LABOR</t>
        </is>
      </c>
      <c r="R234" s="8">
        <f>SUM(R232:R233)</f>
        <v/>
      </c>
    </row>
    <row r="236">
      <c r="B236" s="2" t="inlineStr">
        <is>
          <t>KEYHAIR</t>
        </is>
      </c>
    </row>
    <row r="237">
      <c r="A237" s="5" t="inlineStr">
        <is>
          <t>3111</t>
        </is>
      </c>
      <c r="B237" s="5" t="inlineStr">
        <is>
          <t>Traci Smithe</t>
        </is>
      </c>
      <c r="C237" s="5" t="inlineStr">
        <is>
          <t>KEYHAIR</t>
        </is>
      </c>
      <c r="D237" s="5" t="inlineStr">
        <is>
          <t>Local706</t>
        </is>
      </c>
      <c r="E237" s="6" t="n">
        <v>25.5</v>
      </c>
      <c r="F237" s="5" t="n"/>
      <c r="G237" s="5" t="n"/>
      <c r="H237" s="5" t="n"/>
      <c r="I237" s="5" t="n"/>
      <c r="J237" s="7">
        <f>IF(AND(N(F237)&gt;0,N(I237)&gt;0),I237-F237-IF(N(G237)&gt;0,0.5,0)-IF(N(H237)&gt;0,0.5,0),0)</f>
        <v/>
      </c>
      <c r="K237" s="5" t="n"/>
      <c r="L237" s="7">
        <f>MIN(J237,10.0)</f>
        <v/>
      </c>
      <c r="M237" s="7">
        <f>MAX(0,MIN(J237,12)-10.0)</f>
        <v/>
      </c>
      <c r="N237" s="7">
        <f>MAX(0,J237-12)</f>
        <v/>
      </c>
      <c r="O237" s="5" t="n"/>
      <c r="P237" s="6">
        <f>E237*(L237+M237*1.5+N237*2+O237*3+N(K237))</f>
        <v/>
      </c>
      <c r="Q237" s="6" t="n">
        <v>280.5</v>
      </c>
      <c r="R237" s="6">
        <f>Q237-P237</f>
        <v/>
      </c>
    </row>
    <row r="238">
      <c r="P238" s="2" t="inlineStr">
        <is>
          <t>KEYHAIR LABOR</t>
        </is>
      </c>
      <c r="R238" s="8">
        <f>SUM(R237:R237)</f>
        <v/>
      </c>
    </row>
    <row r="240">
      <c r="B240" s="2" t="inlineStr">
        <is>
          <t>ASSTHAIR</t>
        </is>
      </c>
    </row>
    <row r="241">
      <c r="A241" s="5" t="inlineStr">
        <is>
          <t>3112</t>
        </is>
      </c>
      <c r="B241" s="5" t="inlineStr">
        <is>
          <t>Yunea Cruz</t>
        </is>
      </c>
      <c r="C241" s="5" t="inlineStr">
        <is>
          <t>ASSTHAIRSTYLIST#1</t>
        </is>
      </c>
      <c r="D241" s="5" t="inlineStr">
        <is>
          <t>Local706</t>
        </is>
      </c>
      <c r="E241" s="6" t="n">
        <v>23.04</v>
      </c>
      <c r="F241" s="5" t="n"/>
      <c r="G241" s="5" t="n"/>
      <c r="H241" s="5" t="n"/>
      <c r="I241" s="5" t="n"/>
      <c r="J241" s="7">
        <f>IF(AND(N(F241)&gt;0,N(I241)&gt;0),I241-F241-IF(N(G241)&gt;0,0.5,0)-IF(N(H241)&gt;0,0.5,0),0)</f>
        <v/>
      </c>
      <c r="K241" s="5" t="n"/>
      <c r="L241" s="7">
        <f>MIN(J241,10.0)</f>
        <v/>
      </c>
      <c r="M241" s="7">
        <f>MAX(0,MIN(J241,12)-10.0)</f>
        <v/>
      </c>
      <c r="N241" s="7">
        <f>MAX(0,J241-12)</f>
        <v/>
      </c>
      <c r="O241" s="5" t="n"/>
      <c r="P241" s="6">
        <f>E241*(L241+M241*1.5+N241*2+O241*3+N(K241))</f>
        <v/>
      </c>
      <c r="Q241" s="6" t="n">
        <v>253.44</v>
      </c>
      <c r="R241" s="6">
        <f>Q241-P241</f>
        <v/>
      </c>
    </row>
    <row r="242">
      <c r="P242" s="2" t="inlineStr">
        <is>
          <t>ASSTHAIR LABOR</t>
        </is>
      </c>
      <c r="R242" s="8">
        <f>SUM(R241:R241)</f>
        <v/>
      </c>
    </row>
    <row r="244">
      <c r="B244" s="2" t="inlineStr">
        <is>
          <t>ADDITIONALHAIRLABOR</t>
        </is>
      </c>
    </row>
    <row r="245">
      <c r="A245" s="5" t="inlineStr">
        <is>
          <t>3113</t>
        </is>
      </c>
      <c r="B245" s="5" t="inlineStr"/>
      <c r="C245" s="5" t="inlineStr">
        <is>
          <t>ADDLHAIRSTYLISTDAYS</t>
        </is>
      </c>
      <c r="D245" s="5" t="inlineStr">
        <is>
          <t>Local706</t>
        </is>
      </c>
      <c r="E245" s="6" t="n">
        <v>23.04</v>
      </c>
      <c r="F245" s="5" t="n"/>
      <c r="G245" s="5" t="n"/>
      <c r="H245" s="5" t="n"/>
      <c r="I245" s="5" t="n"/>
      <c r="J245" s="7">
        <f>IF(AND(N(F245)&gt;0,N(I245)&gt;0),I245-F245-IF(N(G245)&gt;0,0.5,0)-IF(N(H245)&gt;0,0.5,0),0)</f>
        <v/>
      </c>
      <c r="K245" s="5" t="n"/>
      <c r="L245" s="7">
        <f>MIN(J245,10.0)</f>
        <v/>
      </c>
      <c r="M245" s="7">
        <f>MAX(0,MIN(J245,12)-10.0)</f>
        <v/>
      </c>
      <c r="N245" s="7">
        <f>MAX(0,J245-12)</f>
        <v/>
      </c>
      <c r="O245" s="5" t="n"/>
      <c r="P245" s="6">
        <f>E245*(L245+M245*1.5+N245*2+O245*3+N(K245))</f>
        <v/>
      </c>
      <c r="Q245" s="5" t="n"/>
      <c r="R245" s="6">
        <f>Q245-P245</f>
        <v/>
      </c>
    </row>
    <row r="246">
      <c r="P246" s="2" t="inlineStr">
        <is>
          <t>ADDITIONALHAIRLABOR LABOR</t>
        </is>
      </c>
      <c r="R246" s="8">
        <f>SUM(R245:R245)</f>
        <v/>
      </c>
    </row>
    <row r="248">
      <c r="B248" s="2" t="inlineStr">
        <is>
          <t>GAFFER</t>
        </is>
      </c>
    </row>
    <row r="249">
      <c r="A249" s="5" t="inlineStr">
        <is>
          <t>3201</t>
        </is>
      </c>
      <c r="B249" s="5" t="inlineStr">
        <is>
          <t>Nicholas Kaat</t>
        </is>
      </c>
      <c r="C249" s="5" t="inlineStr">
        <is>
          <t>GAFFER</t>
        </is>
      </c>
      <c r="D249" s="5" t="inlineStr">
        <is>
          <t>Local728</t>
        </is>
      </c>
      <c r="E249" s="6" t="n">
        <v>25.5</v>
      </c>
      <c r="F249" s="5" t="n"/>
      <c r="G249" s="5" t="n"/>
      <c r="H249" s="5" t="n"/>
      <c r="I249" s="5" t="n"/>
      <c r="J249" s="7">
        <f>IF(AND(N(F249)&gt;0,N(I249)&gt;0),I249-F249-IF(N(G249)&gt;0,0.5,0)-IF(N(H249)&gt;0,0.5,0),0)</f>
        <v/>
      </c>
      <c r="K249" s="5" t="n"/>
      <c r="L249" s="7">
        <f>MIN(J249,10.0)</f>
        <v/>
      </c>
      <c r="M249" s="7">
        <f>MAX(0,MIN(J249,12)-10.0)</f>
        <v/>
      </c>
      <c r="N249" s="7">
        <f>MAX(0,J249-12)</f>
        <v/>
      </c>
      <c r="O249" s="5" t="n"/>
      <c r="P249" s="6">
        <f>E249*(L249+M249*1.5+N249*2+O249*3+N(K249))</f>
        <v/>
      </c>
      <c r="Q249" s="6" t="n">
        <v>280.5</v>
      </c>
      <c r="R249" s="6">
        <f>Q249-P249</f>
        <v/>
      </c>
    </row>
    <row r="250">
      <c r="P250" s="2" t="inlineStr">
        <is>
          <t>GAFFER LABOR</t>
        </is>
      </c>
      <c r="R250" s="8">
        <f>SUM(R249:R249)</f>
        <v/>
      </c>
    </row>
    <row r="252">
      <c r="B252" s="2" t="inlineStr">
        <is>
          <t>BESTBOYELECTRIC</t>
        </is>
      </c>
    </row>
    <row r="253">
      <c r="A253" s="5" t="inlineStr">
        <is>
          <t>3202</t>
        </is>
      </c>
      <c r="B253" s="5" t="inlineStr">
        <is>
          <t>Nathan Fetzer</t>
        </is>
      </c>
      <c r="C253" s="5" t="inlineStr">
        <is>
          <t>BESTBOYELECTRIC</t>
        </is>
      </c>
      <c r="D253" s="5" t="inlineStr">
        <is>
          <t>Local728</t>
        </is>
      </c>
      <c r="E253" s="6" t="n">
        <v>23.04</v>
      </c>
      <c r="F253" s="5" t="n"/>
      <c r="G253" s="5" t="n"/>
      <c r="H253" s="5" t="n"/>
      <c r="I253" s="5" t="n"/>
      <c r="J253" s="7">
        <f>IF(AND(N(F253)&gt;0,N(I253)&gt;0),I253-F253-IF(N(G253)&gt;0,0.5,0)-IF(N(H253)&gt;0,0.5,0),0)</f>
        <v/>
      </c>
      <c r="K253" s="5" t="n"/>
      <c r="L253" s="7">
        <f>MIN(J253,10.0)</f>
        <v/>
      </c>
      <c r="M253" s="7">
        <f>MAX(0,MIN(J253,12)-10.0)</f>
        <v/>
      </c>
      <c r="N253" s="7">
        <f>MAX(0,J253-12)</f>
        <v/>
      </c>
      <c r="O253" s="5" t="n"/>
      <c r="P253" s="6">
        <f>E253*(L253+M253*1.5+N253*2+O253*3+N(K253))</f>
        <v/>
      </c>
      <c r="Q253" s="6" t="n">
        <v>253.44</v>
      </c>
      <c r="R253" s="6">
        <f>Q253-P253</f>
        <v/>
      </c>
    </row>
    <row r="254">
      <c r="A254" s="5" t="inlineStr">
        <is>
          <t>3202</t>
        </is>
      </c>
      <c r="B254" s="5" t="inlineStr"/>
      <c r="C254" s="5" t="inlineStr">
        <is>
          <t>STUDIOBESTBOYELECTRIC</t>
        </is>
      </c>
      <c r="D254" s="5" t="inlineStr">
        <is>
          <t>Local728</t>
        </is>
      </c>
      <c r="E254" s="6" t="n">
        <v>43.05</v>
      </c>
      <c r="F254" s="5" t="n"/>
      <c r="G254" s="5" t="n"/>
      <c r="H254" s="5" t="n"/>
      <c r="I254" s="5" t="n"/>
      <c r="J254" s="7">
        <f>IF(AND(N(F254)&gt;0,N(I254)&gt;0),I254-F254-IF(N(G254)&gt;0,0.5,0)-IF(N(H254)&gt;0,0.5,0),0)</f>
        <v/>
      </c>
      <c r="K254" s="5" t="n"/>
      <c r="L254" s="7">
        <f>MIN(J254,10.0)</f>
        <v/>
      </c>
      <c r="M254" s="7">
        <f>MAX(0,MIN(J254,12)-10.0)</f>
        <v/>
      </c>
      <c r="N254" s="7">
        <f>MAX(0,J254-12)</f>
        <v/>
      </c>
      <c r="O254" s="5" t="n"/>
      <c r="P254" s="6">
        <f>E254*(L254+M254*1.5+N254*2+O254*3+N(K254))</f>
        <v/>
      </c>
      <c r="Q254" s="6" t="n">
        <v>473.55</v>
      </c>
      <c r="R254" s="6">
        <f>Q254-P254</f>
        <v/>
      </c>
    </row>
    <row r="255">
      <c r="P255" s="2" t="inlineStr">
        <is>
          <t>BESTBOYELECTRIC LABOR</t>
        </is>
      </c>
      <c r="R255" s="8">
        <f>SUM(R253:R254)</f>
        <v/>
      </c>
    </row>
    <row r="257">
      <c r="B257" s="2" t="inlineStr">
        <is>
          <t>ELECTRICIANS</t>
        </is>
      </c>
    </row>
    <row r="258">
      <c r="A258" s="5" t="inlineStr">
        <is>
          <t>3204</t>
        </is>
      </c>
      <c r="B258" s="5" t="inlineStr"/>
      <c r="C258" s="5" t="inlineStr">
        <is>
          <t>ELECTRICIAN#1</t>
        </is>
      </c>
      <c r="D258" s="5" t="inlineStr">
        <is>
          <t>Local728</t>
        </is>
      </c>
      <c r="E258" s="6" t="n">
        <v>20.57</v>
      </c>
      <c r="F258" s="5" t="n"/>
      <c r="G258" s="5" t="n"/>
      <c r="H258" s="5" t="n"/>
      <c r="I258" s="5" t="n"/>
      <c r="J258" s="7">
        <f>IF(AND(N(F258)&gt;0,N(I258)&gt;0),I258-F258-IF(N(G258)&gt;0,0.5,0)-IF(N(H258)&gt;0,0.5,0),0)</f>
        <v/>
      </c>
      <c r="K258" s="5" t="n"/>
      <c r="L258" s="7">
        <f>MIN(J258,10.0)</f>
        <v/>
      </c>
      <c r="M258" s="7">
        <f>MAX(0,MIN(J258,12)-10.0)</f>
        <v/>
      </c>
      <c r="N258" s="7">
        <f>MAX(0,J258-12)</f>
        <v/>
      </c>
      <c r="O258" s="5" t="n"/>
      <c r="P258" s="6">
        <f>E258*(L258+M258*1.5+N258*2+O258*3+N(K258))</f>
        <v/>
      </c>
      <c r="Q258" s="6" t="n">
        <v>226.27</v>
      </c>
      <c r="R258" s="6">
        <f>Q258-P258</f>
        <v/>
      </c>
    </row>
    <row r="259">
      <c r="A259" s="5" t="inlineStr">
        <is>
          <t>3204</t>
        </is>
      </c>
      <c r="B259" s="5" t="inlineStr"/>
      <c r="C259" s="5" t="inlineStr">
        <is>
          <t>ELECTRICIAN#2</t>
        </is>
      </c>
      <c r="D259" s="5" t="inlineStr">
        <is>
          <t>Local728</t>
        </is>
      </c>
      <c r="E259" s="6" t="n">
        <v>20.57</v>
      </c>
      <c r="F259" s="5" t="n"/>
      <c r="G259" s="5" t="n"/>
      <c r="H259" s="5" t="n"/>
      <c r="I259" s="5" t="n"/>
      <c r="J259" s="7">
        <f>IF(AND(N(F259)&gt;0,N(I259)&gt;0),I259-F259-IF(N(G259)&gt;0,0.5,0)-IF(N(H259)&gt;0,0.5,0),0)</f>
        <v/>
      </c>
      <c r="K259" s="5" t="n"/>
      <c r="L259" s="7">
        <f>MIN(J259,10.0)</f>
        <v/>
      </c>
      <c r="M259" s="7">
        <f>MAX(0,MIN(J259,12)-10.0)</f>
        <v/>
      </c>
      <c r="N259" s="7">
        <f>MAX(0,J259-12)</f>
        <v/>
      </c>
      <c r="O259" s="5" t="n"/>
      <c r="P259" s="6">
        <f>E259*(L259+M259*1.5+N259*2+O259*3+N(K259))</f>
        <v/>
      </c>
      <c r="Q259" s="6" t="n">
        <v>226.27</v>
      </c>
      <c r="R259" s="6">
        <f>Q259-P259</f>
        <v/>
      </c>
    </row>
    <row r="260">
      <c r="A260" s="5" t="inlineStr">
        <is>
          <t>3204</t>
        </is>
      </c>
      <c r="B260" s="5" t="inlineStr"/>
      <c r="C260" s="5" t="inlineStr">
        <is>
          <t>ELECTRICIAN#3</t>
        </is>
      </c>
      <c r="D260" s="5" t="inlineStr">
        <is>
          <t>Local728</t>
        </is>
      </c>
      <c r="E260" s="6" t="n">
        <v>20.57</v>
      </c>
      <c r="F260" s="5" t="n"/>
      <c r="G260" s="5" t="n"/>
      <c r="H260" s="5" t="n"/>
      <c r="I260" s="5" t="n"/>
      <c r="J260" s="7">
        <f>IF(AND(N(F260)&gt;0,N(I260)&gt;0),I260-F260-IF(N(G260)&gt;0,0.5,0)-IF(N(H260)&gt;0,0.5,0),0)</f>
        <v/>
      </c>
      <c r="K260" s="5" t="n"/>
      <c r="L260" s="7">
        <f>MIN(J260,10.0)</f>
        <v/>
      </c>
      <c r="M260" s="7">
        <f>MAX(0,MIN(J260,12)-10.0)</f>
        <v/>
      </c>
      <c r="N260" s="7">
        <f>MAX(0,J260-12)</f>
        <v/>
      </c>
      <c r="O260" s="5" t="n"/>
      <c r="P260" s="6">
        <f>E260*(L260+M260*1.5+N260*2+O260*3+N(K260))</f>
        <v/>
      </c>
      <c r="Q260" s="6" t="n">
        <v>226.27</v>
      </c>
      <c r="R260" s="6">
        <f>Q260-P260</f>
        <v/>
      </c>
    </row>
    <row r="261">
      <c r="P261" s="2" t="inlineStr">
        <is>
          <t>ELECTRICIANS LABOR</t>
        </is>
      </c>
      <c r="R261" s="8">
        <f>SUM(R258:R260)</f>
        <v/>
      </c>
    </row>
    <row r="263">
      <c r="B263" s="2" t="inlineStr">
        <is>
          <t>ADDITIONALELECTRICLABOR</t>
        </is>
      </c>
    </row>
    <row r="264">
      <c r="A264" s="5" t="inlineStr">
        <is>
          <t>3206</t>
        </is>
      </c>
      <c r="B264" s="5" t="inlineStr"/>
      <c r="C264" s="5" t="inlineStr">
        <is>
          <t>ELECTRICMANDAYS&amp;RIGGINGMANDAYS</t>
        </is>
      </c>
      <c r="D264" s="5" t="inlineStr">
        <is>
          <t>Local728</t>
        </is>
      </c>
      <c r="E264" s="6" t="n">
        <v>20.57</v>
      </c>
      <c r="F264" s="5" t="n"/>
      <c r="G264" s="5" t="n"/>
      <c r="H264" s="5" t="n"/>
      <c r="I264" s="5" t="n"/>
      <c r="J264" s="7">
        <f>IF(AND(N(F264)&gt;0,N(I264)&gt;0),I264-F264-IF(N(G264)&gt;0,0.5,0)-IF(N(H264)&gt;0,0.5,0),0)</f>
        <v/>
      </c>
      <c r="K264" s="5" t="n"/>
      <c r="L264" s="7">
        <f>MIN(J264,10.0)</f>
        <v/>
      </c>
      <c r="M264" s="7">
        <f>MAX(0,MIN(J264,12)-10.0)</f>
        <v/>
      </c>
      <c r="N264" s="7">
        <f>MAX(0,J264-12)</f>
        <v/>
      </c>
      <c r="O264" s="5" t="n"/>
      <c r="P264" s="6">
        <f>E264*(L264+M264*1.5+N264*2+O264*3+N(K264))</f>
        <v/>
      </c>
      <c r="Q264" s="5" t="n"/>
      <c r="R264" s="6">
        <f>Q264-P264</f>
        <v/>
      </c>
    </row>
    <row r="265">
      <c r="P265" s="2" t="inlineStr">
        <is>
          <t>ADDITIONALELECTRICLABOR LABOR</t>
        </is>
      </c>
      <c r="R265" s="8">
        <f>SUM(R264:R264)</f>
        <v/>
      </c>
    </row>
    <row r="267">
      <c r="B267" s="2" t="inlineStr">
        <is>
          <t>DIRECTOROFPHOTOGRAPHY</t>
        </is>
      </c>
    </row>
    <row r="268">
      <c r="A268" s="5" t="inlineStr">
        <is>
          <t>3301</t>
        </is>
      </c>
      <c r="B268" s="5" t="inlineStr">
        <is>
          <t>Michael Burgess</t>
        </is>
      </c>
      <c r="C268" s="5" t="inlineStr">
        <is>
          <t>DIRECTOROFPHOTOGRAPHY</t>
        </is>
      </c>
      <c r="D268" s="5" t="inlineStr">
        <is>
          <t>Local600</t>
        </is>
      </c>
      <c r="E268" s="6" t="n">
        <v>700</v>
      </c>
      <c r="F268" s="5" t="n"/>
      <c r="G268" s="5" t="n"/>
      <c r="H268" s="5" t="n"/>
      <c r="I268" s="5" t="n"/>
      <c r="J268" s="7">
        <f>IF(AND(N(F268)&gt;0,N(I268)&gt;0),I268-F268-IF(N(G268)&gt;0,0.5,0)-IF(N(H268)&gt;0,0.5,0),0)</f>
        <v/>
      </c>
      <c r="K268" s="5" t="n"/>
      <c r="L268" s="7">
        <f>MIN(J268,8.0)</f>
        <v/>
      </c>
      <c r="M268" s="7">
        <f>MAX(0,MIN(J268,12)-8.0)</f>
        <v/>
      </c>
      <c r="N268" s="7">
        <f>MAX(0,J268-12)</f>
        <v/>
      </c>
      <c r="O268" s="5" t="n"/>
      <c r="P268" s="6">
        <f>E268*(L268+M268*1.5+N268*2+O268*3+N(K268))</f>
        <v/>
      </c>
      <c r="Q268" s="6" t="n">
        <v>700</v>
      </c>
      <c r="R268" s="6">
        <f>Q268-P268</f>
        <v/>
      </c>
    </row>
    <row r="269">
      <c r="P269" s="2" t="inlineStr">
        <is>
          <t>DIRECTOROFPHOTOGRAPHY LABOR</t>
        </is>
      </c>
      <c r="R269" s="8">
        <f>SUM(R268:R268)</f>
        <v/>
      </c>
    </row>
    <row r="271">
      <c r="B271" s="2" t="inlineStr">
        <is>
          <t>CAMERAOPERATORS</t>
        </is>
      </c>
    </row>
    <row r="272">
      <c r="A272" s="5" t="inlineStr">
        <is>
          <t>3302</t>
        </is>
      </c>
      <c r="B272" s="5" t="inlineStr">
        <is>
          <t>Craig Bauer</t>
        </is>
      </c>
      <c r="C272" s="5" t="inlineStr">
        <is>
          <t>"B"CAMERAOP</t>
        </is>
      </c>
      <c r="D272" s="5" t="inlineStr">
        <is>
          <t>Local600</t>
        </is>
      </c>
      <c r="E272" s="6" t="n">
        <v>45</v>
      </c>
      <c r="F272" s="5" t="n"/>
      <c r="G272" s="5" t="n"/>
      <c r="H272" s="5" t="n"/>
      <c r="I272" s="5" t="n"/>
      <c r="J272" s="7">
        <f>IF(AND(N(F272)&gt;0,N(I272)&gt;0),I272-F272-IF(N(G272)&gt;0,0.5,0)-IF(N(H272)&gt;0,0.5,0),0)</f>
        <v/>
      </c>
      <c r="K272" s="5" t="n"/>
      <c r="L272" s="7">
        <f>MIN(J272,8.0)</f>
        <v/>
      </c>
      <c r="M272" s="7">
        <f>MAX(0,MIN(J272,12)-8.0)</f>
        <v/>
      </c>
      <c r="N272" s="7">
        <f>MAX(0,J272-12)</f>
        <v/>
      </c>
      <c r="O272" s="5" t="n"/>
      <c r="P272" s="6">
        <f>E272*(L272+M272*1.5+N272*2+O272*3+N(K272))</f>
        <v/>
      </c>
      <c r="Q272" s="6" t="n">
        <v>495</v>
      </c>
      <c r="R272" s="6">
        <f>Q272-P272</f>
        <v/>
      </c>
    </row>
    <row r="273">
      <c r="P273" s="2" t="inlineStr">
        <is>
          <t>CAMERAOPERATORS LABOR</t>
        </is>
      </c>
      <c r="R273" s="8">
        <f>SUM(R272:R272)</f>
        <v/>
      </c>
    </row>
    <row r="275">
      <c r="B275" s="2" t="inlineStr">
        <is>
          <t>DIGITALIMAGINGTECHS</t>
        </is>
      </c>
    </row>
    <row r="276">
      <c r="A276" s="5" t="inlineStr">
        <is>
          <t>3304</t>
        </is>
      </c>
      <c r="B276" s="5" t="inlineStr">
        <is>
          <t>Oliver Mancebo</t>
        </is>
      </c>
      <c r="C276" s="5" t="inlineStr">
        <is>
          <t>DIT</t>
        </is>
      </c>
      <c r="D276" s="5" t="inlineStr">
        <is>
          <t>Local600</t>
        </is>
      </c>
      <c r="E276" s="6" t="n">
        <v>35</v>
      </c>
      <c r="F276" s="5" t="n"/>
      <c r="G276" s="5" t="n"/>
      <c r="H276" s="5" t="n"/>
      <c r="I276" s="5" t="n"/>
      <c r="J276" s="7">
        <f>IF(AND(N(F276)&gt;0,N(I276)&gt;0),I276-F276-IF(N(G276)&gt;0,0.5,0)-IF(N(H276)&gt;0,0.5,0),0)</f>
        <v/>
      </c>
      <c r="K276" s="5" t="n"/>
      <c r="L276" s="7">
        <f>MIN(J276,8.0)</f>
        <v/>
      </c>
      <c r="M276" s="7">
        <f>MAX(0,MIN(J276,12)-8.0)</f>
        <v/>
      </c>
      <c r="N276" s="7">
        <f>MAX(0,J276-12)</f>
        <v/>
      </c>
      <c r="O276" s="5" t="n"/>
      <c r="P276" s="6">
        <f>E276*(L276+M276*1.5+N276*2+O276*3+N(K276))</f>
        <v/>
      </c>
      <c r="Q276" s="6" t="n">
        <v>385</v>
      </c>
      <c r="R276" s="6">
        <f>Q276-P276</f>
        <v/>
      </c>
    </row>
    <row r="277">
      <c r="P277" s="2" t="inlineStr">
        <is>
          <t>DIGITALIMAGINGTECHS LABOR</t>
        </is>
      </c>
      <c r="R277" s="8">
        <f>SUM(R276:R276)</f>
        <v/>
      </c>
    </row>
    <row r="279">
      <c r="B279" s="2" t="inlineStr">
        <is>
          <t>1STASSTCAMERA</t>
        </is>
      </c>
    </row>
    <row r="280">
      <c r="A280" s="5" t="inlineStr">
        <is>
          <t>3305</t>
        </is>
      </c>
      <c r="B280" s="5" t="inlineStr">
        <is>
          <t>Steve Cueva</t>
        </is>
      </c>
      <c r="C280" s="5" t="inlineStr">
        <is>
          <t>"A"CAMERA 1STAC</t>
        </is>
      </c>
      <c r="D280" s="5" t="inlineStr">
        <is>
          <t>Local600</t>
        </is>
      </c>
      <c r="E280" s="6" t="n">
        <v>25.5</v>
      </c>
      <c r="F280" s="5" t="n"/>
      <c r="G280" s="5" t="n"/>
      <c r="H280" s="5" t="n"/>
      <c r="I280" s="5" t="n"/>
      <c r="J280" s="7">
        <f>IF(AND(N(F280)&gt;0,N(I280)&gt;0),I280-F280-IF(N(G280)&gt;0,0.5,0)-IF(N(H280)&gt;0,0.5,0),0)</f>
        <v/>
      </c>
      <c r="K280" s="5" t="n"/>
      <c r="L280" s="7">
        <f>MIN(J280,8.0)</f>
        <v/>
      </c>
      <c r="M280" s="7">
        <f>MAX(0,MIN(J280,12)-8.0)</f>
        <v/>
      </c>
      <c r="N280" s="7">
        <f>MAX(0,J280-12)</f>
        <v/>
      </c>
      <c r="O280" s="5" t="n"/>
      <c r="P280" s="6">
        <f>E280*(L280+M280*1.5+N280*2+O280*3+N(K280))</f>
        <v/>
      </c>
      <c r="Q280" s="6" t="n">
        <v>280.5</v>
      </c>
      <c r="R280" s="6">
        <f>Q280-P280</f>
        <v/>
      </c>
    </row>
    <row r="281">
      <c r="A281" s="5" t="inlineStr">
        <is>
          <t>3305</t>
        </is>
      </c>
      <c r="B281" s="5" t="inlineStr">
        <is>
          <t>Chris Garcia</t>
        </is>
      </c>
      <c r="C281" s="5" t="inlineStr">
        <is>
          <t>"B"CAMERA 1STAC</t>
        </is>
      </c>
      <c r="D281" s="5" t="inlineStr">
        <is>
          <t>Local600</t>
        </is>
      </c>
      <c r="E281" s="6" t="n">
        <v>25.5</v>
      </c>
      <c r="F281" s="5" t="n"/>
      <c r="G281" s="5" t="n"/>
      <c r="H281" s="5" t="n"/>
      <c r="I281" s="5" t="n"/>
      <c r="J281" s="7">
        <f>IF(AND(N(F281)&gt;0,N(I281)&gt;0),I281-F281-IF(N(G281)&gt;0,0.5,0)-IF(N(H281)&gt;0,0.5,0),0)</f>
        <v/>
      </c>
      <c r="K281" s="5" t="n"/>
      <c r="L281" s="7">
        <f>MIN(J281,8.0)</f>
        <v/>
      </c>
      <c r="M281" s="7">
        <f>MAX(0,MIN(J281,12)-8.0)</f>
        <v/>
      </c>
      <c r="N281" s="7">
        <f>MAX(0,J281-12)</f>
        <v/>
      </c>
      <c r="O281" s="5" t="n"/>
      <c r="P281" s="6">
        <f>E281*(L281+M281*1.5+N281*2+O281*3+N(K281))</f>
        <v/>
      </c>
      <c r="Q281" s="6" t="n">
        <v>280.5</v>
      </c>
      <c r="R281" s="6">
        <f>Q281-P281</f>
        <v/>
      </c>
    </row>
    <row r="282">
      <c r="P282" s="2" t="inlineStr">
        <is>
          <t>1STASSTCAMERA LABOR</t>
        </is>
      </c>
      <c r="R282" s="8">
        <f>SUM(R280:R281)</f>
        <v/>
      </c>
    </row>
    <row r="284">
      <c r="B284" s="2" t="inlineStr">
        <is>
          <t>2NDASSTCAMERA</t>
        </is>
      </c>
    </row>
    <row r="285">
      <c r="A285" s="5" t="inlineStr">
        <is>
          <t>3306</t>
        </is>
      </c>
      <c r="B285" s="5" t="inlineStr">
        <is>
          <t>Manny Serrano</t>
        </is>
      </c>
      <c r="C285" s="5" t="inlineStr">
        <is>
          <t>"A"CAMERA 2NDAC</t>
        </is>
      </c>
      <c r="D285" s="5" t="inlineStr">
        <is>
          <t>Local600</t>
        </is>
      </c>
      <c r="E285" s="6" t="n">
        <v>23.04</v>
      </c>
      <c r="F285" s="5" t="n"/>
      <c r="G285" s="5" t="n"/>
      <c r="H285" s="5" t="n"/>
      <c r="I285" s="5" t="n"/>
      <c r="J285" s="7">
        <f>IF(AND(N(F285)&gt;0,N(I285)&gt;0),I285-F285-IF(N(G285)&gt;0,0.5,0)-IF(N(H285)&gt;0,0.5,0),0)</f>
        <v/>
      </c>
      <c r="K285" s="5" t="n"/>
      <c r="L285" s="7">
        <f>MIN(J285,8.0)</f>
        <v/>
      </c>
      <c r="M285" s="7">
        <f>MAX(0,MIN(J285,12)-8.0)</f>
        <v/>
      </c>
      <c r="N285" s="7">
        <f>MAX(0,J285-12)</f>
        <v/>
      </c>
      <c r="O285" s="5" t="n"/>
      <c r="P285" s="6">
        <f>E285*(L285+M285*1.5+N285*2+O285*3+N(K285))</f>
        <v/>
      </c>
      <c r="Q285" s="6" t="n">
        <v>253.44</v>
      </c>
      <c r="R285" s="6">
        <f>Q285-P285</f>
        <v/>
      </c>
    </row>
    <row r="286">
      <c r="A286" s="5" t="inlineStr">
        <is>
          <t>3306</t>
        </is>
      </c>
      <c r="B286" s="5" t="inlineStr"/>
      <c r="C286" s="5" t="inlineStr">
        <is>
          <t>"B"CAMERA 2NDAC</t>
        </is>
      </c>
      <c r="D286" s="5" t="inlineStr">
        <is>
          <t>Local600</t>
        </is>
      </c>
      <c r="E286" s="6" t="n">
        <v>23.04</v>
      </c>
      <c r="F286" s="5" t="n"/>
      <c r="G286" s="5" t="n"/>
      <c r="H286" s="5" t="n"/>
      <c r="I286" s="5" t="n"/>
      <c r="J286" s="7">
        <f>IF(AND(N(F286)&gt;0,N(I286)&gt;0),I286-F286-IF(N(G286)&gt;0,0.5,0)-IF(N(H286)&gt;0,0.5,0),0)</f>
        <v/>
      </c>
      <c r="K286" s="5" t="n"/>
      <c r="L286" s="7">
        <f>MIN(J286,8.0)</f>
        <v/>
      </c>
      <c r="M286" s="7">
        <f>MAX(0,MIN(J286,12)-8.0)</f>
        <v/>
      </c>
      <c r="N286" s="7">
        <f>MAX(0,J286-12)</f>
        <v/>
      </c>
      <c r="O286" s="5" t="n"/>
      <c r="P286" s="6">
        <f>E286*(L286+M286*1.5+N286*2+O286*3+N(K286))</f>
        <v/>
      </c>
      <c r="Q286" s="6" t="n">
        <v>253.44</v>
      </c>
      <c r="R286" s="6">
        <f>Q286-P286</f>
        <v/>
      </c>
    </row>
    <row r="287">
      <c r="P287" s="2" t="inlineStr">
        <is>
          <t>2NDASSTCAMERA LABOR</t>
        </is>
      </c>
      <c r="R287" s="8">
        <f>SUM(R285:R286)</f>
        <v/>
      </c>
    </row>
    <row r="289">
      <c r="B289" s="2" t="inlineStr">
        <is>
          <t>STILLPHOTOGRAPHER</t>
        </is>
      </c>
    </row>
    <row r="290">
      <c r="A290" s="5" t="inlineStr">
        <is>
          <t>3308</t>
        </is>
      </c>
      <c r="B290" s="5" t="inlineStr">
        <is>
          <t>Scott Patrick Green</t>
        </is>
      </c>
      <c r="C290" s="5" t="inlineStr">
        <is>
          <t>STILLPHOTOGRAPHER</t>
        </is>
      </c>
      <c r="D290" s="5" t="inlineStr">
        <is>
          <t>Local600</t>
        </is>
      </c>
      <c r="E290" s="6" t="n">
        <v>26.5</v>
      </c>
      <c r="F290" s="5" t="n"/>
      <c r="G290" s="5" t="n"/>
      <c r="H290" s="5" t="n"/>
      <c r="I290" s="5" t="n"/>
      <c r="J290" s="7">
        <f>IF(AND(N(F290)&gt;0,N(I290)&gt;0),I290-F290-IF(N(G290)&gt;0,0.5,0)-IF(N(H290)&gt;0,0.5,0),0)</f>
        <v/>
      </c>
      <c r="K290" s="5" t="n"/>
      <c r="L290" s="7">
        <f>MIN(J290,8.0)</f>
        <v/>
      </c>
      <c r="M290" s="7">
        <f>MAX(0,MIN(J290,12)-8.0)</f>
        <v/>
      </c>
      <c r="N290" s="7">
        <f>MAX(0,J290-12)</f>
        <v/>
      </c>
      <c r="O290" s="5" t="n"/>
      <c r="P290" s="6">
        <f>E290*(L290+M290*1.5+N290*2+O290*3+N(K290))</f>
        <v/>
      </c>
      <c r="Q290" s="5" t="n"/>
      <c r="R290" s="6">
        <f>Q290-P290</f>
        <v/>
      </c>
    </row>
    <row r="291">
      <c r="P291" s="2" t="inlineStr">
        <is>
          <t>STILLPHOTOGRAPHER LABOR</t>
        </is>
      </c>
      <c r="R291" s="8">
        <f>SUM(R290:R290)</f>
        <v/>
      </c>
    </row>
    <row r="293">
      <c r="B293" s="2" t="inlineStr">
        <is>
          <t>AERIAL/UNDERWATERPHOTOGRAPHY</t>
        </is>
      </c>
    </row>
    <row r="294">
      <c r="A294" s="5" t="inlineStr">
        <is>
          <t>3385</t>
        </is>
      </c>
      <c r="B294" s="5" t="inlineStr"/>
      <c r="C294" s="5" t="inlineStr">
        <is>
          <t>UNDERWATEROPERATOR</t>
        </is>
      </c>
      <c r="D294" s="5" t="inlineStr">
        <is>
          <t>Local600</t>
        </is>
      </c>
      <c r="E294" s="6" t="n">
        <v>65</v>
      </c>
      <c r="F294" s="5" t="n"/>
      <c r="G294" s="5" t="n"/>
      <c r="H294" s="5" t="n"/>
      <c r="I294" s="5" t="n"/>
      <c r="J294" s="7">
        <f>IF(AND(N(F294)&gt;0,N(I294)&gt;0),I294-F294-IF(N(G294)&gt;0,0.5,0)-IF(N(H294)&gt;0,0.5,0),0)</f>
        <v/>
      </c>
      <c r="K294" s="5" t="n"/>
      <c r="L294" s="7">
        <f>MIN(J294,8.0)</f>
        <v/>
      </c>
      <c r="M294" s="7">
        <f>MAX(0,MIN(J294,12)-8.0)</f>
        <v/>
      </c>
      <c r="N294" s="7">
        <f>MAX(0,J294-12)</f>
        <v/>
      </c>
      <c r="O294" s="5" t="n"/>
      <c r="P294" s="6">
        <f>E294*(L294+M294*1.5+N294*2+O294*3+N(K294))</f>
        <v/>
      </c>
      <c r="Q294" s="5" t="n"/>
      <c r="R294" s="6">
        <f>Q294-P294</f>
        <v/>
      </c>
    </row>
    <row r="295">
      <c r="P295" s="2" t="inlineStr">
        <is>
          <t>AERIAL/UNDERWATERPHOTOGRAPHY LABOR</t>
        </is>
      </c>
      <c r="R295" s="8">
        <f>SUM(R294:R294)</f>
        <v/>
      </c>
    </row>
    <row r="297">
      <c r="B297" s="2" t="inlineStr">
        <is>
          <t>SOUNDMIXER</t>
        </is>
      </c>
    </row>
    <row r="298">
      <c r="A298" s="5" t="inlineStr">
        <is>
          <t>3401</t>
        </is>
      </c>
      <c r="B298" s="5" t="inlineStr">
        <is>
          <t>Julian Howarth</t>
        </is>
      </c>
      <c r="C298" s="5" t="inlineStr">
        <is>
          <t>SOUNDMIXER</t>
        </is>
      </c>
      <c r="D298" s="5" t="inlineStr">
        <is>
          <t>Local695</t>
        </is>
      </c>
      <c r="E298" s="6" t="n">
        <v>26.5</v>
      </c>
      <c r="F298" s="5" t="n"/>
      <c r="G298" s="5" t="n"/>
      <c r="H298" s="5" t="n"/>
      <c r="I298" s="5" t="n"/>
      <c r="J298" s="7">
        <f>IF(AND(N(F298)&gt;0,N(I298)&gt;0),I298-F298-IF(N(G298)&gt;0,0.5,0)-IF(N(H298)&gt;0,0.5,0),0)</f>
        <v/>
      </c>
      <c r="K298" s="5" t="n"/>
      <c r="L298" s="7">
        <f>MIN(J298,10.0)</f>
        <v/>
      </c>
      <c r="M298" s="7">
        <f>MAX(0,MIN(J298,12)-10.0)</f>
        <v/>
      </c>
      <c r="N298" s="7">
        <f>MAX(0,J298-12)</f>
        <v/>
      </c>
      <c r="O298" s="5" t="n"/>
      <c r="P298" s="6">
        <f>E298*(L298+M298*1.5+N298*2+O298*3+N(K298))</f>
        <v/>
      </c>
      <c r="Q298" s="6" t="n">
        <v>291.5</v>
      </c>
      <c r="R298" s="6">
        <f>Q298-P298</f>
        <v/>
      </c>
    </row>
    <row r="299">
      <c r="P299" s="2" t="inlineStr">
        <is>
          <t>SOUNDMIXER LABOR</t>
        </is>
      </c>
      <c r="R299" s="8">
        <f>SUM(R298:R298)</f>
        <v/>
      </c>
    </row>
    <row r="301">
      <c r="B301" s="2" t="inlineStr">
        <is>
          <t>BOOMOPERATOR</t>
        </is>
      </c>
    </row>
    <row r="302">
      <c r="A302" s="5" t="inlineStr">
        <is>
          <t>3402</t>
        </is>
      </c>
      <c r="B302" s="5" t="inlineStr">
        <is>
          <t>Tim Song Jones</t>
        </is>
      </c>
      <c r="C302" s="5" t="inlineStr">
        <is>
          <t>BOOMOPERATOR</t>
        </is>
      </c>
      <c r="D302" s="5" t="inlineStr">
        <is>
          <t>Local695</t>
        </is>
      </c>
      <c r="E302" s="6" t="n">
        <v>23.04</v>
      </c>
      <c r="F302" s="5" t="n"/>
      <c r="G302" s="5" t="n"/>
      <c r="H302" s="5" t="n"/>
      <c r="I302" s="5" t="n"/>
      <c r="J302" s="7">
        <f>IF(AND(N(F302)&gt;0,N(I302)&gt;0),I302-F302-IF(N(G302)&gt;0,0.5,0)-IF(N(H302)&gt;0,0.5,0),0)</f>
        <v/>
      </c>
      <c r="K302" s="5" t="n"/>
      <c r="L302" s="7">
        <f>MIN(J302,10.0)</f>
        <v/>
      </c>
      <c r="M302" s="7">
        <f>MAX(0,MIN(J302,12)-10.0)</f>
        <v/>
      </c>
      <c r="N302" s="7">
        <f>MAX(0,J302-12)</f>
        <v/>
      </c>
      <c r="O302" s="5" t="n"/>
      <c r="P302" s="6">
        <f>E302*(L302+M302*1.5+N302*2+O302*3+N(K302))</f>
        <v/>
      </c>
      <c r="Q302" s="6" t="n">
        <v>253.44</v>
      </c>
      <c r="R302" s="6">
        <f>Q302-P302</f>
        <v/>
      </c>
    </row>
    <row r="303">
      <c r="P303" s="2" t="inlineStr">
        <is>
          <t>BOOMOPERATOR LABOR</t>
        </is>
      </c>
      <c r="R303" s="8">
        <f>SUM(R302:R302)</f>
        <v/>
      </c>
    </row>
    <row r="305">
      <c r="B305" s="2" t="inlineStr">
        <is>
          <t>CABLEPERSON</t>
        </is>
      </c>
    </row>
    <row r="306">
      <c r="A306" s="5" t="inlineStr">
        <is>
          <t>3403</t>
        </is>
      </c>
      <c r="B306" s="5" t="inlineStr"/>
      <c r="C306" s="5" t="inlineStr">
        <is>
          <t>UTILITYSOUND</t>
        </is>
      </c>
      <c r="D306" s="5" t="inlineStr">
        <is>
          <t>Local695</t>
        </is>
      </c>
      <c r="E306" s="6" t="n">
        <v>20.57</v>
      </c>
      <c r="F306" s="5" t="n"/>
      <c r="G306" s="5" t="n"/>
      <c r="H306" s="5" t="n"/>
      <c r="I306" s="5" t="n"/>
      <c r="J306" s="7">
        <f>IF(AND(N(F306)&gt;0,N(I306)&gt;0),I306-F306-IF(N(G306)&gt;0,0.5,0)-IF(N(H306)&gt;0,0.5,0),0)</f>
        <v/>
      </c>
      <c r="K306" s="5" t="n"/>
      <c r="L306" s="7">
        <f>MIN(J306,10.0)</f>
        <v/>
      </c>
      <c r="M306" s="7">
        <f>MAX(0,MIN(J306,12)-10.0)</f>
        <v/>
      </c>
      <c r="N306" s="7">
        <f>MAX(0,J306-12)</f>
        <v/>
      </c>
      <c r="O306" s="5" t="n"/>
      <c r="P306" s="6">
        <f>E306*(L306+M306*1.5+N306*2+O306*3+N(K306))</f>
        <v/>
      </c>
      <c r="Q306" s="6" t="n">
        <v>226.27</v>
      </c>
      <c r="R306" s="6">
        <f>Q306-P306</f>
        <v/>
      </c>
    </row>
    <row r="307">
      <c r="P307" s="2" t="inlineStr">
        <is>
          <t>CABLEPERSON LABOR</t>
        </is>
      </c>
      <c r="R307" s="8">
        <f>SUM(R306:R306)</f>
        <v/>
      </c>
    </row>
    <row r="309">
      <c r="B309" s="2" t="inlineStr">
        <is>
          <t>VIDEOASSIST</t>
        </is>
      </c>
    </row>
    <row r="310">
      <c r="A310" s="5" t="inlineStr">
        <is>
          <t>3404</t>
        </is>
      </c>
      <c r="B310" s="5" t="inlineStr">
        <is>
          <t>Jeff Snyder</t>
        </is>
      </c>
      <c r="C310" s="5" t="inlineStr">
        <is>
          <t>VIDEOASSISTOPERATOR</t>
        </is>
      </c>
      <c r="D310" s="5" t="inlineStr">
        <is>
          <t>Local695</t>
        </is>
      </c>
      <c r="E310" s="6" t="n">
        <v>23.04</v>
      </c>
      <c r="F310" s="5" t="n"/>
      <c r="G310" s="5" t="n"/>
      <c r="H310" s="5" t="n"/>
      <c r="I310" s="5" t="n"/>
      <c r="J310" s="7">
        <f>IF(AND(N(F310)&gt;0,N(I310)&gt;0),I310-F310-IF(N(G310)&gt;0,0.5,0)-IF(N(H310)&gt;0,0.5,0),0)</f>
        <v/>
      </c>
      <c r="K310" s="5" t="n"/>
      <c r="L310" s="7">
        <f>MIN(J310,10.0)</f>
        <v/>
      </c>
      <c r="M310" s="7">
        <f>MAX(0,MIN(J310,12)-10.0)</f>
        <v/>
      </c>
      <c r="N310" s="7">
        <f>MAX(0,J310-12)</f>
        <v/>
      </c>
      <c r="O310" s="5" t="n"/>
      <c r="P310" s="6">
        <f>E310*(L310+M310*1.5+N310*2+O310*3+N(K310))</f>
        <v/>
      </c>
      <c r="Q310" s="6" t="n">
        <v>253.44</v>
      </c>
      <c r="R310" s="6">
        <f>Q310-P310</f>
        <v/>
      </c>
    </row>
    <row r="311">
      <c r="P311" s="2" t="inlineStr">
        <is>
          <t>VIDEOASSIST LABOR</t>
        </is>
      </c>
      <c r="R311" s="8">
        <f>SUM(R310:R310)</f>
        <v/>
      </c>
    </row>
    <row r="313">
      <c r="B313" s="2" t="inlineStr">
        <is>
          <t>CAPTAIN</t>
        </is>
      </c>
    </row>
    <row r="314">
      <c r="A314" s="5" t="inlineStr">
        <is>
          <t>3502</t>
        </is>
      </c>
      <c r="B314" s="5" t="inlineStr">
        <is>
          <t>Kevin Caira</t>
        </is>
      </c>
      <c r="C314" s="5" t="inlineStr">
        <is>
          <t>TRANSPOCAPTAIN(LA)</t>
        </is>
      </c>
      <c r="D314" s="5" t="inlineStr">
        <is>
          <t>Local399</t>
        </is>
      </c>
      <c r="E314" s="6" t="n">
        <v>37.21</v>
      </c>
      <c r="F314" s="5" t="n"/>
      <c r="G314" s="5" t="n"/>
      <c r="H314" s="5" t="n"/>
      <c r="I314" s="5" t="n"/>
      <c r="J314" s="7">
        <f>IF(AND(N(F314)&gt;0,N(I314)&gt;0),I314-F314-IF(N(G314)&gt;0,0.5,0)-IF(N(H314)&gt;0,0.5,0),0)</f>
        <v/>
      </c>
      <c r="K314" s="5" t="n"/>
      <c r="L314" s="7">
        <f>MIN(J314,8.0)</f>
        <v/>
      </c>
      <c r="M314" s="7">
        <f>MAX(0,MIN(J314,12)-8.0)</f>
        <v/>
      </c>
      <c r="N314" s="7">
        <f>MAX(0,J314-12)</f>
        <v/>
      </c>
      <c r="O314" s="5" t="n"/>
      <c r="P314" s="6">
        <f>E314*(L314+M314*1.5+N314*2+O314*3+N(K314))</f>
        <v/>
      </c>
      <c r="Q314" s="6" t="n">
        <v>409.31</v>
      </c>
      <c r="R314" s="6">
        <f>Q314-P314</f>
        <v/>
      </c>
    </row>
    <row r="315">
      <c r="A315" s="5" t="inlineStr">
        <is>
          <t>3502</t>
        </is>
      </c>
      <c r="B315" s="5" t="inlineStr">
        <is>
          <t>Tina Peterson</t>
        </is>
      </c>
      <c r="C315" s="5" t="inlineStr">
        <is>
          <t>CO-CAPTAIN</t>
        </is>
      </c>
      <c r="D315" s="5" t="inlineStr">
        <is>
          <t>Local399</t>
        </is>
      </c>
      <c r="E315" s="6" t="n">
        <v>37.21</v>
      </c>
      <c r="F315" s="5" t="n"/>
      <c r="G315" s="5" t="n"/>
      <c r="H315" s="5" t="n"/>
      <c r="I315" s="5" t="n"/>
      <c r="J315" s="7">
        <f>IF(AND(N(F315)&gt;0,N(I315)&gt;0),I315-F315-IF(N(G315)&gt;0,0.5,0)-IF(N(H315)&gt;0,0.5,0),0)</f>
        <v/>
      </c>
      <c r="K315" s="5" t="n"/>
      <c r="L315" s="7">
        <f>MIN(J315,8.0)</f>
        <v/>
      </c>
      <c r="M315" s="7">
        <f>MAX(0,MIN(J315,12)-8.0)</f>
        <v/>
      </c>
      <c r="N315" s="7">
        <f>MAX(0,J315-12)</f>
        <v/>
      </c>
      <c r="O315" s="5" t="n"/>
      <c r="P315" s="6">
        <f>E315*(L315+M315*1.5+N315*2+O315*3+N(K315))</f>
        <v/>
      </c>
      <c r="Q315" s="6" t="n">
        <v>520.9400000000001</v>
      </c>
      <c r="R315" s="6">
        <f>Q315-P315</f>
        <v/>
      </c>
    </row>
    <row r="316">
      <c r="P316" s="2" t="inlineStr">
        <is>
          <t>CAPTAIN LABOR</t>
        </is>
      </c>
      <c r="R316" s="8">
        <f>SUM(R314:R315)</f>
        <v/>
      </c>
    </row>
    <row r="318">
      <c r="B318" s="2" t="inlineStr">
        <is>
          <t>DRIVERS</t>
        </is>
      </c>
    </row>
    <row r="319">
      <c r="A319" s="5" t="inlineStr">
        <is>
          <t>3503</t>
        </is>
      </c>
      <c r="B319" s="5" t="inlineStr"/>
      <c r="C319" s="5" t="inlineStr">
        <is>
          <t>GRIPTRUCK 48'TRACTORTRAILERDRIVER</t>
        </is>
      </c>
      <c r="D319" s="5" t="inlineStr"/>
      <c r="E319" s="6" t="n">
        <v>32.36</v>
      </c>
      <c r="F319" s="5" t="n"/>
      <c r="G319" s="5" t="n"/>
      <c r="H319" s="5" t="n"/>
      <c r="I319" s="5" t="n"/>
      <c r="J319" s="7">
        <f>IF(AND(N(F319)&gt;0,N(I319)&gt;0),I319-F319-IF(N(G319)&gt;0,0.5,0)-IF(N(H319)&gt;0,0.5,0),0)</f>
        <v/>
      </c>
      <c r="K319" s="5" t="n"/>
      <c r="L319" s="7">
        <f>MIN(J319,8.0)</f>
        <v/>
      </c>
      <c r="M319" s="7">
        <f>MAX(0,MIN(J319,12)-8.0)</f>
        <v/>
      </c>
      <c r="N319" s="7">
        <f>MAX(0,J319-12)</f>
        <v/>
      </c>
      <c r="O319" s="5" t="n"/>
      <c r="P319" s="6">
        <f>E319*(L319+M319*1.5+N319*2+O319*3+N(K319))</f>
        <v/>
      </c>
      <c r="Q319" s="6" t="n">
        <v>355.96</v>
      </c>
      <c r="R319" s="6">
        <f>Q319-P319</f>
        <v/>
      </c>
    </row>
    <row r="320">
      <c r="A320" s="5" t="inlineStr">
        <is>
          <t>3503</t>
        </is>
      </c>
      <c r="B320" s="5" t="inlineStr">
        <is>
          <t>Donald Wilson</t>
        </is>
      </c>
      <c r="C320" s="5" t="inlineStr">
        <is>
          <t>PROP 5-TON(ENCLOSED)</t>
        </is>
      </c>
      <c r="D320" s="5" t="inlineStr"/>
      <c r="E320" s="6" t="n">
        <v>32.36</v>
      </c>
      <c r="F320" s="5" t="n"/>
      <c r="G320" s="5" t="n"/>
      <c r="H320" s="5" t="n"/>
      <c r="I320" s="5" t="n"/>
      <c r="J320" s="7">
        <f>IF(AND(N(F320)&gt;0,N(I320)&gt;0),I320-F320-IF(N(G320)&gt;0,0.5,0)-IF(N(H320)&gt;0,0.5,0),0)</f>
        <v/>
      </c>
      <c r="K320" s="5" t="n"/>
      <c r="L320" s="7">
        <f>MIN(J320,8.0)</f>
        <v/>
      </c>
      <c r="M320" s="7">
        <f>MAX(0,MIN(J320,12)-8.0)</f>
        <v/>
      </c>
      <c r="N320" s="7">
        <f>MAX(0,J320-12)</f>
        <v/>
      </c>
      <c r="O320" s="5" t="n"/>
      <c r="P320" s="6">
        <f>E320*(L320+M320*1.5+N320*2+O320*3+N(K320))</f>
        <v/>
      </c>
      <c r="Q320" s="6" t="n">
        <v>355.96</v>
      </c>
      <c r="R320" s="6">
        <f>Q320-P320</f>
        <v/>
      </c>
    </row>
    <row r="321">
      <c r="A321" s="5" t="inlineStr">
        <is>
          <t>3503</t>
        </is>
      </c>
      <c r="B321" s="5" t="inlineStr"/>
      <c r="C321" s="5" t="inlineStr">
        <is>
          <t>WARDROBESTAKEBEDDRIVER#1</t>
        </is>
      </c>
      <c r="D321" s="5" t="inlineStr"/>
      <c r="E321" s="6" t="n">
        <v>37.99</v>
      </c>
      <c r="F321" s="5" t="n"/>
      <c r="G321" s="5" t="n"/>
      <c r="H321" s="5" t="n"/>
      <c r="I321" s="5" t="n"/>
      <c r="J321" s="7">
        <f>IF(AND(N(F321)&gt;0,N(I321)&gt;0),I321-F321-IF(N(G321)&gt;0,0.5,0)-IF(N(H321)&gt;0,0.5,0),0)</f>
        <v/>
      </c>
      <c r="K321" s="5" t="n"/>
      <c r="L321" s="7">
        <f>MIN(J321,8.0)</f>
        <v/>
      </c>
      <c r="M321" s="7">
        <f>MAX(0,MIN(J321,12)-8.0)</f>
        <v/>
      </c>
      <c r="N321" s="7">
        <f>MAX(0,J321-12)</f>
        <v/>
      </c>
      <c r="O321" s="5" t="n"/>
      <c r="P321" s="6">
        <f>E321*(L321+M321*1.5+N321*2+O321*3+N(K321))</f>
        <v/>
      </c>
      <c r="Q321" s="6" t="n">
        <v>417.89</v>
      </c>
      <c r="R321" s="6">
        <f>Q321-P321</f>
        <v/>
      </c>
    </row>
    <row r="322">
      <c r="A322" s="5" t="inlineStr">
        <is>
          <t>3503</t>
        </is>
      </c>
      <c r="B322" s="5" t="inlineStr"/>
      <c r="C322" s="5" t="inlineStr">
        <is>
          <t>MAKEUPHAIRTRAILERDRIVER</t>
        </is>
      </c>
      <c r="D322" s="5" t="inlineStr"/>
      <c r="E322" s="6" t="n">
        <v>32.36</v>
      </c>
      <c r="F322" s="5" t="n"/>
      <c r="G322" s="5" t="n"/>
      <c r="H322" s="5" t="n"/>
      <c r="I322" s="5" t="n"/>
      <c r="J322" s="7">
        <f>IF(AND(N(F322)&gt;0,N(I322)&gt;0),I322-F322-IF(N(G322)&gt;0,0.5,0)-IF(N(H322)&gt;0,0.5,0),0)</f>
        <v/>
      </c>
      <c r="K322" s="5" t="n"/>
      <c r="L322" s="7">
        <f>MIN(J322,8.0)</f>
        <v/>
      </c>
      <c r="M322" s="7">
        <f>MAX(0,MIN(J322,12)-8.0)</f>
        <v/>
      </c>
      <c r="N322" s="7">
        <f>MAX(0,J322-12)</f>
        <v/>
      </c>
      <c r="O322" s="5" t="n"/>
      <c r="P322" s="6">
        <f>E322*(L322+M322*1.5+N322*2+O322*3+N(K322))</f>
        <v/>
      </c>
      <c r="Q322" s="6" t="n">
        <v>355.96</v>
      </c>
      <c r="R322" s="6">
        <f>Q322-P322</f>
        <v/>
      </c>
    </row>
    <row r="323">
      <c r="A323" s="5" t="inlineStr">
        <is>
          <t>3503</t>
        </is>
      </c>
      <c r="B323" s="5" t="inlineStr"/>
      <c r="C323" s="5" t="inlineStr">
        <is>
          <t>ELECTRIC 10TONDRIVER(GENIEOPERATOR)</t>
        </is>
      </c>
      <c r="D323" s="5" t="inlineStr"/>
      <c r="E323" s="6" t="n">
        <v>37.99</v>
      </c>
      <c r="F323" s="5" t="n"/>
      <c r="G323" s="5" t="n"/>
      <c r="H323" s="5" t="n"/>
      <c r="I323" s="5" t="n"/>
      <c r="J323" s="7">
        <f>IF(AND(N(F323)&gt;0,N(I323)&gt;0),I323-F323-IF(N(G323)&gt;0,0.5,0)-IF(N(H323)&gt;0,0.5,0),0)</f>
        <v/>
      </c>
      <c r="K323" s="5" t="n"/>
      <c r="L323" s="7">
        <f>MIN(J323,8.0)</f>
        <v/>
      </c>
      <c r="M323" s="7">
        <f>MAX(0,MIN(J323,12)-8.0)</f>
        <v/>
      </c>
      <c r="N323" s="7">
        <f>MAX(0,J323-12)</f>
        <v/>
      </c>
      <c r="O323" s="5" t="n"/>
      <c r="P323" s="6">
        <f>E323*(L323+M323*1.5+N323*2+O323*3+N(K323))</f>
        <v/>
      </c>
      <c r="Q323" s="6" t="n">
        <v>417.89</v>
      </c>
      <c r="R323" s="6">
        <f>Q323-P323</f>
        <v/>
      </c>
    </row>
    <row r="324">
      <c r="A324" s="5" t="inlineStr">
        <is>
          <t>3503</t>
        </is>
      </c>
      <c r="B324" s="5" t="inlineStr"/>
      <c r="C324" s="5" t="inlineStr">
        <is>
          <t>SOUNDCCSTAKEBEDFUELTRUCKDRIVER</t>
        </is>
      </c>
      <c r="D324" s="5" t="inlineStr"/>
      <c r="E324" s="6" t="n">
        <v>32.36</v>
      </c>
      <c r="F324" s="5" t="n"/>
      <c r="G324" s="5" t="n"/>
      <c r="H324" s="5" t="n"/>
      <c r="I324" s="5" t="n"/>
      <c r="J324" s="7">
        <f>IF(AND(N(F324)&gt;0,N(I324)&gt;0),I324-F324-IF(N(G324)&gt;0,0.5,0)-IF(N(H324)&gt;0,0.5,0),0)</f>
        <v/>
      </c>
      <c r="K324" s="5" t="n"/>
      <c r="L324" s="7">
        <f>MIN(J324,8.0)</f>
        <v/>
      </c>
      <c r="M324" s="7">
        <f>MAX(0,MIN(J324,12)-8.0)</f>
        <v/>
      </c>
      <c r="N324" s="7">
        <f>MAX(0,J324-12)</f>
        <v/>
      </c>
      <c r="O324" s="5" t="n"/>
      <c r="P324" s="6">
        <f>E324*(L324+M324*1.5+N324*2+O324*3+N(K324))</f>
        <v/>
      </c>
      <c r="Q324" s="6" t="n">
        <v>355.96</v>
      </c>
      <c r="R324" s="6">
        <f>Q324-P324</f>
        <v/>
      </c>
    </row>
    <row r="325">
      <c r="A325" s="5" t="inlineStr">
        <is>
          <t>3503</t>
        </is>
      </c>
      <c r="B325" s="5" t="inlineStr"/>
      <c r="C325" s="5" t="inlineStr">
        <is>
          <t>9-ROOMHONEYWAGONTRACTORDRIVER</t>
        </is>
      </c>
      <c r="D325" s="5" t="inlineStr"/>
      <c r="E325" s="6" t="n">
        <v>32.36</v>
      </c>
      <c r="F325" s="5" t="n"/>
      <c r="G325" s="5" t="n"/>
      <c r="H325" s="5" t="n"/>
      <c r="I325" s="5" t="n"/>
      <c r="J325" s="7">
        <f>IF(AND(N(F325)&gt;0,N(I325)&gt;0),I325-F325-IF(N(G325)&gt;0,0.5,0)-IF(N(H325)&gt;0,0.5,0),0)</f>
        <v/>
      </c>
      <c r="K325" s="5" t="n"/>
      <c r="L325" s="7">
        <f>MIN(J325,8.0)</f>
        <v/>
      </c>
      <c r="M325" s="7">
        <f>MAX(0,MIN(J325,12)-8.0)</f>
        <v/>
      </c>
      <c r="N325" s="7">
        <f>MAX(0,J325-12)</f>
        <v/>
      </c>
      <c r="O325" s="5" t="n"/>
      <c r="P325" s="6">
        <f>E325*(L325+M325*1.5+N325*2+O325*3+N(K325))</f>
        <v/>
      </c>
      <c r="Q325" s="6" t="n">
        <v>453.04</v>
      </c>
      <c r="R325" s="6">
        <f>Q325-P325</f>
        <v/>
      </c>
    </row>
    <row r="326">
      <c r="A326" s="5" t="inlineStr">
        <is>
          <t>3503</t>
        </is>
      </c>
      <c r="B326" s="5" t="inlineStr"/>
      <c r="C326" s="5" t="inlineStr">
        <is>
          <t>FORDTRANSITVANDRIVER#1</t>
        </is>
      </c>
      <c r="D326" s="5" t="inlineStr"/>
      <c r="E326" s="6" t="n">
        <v>32.36</v>
      </c>
      <c r="F326" s="5" t="n"/>
      <c r="G326" s="5" t="n"/>
      <c r="H326" s="5" t="n"/>
      <c r="I326" s="5" t="n"/>
      <c r="J326" s="7">
        <f>IF(AND(N(F326)&gt;0,N(I326)&gt;0),I326-F326-IF(N(G326)&gt;0,0.5,0)-IF(N(H326)&gt;0,0.5,0),0)</f>
        <v/>
      </c>
      <c r="K326" s="5" t="n"/>
      <c r="L326" s="7">
        <f>MIN(J326,8.0)</f>
        <v/>
      </c>
      <c r="M326" s="7">
        <f>MAX(0,MIN(J326,12)-8.0)</f>
        <v/>
      </c>
      <c r="N326" s="7">
        <f>MAX(0,J326-12)</f>
        <v/>
      </c>
      <c r="O326" s="5" t="n"/>
      <c r="P326" s="6">
        <f>E326*(L326+M326*1.5+N326*2+O326*3+N(K326))</f>
        <v/>
      </c>
      <c r="Q326" s="6" t="n">
        <v>355.96</v>
      </c>
      <c r="R326" s="6">
        <f>Q326-P326</f>
        <v/>
      </c>
    </row>
    <row r="327">
      <c r="A327" s="5" t="inlineStr">
        <is>
          <t>3503</t>
        </is>
      </c>
      <c r="B327" s="5" t="inlineStr">
        <is>
          <t>Kaiser Clark</t>
        </is>
      </c>
      <c r="C327" s="5" t="inlineStr">
        <is>
          <t>CSETDECTRUCKDRIVER#1</t>
        </is>
      </c>
      <c r="D327" s="5" t="inlineStr"/>
      <c r="E327" s="6" t="n">
        <v>32.36</v>
      </c>
      <c r="F327" s="5" t="n"/>
      <c r="G327" s="5" t="n"/>
      <c r="H327" s="5" t="n"/>
      <c r="I327" s="5" t="n"/>
      <c r="J327" s="7">
        <f>IF(AND(N(F327)&gt;0,N(I327)&gt;0),I327-F327-IF(N(G327)&gt;0,0.5,0)-IF(N(H327)&gt;0,0.5,0),0)</f>
        <v/>
      </c>
      <c r="K327" s="5" t="n"/>
      <c r="L327" s="7">
        <f>MIN(J327,8.0)</f>
        <v/>
      </c>
      <c r="M327" s="7">
        <f>MAX(0,MIN(J327,12)-8.0)</f>
        <v/>
      </c>
      <c r="N327" s="7">
        <f>MAX(0,J327-12)</f>
        <v/>
      </c>
      <c r="O327" s="5" t="n"/>
      <c r="P327" s="6">
        <f>E327*(L327+M327*1.5+N327*2+O327*3+N(K327))</f>
        <v/>
      </c>
      <c r="Q327" s="6" t="n">
        <v>355.96</v>
      </c>
      <c r="R327" s="6">
        <f>Q327-P327</f>
        <v/>
      </c>
    </row>
    <row r="328">
      <c r="A328" s="5" t="inlineStr">
        <is>
          <t>3503</t>
        </is>
      </c>
      <c r="B328" s="5" t="inlineStr"/>
      <c r="C328" s="5" t="inlineStr">
        <is>
          <t>C 5-TONENCLOSEDRIGGINGGRIPDRIVER</t>
        </is>
      </c>
      <c r="D328" s="5" t="inlineStr"/>
      <c r="E328" s="6" t="n">
        <v>32.36</v>
      </c>
      <c r="F328" s="5" t="n"/>
      <c r="G328" s="5" t="n"/>
      <c r="H328" s="5" t="n"/>
      <c r="I328" s="5" t="n"/>
      <c r="J328" s="7">
        <f>IF(AND(N(F328)&gt;0,N(I328)&gt;0),I328-F328-IF(N(G328)&gt;0,0.5,0)-IF(N(H328)&gt;0,0.5,0),0)</f>
        <v/>
      </c>
      <c r="K328" s="5" t="n"/>
      <c r="L328" s="7">
        <f>MIN(J328,8.0)</f>
        <v/>
      </c>
      <c r="M328" s="7">
        <f>MAX(0,MIN(J328,12)-8.0)</f>
        <v/>
      </c>
      <c r="N328" s="7">
        <f>MAX(0,J328-12)</f>
        <v/>
      </c>
      <c r="O328" s="5" t="n"/>
      <c r="P328" s="6">
        <f>E328*(L328+M328*1.5+N328*2+O328*3+N(K328))</f>
        <v/>
      </c>
      <c r="Q328" s="5" t="n"/>
      <c r="R328" s="6">
        <f>Q328-P328</f>
        <v/>
      </c>
    </row>
    <row r="329">
      <c r="A329" s="5" t="inlineStr">
        <is>
          <t>3503</t>
        </is>
      </c>
      <c r="B329" s="5" t="inlineStr"/>
      <c r="C329" s="5" t="inlineStr">
        <is>
          <t>SCOUTBUS</t>
        </is>
      </c>
      <c r="D329" s="5" t="inlineStr"/>
      <c r="E329" s="6" t="n">
        <v>32.36</v>
      </c>
      <c r="F329" s="5" t="n"/>
      <c r="G329" s="5" t="n"/>
      <c r="H329" s="5" t="n"/>
      <c r="I329" s="5" t="n"/>
      <c r="J329" s="7">
        <f>IF(AND(N(F329)&gt;0,N(I329)&gt;0),I329-F329-IF(N(G329)&gt;0,0.5,0)-IF(N(H329)&gt;0,0.5,0),0)</f>
        <v/>
      </c>
      <c r="K329" s="5" t="n"/>
      <c r="L329" s="7">
        <f>MIN(J329,8.0)</f>
        <v/>
      </c>
      <c r="M329" s="7">
        <f>MAX(0,MIN(J329,12)-8.0)</f>
        <v/>
      </c>
      <c r="N329" s="7">
        <f>MAX(0,J329-12)</f>
        <v/>
      </c>
      <c r="O329" s="5" t="n"/>
      <c r="P329" s="6">
        <f>E329*(L329+M329*1.5+N329*2+O329*3+N(K329))</f>
        <v/>
      </c>
      <c r="Q329" s="5" t="n"/>
      <c r="R329" s="6">
        <f>Q329-P329</f>
        <v/>
      </c>
    </row>
    <row r="330">
      <c r="A330" s="5" t="inlineStr">
        <is>
          <t>3503</t>
        </is>
      </c>
      <c r="B330" s="5" t="inlineStr"/>
      <c r="C330" s="5" t="inlineStr">
        <is>
          <t>DRIVERMANDAYS</t>
        </is>
      </c>
      <c r="D330" s="5" t="inlineStr"/>
      <c r="E330" s="6" t="n">
        <v>32.36</v>
      </c>
      <c r="F330" s="5" t="n"/>
      <c r="G330" s="5" t="n"/>
      <c r="H330" s="5" t="n"/>
      <c r="I330" s="5" t="n"/>
      <c r="J330" s="7">
        <f>IF(AND(N(F330)&gt;0,N(I330)&gt;0),I330-F330-IF(N(G330)&gt;0,0.5,0)-IF(N(H330)&gt;0,0.5,0),0)</f>
        <v/>
      </c>
      <c r="K330" s="5" t="n"/>
      <c r="L330" s="7">
        <f>MIN(J330,8.0)</f>
        <v/>
      </c>
      <c r="M330" s="7">
        <f>MAX(0,MIN(J330,12)-8.0)</f>
        <v/>
      </c>
      <c r="N330" s="7">
        <f>MAX(0,J330-12)</f>
        <v/>
      </c>
      <c r="O330" s="5" t="n"/>
      <c r="P330" s="6">
        <f>E330*(L330+M330*1.5+N330*2+O330*3+N(K330))</f>
        <v/>
      </c>
      <c r="Q330" s="5" t="n"/>
      <c r="R330" s="6">
        <f>Q330-P330</f>
        <v/>
      </c>
    </row>
    <row r="331">
      <c r="P331" s="2" t="inlineStr">
        <is>
          <t>DRIVERS LABOR</t>
        </is>
      </c>
      <c r="R331" s="8">
        <f>SUM(R319:R330)</f>
        <v/>
      </c>
    </row>
    <row r="333">
      <c r="B333" s="2" t="inlineStr">
        <is>
          <t>LOCATIONSITEFEES</t>
        </is>
      </c>
    </row>
    <row r="334">
      <c r="A334" s="5" t="inlineStr">
        <is>
          <t>3607</t>
        </is>
      </c>
      <c r="B334" s="5" t="inlineStr"/>
      <c r="C334" s="5" t="inlineStr">
        <is>
          <t>Location#1(Hospital ER, LACountry Childrens Shelter, Shelter Dorm, Dept...</t>
        </is>
      </c>
      <c r="D334" s="5" t="inlineStr">
        <is>
          <t>Local400</t>
        </is>
      </c>
      <c r="E334" s="6" t="n">
        <v>50000</v>
      </c>
      <c r="F334" s="5" t="n"/>
      <c r="G334" s="5" t="n"/>
      <c r="H334" s="5" t="n"/>
      <c r="I334" s="5" t="n"/>
      <c r="J334" s="7">
        <f>IF(AND(N(F334)&gt;0,N(I334)&gt;0),I334-F334-IF(N(G334)&gt;0,0.5,0)-IF(N(H334)&gt;0,0.5,0),0)</f>
        <v/>
      </c>
      <c r="K334" s="5" t="n"/>
      <c r="L334" s="7">
        <f>MIN(J334,8.0)</f>
        <v/>
      </c>
      <c r="M334" s="7">
        <f>MAX(0,MIN(J334,12)-8.0)</f>
        <v/>
      </c>
      <c r="N334" s="7">
        <f>MAX(0,J334-12)</f>
        <v/>
      </c>
      <c r="O334" s="5" t="n"/>
      <c r="P334" s="6">
        <f>E334*(L334+M334*1.5+N334*2+O334*3+N(K334))</f>
        <v/>
      </c>
      <c r="Q334" s="5" t="n"/>
      <c r="R334" s="6">
        <f>Q334-P334</f>
        <v/>
      </c>
    </row>
    <row r="335">
      <c r="P335" s="2" t="inlineStr">
        <is>
          <t>LOCATIONSITEFEES LABOR</t>
        </is>
      </c>
      <c r="R335" s="8">
        <f>SUM(R334:R334)</f>
        <v/>
      </c>
    </row>
    <row r="337">
      <c r="B337" s="2" t="inlineStr">
        <is>
          <t>CATERINGLABOR</t>
        </is>
      </c>
    </row>
    <row r="338">
      <c r="A338" s="5" t="inlineStr">
        <is>
          <t>3621</t>
        </is>
      </c>
      <c r="B338" s="5" t="inlineStr"/>
      <c r="C338" s="5" t="inlineStr">
        <is>
          <t>COOKDRIVER#1</t>
        </is>
      </c>
      <c r="D338" s="5" t="inlineStr">
        <is>
          <t>Local399</t>
        </is>
      </c>
      <c r="E338" s="6" t="n">
        <v>32.36</v>
      </c>
      <c r="F338" s="5" t="n"/>
      <c r="G338" s="5" t="n"/>
      <c r="H338" s="5" t="n"/>
      <c r="I338" s="5" t="n"/>
      <c r="J338" s="7">
        <f>IF(AND(N(F338)&gt;0,N(I338)&gt;0),I338-F338-IF(N(G338)&gt;0,0.5,0)-IF(N(H338)&gt;0,0.5,0),0)</f>
        <v/>
      </c>
      <c r="K338" s="5" t="n"/>
      <c r="L338" s="7">
        <f>MIN(J338,8.0)</f>
        <v/>
      </c>
      <c r="M338" s="7">
        <f>MAX(0,MIN(J338,12)-8.0)</f>
        <v/>
      </c>
      <c r="N338" s="7">
        <f>MAX(0,J338-12)</f>
        <v/>
      </c>
      <c r="O338" s="5" t="n"/>
      <c r="P338" s="6">
        <f>E338*(L338+M338*1.5+N338*2+O338*3+N(K338))</f>
        <v/>
      </c>
      <c r="Q338" s="6" t="n">
        <v>453.04</v>
      </c>
      <c r="R338" s="6">
        <f>Q338-P338</f>
        <v/>
      </c>
    </row>
    <row r="339">
      <c r="A339" s="5" t="inlineStr">
        <is>
          <t>3621</t>
        </is>
      </c>
      <c r="B339" s="5" t="inlineStr"/>
      <c r="C339" s="5" t="inlineStr">
        <is>
          <t>1STASSTCATERER#1</t>
        </is>
      </c>
      <c r="D339" s="5" t="inlineStr"/>
      <c r="E339" s="6" t="n">
        <v>17</v>
      </c>
      <c r="F339" s="5" t="n"/>
      <c r="G339" s="5" t="n"/>
      <c r="H339" s="5" t="n"/>
      <c r="I339" s="5" t="n"/>
      <c r="J339" s="7">
        <f>IF(AND(N(F339)&gt;0,N(I339)&gt;0),I339-F339-IF(N(G339)&gt;0,0.5,0)-IF(N(H339)&gt;0,0.5,0),0)</f>
        <v/>
      </c>
      <c r="K339" s="5" t="n"/>
      <c r="L339" s="7">
        <f>MIN(J339,8.0)</f>
        <v/>
      </c>
      <c r="M339" s="7">
        <f>MAX(0,MIN(J339,12)-8.0)</f>
        <v/>
      </c>
      <c r="N339" s="7">
        <f>MAX(0,J339-12)</f>
        <v/>
      </c>
      <c r="O339" s="5" t="n"/>
      <c r="P339" s="6">
        <f>E339*(L339+M339*1.5+N339*2+O339*3+N(K339))</f>
        <v/>
      </c>
      <c r="Q339" s="6" t="n">
        <v>238</v>
      </c>
      <c r="R339" s="6">
        <f>Q339-P339</f>
        <v/>
      </c>
    </row>
    <row r="340">
      <c r="A340" s="5" t="inlineStr">
        <is>
          <t>3621</t>
        </is>
      </c>
      <c r="B340" s="5" t="inlineStr"/>
      <c r="C340" s="5" t="inlineStr">
        <is>
          <t>1STASSTCATERER#2</t>
        </is>
      </c>
      <c r="D340" s="5" t="inlineStr"/>
      <c r="E340" s="6" t="n">
        <v>16</v>
      </c>
      <c r="F340" s="5" t="n"/>
      <c r="G340" s="5" t="n"/>
      <c r="H340" s="5" t="n"/>
      <c r="I340" s="5" t="n"/>
      <c r="J340" s="7">
        <f>IF(AND(N(F340)&gt;0,N(I340)&gt;0),I340-F340-IF(N(G340)&gt;0,0.5,0)-IF(N(H340)&gt;0,0.5,0),0)</f>
        <v/>
      </c>
      <c r="K340" s="5" t="n"/>
      <c r="L340" s="7">
        <f>MIN(J340,8.0)</f>
        <v/>
      </c>
      <c r="M340" s="7">
        <f>MAX(0,MIN(J340,12)-8.0)</f>
        <v/>
      </c>
      <c r="N340" s="7">
        <f>MAX(0,J340-12)</f>
        <v/>
      </c>
      <c r="O340" s="5" t="n"/>
      <c r="P340" s="6">
        <f>E340*(L340+M340*1.5+N340*2+O340*3+N(K340))</f>
        <v/>
      </c>
      <c r="Q340" s="6" t="n">
        <v>224</v>
      </c>
      <c r="R340" s="6">
        <f>Q340-P340</f>
        <v/>
      </c>
    </row>
    <row r="341">
      <c r="P341" s="2" t="inlineStr">
        <is>
          <t>CATERINGLABOR LABOR</t>
        </is>
      </c>
      <c r="R341" s="8">
        <f>SUM(R338:R340)</f>
        <v/>
      </c>
    </row>
    <row r="343">
      <c r="K343" s="9" t="inlineStr">
        <is>
          <t>TOTAL</t>
        </is>
      </c>
      <c r="P343" s="9" t="inlineStr">
        <is>
          <t>ACTUAL</t>
        </is>
      </c>
      <c r="Q343" s="9" t="inlineStr">
        <is>
          <t>BUDGET</t>
        </is>
      </c>
      <c r="R343" s="9" t="inlineStr">
        <is>
          <t>TOTAL VAR</t>
        </is>
      </c>
    </row>
    <row r="344">
      <c r="P344" s="9" t="inlineStr">
        <is>
          <t>DAY COST</t>
        </is>
      </c>
      <c r="Q344" s="9" t="inlineStr">
        <is>
          <t>DY COST</t>
        </is>
      </c>
      <c r="R344" s="9" t="inlineStr">
        <is>
          <t>(OVER) / UNDER</t>
        </is>
      </c>
    </row>
    <row r="345">
      <c r="P345" s="10">
        <f>SUM(P6:P6)+SUM(P10:P11)+SUM(P15:P17)+SUM(P21:P22)+SUM(P26:P32)+SUM(P36:P36)+SUM(P40:P41)+SUM(P45:P45)+SUM(P49:P49)+SUM(P53:P54)+SUM(P58:P58)+SUM(P62:P62)+SUM(P66:P67)+SUM(P71:P71)+SUM(P75:P75)+SUM(P79:P80)+SUM(P84:P84)+SUM(P88:P88)+SUM(P92:P93)+SUM(P97:P100)+SUM(P104:P104)+SUM(P108:P109)+SUM(P113:P113)+SUM(P117:P117)+SUM(P121:P121)+SUM(P125:P125)+SUM(P129:P130)+SUM(P134:P134)+SUM(P138:P139)+SUM(P143:P145)+SUM(P149:P149)+SUM(P153:P153)+SUM(P157:P158)+SUM(P162:P163)+SUM(P167:P167)+SUM(P171:P173)+SUM(P177:P177)+SUM(P181:P181)+SUM(P185:P187)+SUM(P191:P191)+SUM(P195:P195)+SUM(P199:P199)+SUM(P203:P203)+SUM(P207:P207)+SUM(P211:P211)+SUM(P215:P216)+SUM(P220:P220)+SUM(P224:P224)+SUM(P228:P228)+SUM(P232:P233)+SUM(P237:P237)+SUM(P241:P241)+SUM(P245:P245)+SUM(P249:P249)+SUM(P253:P254)+SUM(P258:P260)+SUM(P264:P264)+SUM(P268:P268)+SUM(P272:P272)+SUM(P276:P276)+SUM(P280:P281)+SUM(P285:P286)+SUM(P290:P290)+SUM(P294:P294)+SUM(P298:P298)+SUM(P302:P302)+SUM(P306:P306)+SUM(P310:P310)+SUM(P314:P315)+SUM(P319:P330)+SUM(P334:P334)+SUM(P338:P340)</f>
        <v/>
      </c>
      <c r="Q345" s="10">
        <f>SUM(Q6:Q6)+SUM(Q10:Q11)+SUM(Q15:Q17)+SUM(Q21:Q22)+SUM(Q26:Q32)+SUM(Q36:Q36)+SUM(Q40:Q41)+SUM(Q45:Q45)+SUM(Q49:Q49)+SUM(Q53:Q54)+SUM(Q58:Q58)+SUM(Q62:Q62)+SUM(Q66:Q67)+SUM(Q71:Q71)+SUM(Q75:Q75)+SUM(Q79:Q80)+SUM(Q84:Q84)+SUM(Q88:Q88)+SUM(Q92:Q93)+SUM(Q97:Q100)+SUM(Q104:Q104)+SUM(Q108:Q109)+SUM(Q113:Q113)+SUM(Q117:Q117)+SUM(Q121:Q121)+SUM(Q125:Q125)+SUM(Q129:Q130)+SUM(Q134:Q134)+SUM(Q138:Q139)+SUM(Q143:Q145)+SUM(Q149:Q149)+SUM(Q153:Q153)+SUM(Q157:Q158)+SUM(Q162:Q163)+SUM(Q167:Q167)+SUM(Q171:Q173)+SUM(Q177:Q177)+SUM(Q181:Q181)+SUM(Q185:Q187)+SUM(Q191:Q191)+SUM(Q195:Q195)+SUM(Q199:Q199)+SUM(Q203:Q203)+SUM(Q207:Q207)+SUM(Q211:Q211)+SUM(Q215:Q216)+SUM(Q220:Q220)+SUM(Q224:Q224)+SUM(Q228:Q228)+SUM(Q232:Q233)+SUM(Q237:Q237)+SUM(Q241:Q241)+SUM(Q245:Q245)+SUM(Q249:Q249)+SUM(Q253:Q254)+SUM(Q258:Q260)+SUM(Q264:Q264)+SUM(Q268:Q268)+SUM(Q272:Q272)+SUM(Q276:Q276)+SUM(Q280:Q281)+SUM(Q285:Q286)+SUM(Q290:Q290)+SUM(Q294:Q294)+SUM(Q298:Q298)+SUM(Q302:Q302)+SUM(Q306:Q306)+SUM(Q310:Q310)+SUM(Q314:Q315)+SUM(Q319:Q330)+SUM(Q334:Q334)+SUM(Q338:Q340)</f>
        <v/>
      </c>
      <c r="R345" s="10">
        <f>SUM(R6:R6)+SUM(R10:R11)+SUM(R15:R17)+SUM(R21:R22)+SUM(R26:R32)+SUM(R36:R36)+SUM(R40:R41)+SUM(R45:R45)+SUM(R49:R49)+SUM(R53:R54)+SUM(R58:R58)+SUM(R62:R62)+SUM(R66:R67)+SUM(R71:R71)+SUM(R75:R75)+SUM(R79:R80)+SUM(R84:R84)+SUM(R88:R88)+SUM(R92:R93)+SUM(R97:R100)+SUM(R104:R104)+SUM(R108:R109)+SUM(R113:R113)+SUM(R117:R117)+SUM(R121:R121)+SUM(R125:R125)+SUM(R129:R130)+SUM(R134:R134)+SUM(R138:R139)+SUM(R143:R145)+SUM(R149:R149)+SUM(R153:R153)+SUM(R157:R158)+SUM(R162:R163)+SUM(R167:R167)+SUM(R171:R173)+SUM(R177:R177)+SUM(R181:R181)+SUM(R185:R187)+SUM(R191:R191)+SUM(R195:R195)+SUM(R199:R199)+SUM(R203:R203)+SUM(R207:R207)+SUM(R211:R211)+SUM(R215:R216)+SUM(R220:R220)+SUM(R224:R224)+SUM(R228:R228)+SUM(R232:R233)+SUM(R237:R237)+SUM(R241:R241)+SUM(R245:R245)+SUM(R249:R249)+SUM(R253:R254)+SUM(R258:R260)+SUM(R264:R264)+SUM(R268:R268)+SUM(R272:R272)+SUM(R276:R276)+SUM(R280:R281)+SUM(R285:R286)+SUM(R290:R290)+SUM(R294:R294)+SUM(R298:R298)+SUM(R302:R302)+SUM(R306:R306)+SUM(R310:R310)+SUM(R314:R315)+SUM(R319:R330)+SUM(R334:R334)+SUM(R338:R340)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34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20" customWidth="1" min="3" max="3"/>
    <col width="9" customWidth="1" min="4" max="4"/>
    <col width="9" customWidth="1" min="5" max="5"/>
    <col width="7" customWidth="1" min="6" max="6"/>
    <col width="7" customWidth="1" min="7" max="7"/>
    <col width="8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12" customWidth="1" min="16" max="16"/>
    <col width="13" customWidth="1" min="17" max="17"/>
    <col width="14" customWidth="1" min="18" max="18"/>
  </cols>
  <sheetData>
    <row r="1">
      <c r="A1" s="1" t="inlineStr">
        <is>
          <t>HOT COST</t>
        </is>
      </c>
      <c r="C1" t="inlineStr">
        <is>
          <t>Monday 16 Oct 2017</t>
        </is>
      </c>
      <c r="F1" s="2" t="inlineStr">
        <is>
          <t>DAY #1</t>
        </is>
      </c>
    </row>
    <row r="2">
      <c r="A2" s="3" t="inlineStr">
        <is>
          <t>enter CALL, LUNCH, WRAP as decimal hours (e.g. 7.5) — everything right of WRAP computes</t>
        </is>
      </c>
    </row>
    <row r="4">
      <c r="A4" s="4" t="inlineStr">
        <is>
          <t>ACCT</t>
        </is>
      </c>
      <c r="B4" s="4" t="inlineStr">
        <is>
          <t>NAME</t>
        </is>
      </c>
      <c r="C4" s="4" t="inlineStr">
        <is>
          <t>POSITION</t>
        </is>
      </c>
      <c r="D4" s="4" t="inlineStr">
        <is>
          <t>UNION</t>
        </is>
      </c>
      <c r="E4" s="4" t="inlineStr">
        <is>
          <t>RATE</t>
        </is>
      </c>
      <c r="F4" s="4" t="inlineStr">
        <is>
          <t>CALL</t>
        </is>
      </c>
      <c r="G4" s="4" t="inlineStr">
        <is>
          <t>LUNCH</t>
        </is>
      </c>
      <c r="H4" s="4" t="inlineStr">
        <is>
          <t>LUNCH 2</t>
        </is>
      </c>
      <c r="I4" s="4" t="inlineStr">
        <is>
          <t>WRAP</t>
        </is>
      </c>
      <c r="J4" s="4" t="inlineStr">
        <is>
          <t>HRS</t>
        </is>
      </c>
      <c r="K4" s="4" t="inlineStr">
        <is>
          <t>MP'S</t>
        </is>
      </c>
      <c r="L4" s="4" t="inlineStr">
        <is>
          <t>ST</t>
        </is>
      </c>
      <c r="M4" s="4" t="inlineStr">
        <is>
          <t>1.5X</t>
        </is>
      </c>
      <c r="N4" s="4" t="inlineStr">
        <is>
          <t>2X</t>
        </is>
      </c>
      <c r="O4" s="4" t="inlineStr">
        <is>
          <t>3X</t>
        </is>
      </c>
      <c r="P4" s="4" t="inlineStr">
        <is>
          <t>TOTAL / DAY</t>
        </is>
      </c>
      <c r="Q4" s="4" t="inlineStr">
        <is>
          <t>BUDGET / DAY</t>
        </is>
      </c>
      <c r="R4" s="4" t="inlineStr">
        <is>
          <t>(OVER) / UNDER</t>
        </is>
      </c>
    </row>
    <row r="5">
      <c r="B5" s="2" t="inlineStr">
        <is>
          <t>LEAD#</t>
        </is>
      </c>
    </row>
    <row r="6">
      <c r="A6" s="5" t="inlineStr">
        <is>
          <t>1401</t>
        </is>
      </c>
      <c r="B6" s="5" t="inlineStr">
        <is>
          <t>Linda Cardellini</t>
        </is>
      </c>
      <c r="C6" s="5" t="inlineStr">
        <is>
          <t>"ANNA"</t>
        </is>
      </c>
      <c r="D6" s="5" t="inlineStr"/>
      <c r="E6" s="6" t="n">
        <v>1211.8</v>
      </c>
      <c r="F6" s="5" t="n"/>
      <c r="G6" s="5" t="n"/>
      <c r="H6" s="5" t="n"/>
      <c r="I6" s="5" t="n"/>
      <c r="J6" s="7">
        <f>IF(AND(N(F6)&gt;0,N(I6)&gt;0),I6-F6-IF(N(G6)&gt;0,0.5,0)-IF(N(H6)&gt;0,0.5,0),0)</f>
        <v/>
      </c>
      <c r="K6" s="5" t="n"/>
      <c r="L6" s="7">
        <f>MIN(J6,8.0)</f>
        <v/>
      </c>
      <c r="M6" s="7">
        <f>MAX(0,MIN(J6,12)-8.0)</f>
        <v/>
      </c>
      <c r="N6" s="7">
        <f>MAX(0,J6-12)</f>
        <v/>
      </c>
      <c r="O6" s="5" t="n"/>
      <c r="P6" s="6">
        <f>E6*(L6+M6*1.5+N6*2+O6*3+N(K6))</f>
        <v/>
      </c>
      <c r="Q6" s="6" t="n">
        <v>1211.8</v>
      </c>
      <c r="R6" s="6">
        <f>Q6-P6</f>
        <v/>
      </c>
    </row>
    <row r="7">
      <c r="P7" s="2" t="inlineStr">
        <is>
          <t>LEAD# LABOR</t>
        </is>
      </c>
      <c r="R7" s="8">
        <f>SUM(R6:R6)</f>
        <v/>
      </c>
    </row>
    <row r="9">
      <c r="B9" s="2" t="inlineStr">
        <is>
          <t>LEAD#2&amp;#</t>
        </is>
      </c>
    </row>
    <row r="10">
      <c r="A10" s="5" t="inlineStr">
        <is>
          <t>1402</t>
        </is>
      </c>
      <c r="B10" s="5" t="inlineStr">
        <is>
          <t>Roman Christou</t>
        </is>
      </c>
      <c r="C10" s="5" t="inlineStr">
        <is>
          <t>"CHRIS"(Minor)</t>
        </is>
      </c>
      <c r="D10" s="5" t="inlineStr"/>
      <c r="E10" s="6" t="n">
        <v>755.4</v>
      </c>
      <c r="F10" s="5" t="n"/>
      <c r="G10" s="5" t="n"/>
      <c r="H10" s="5" t="n"/>
      <c r="I10" s="5" t="n"/>
      <c r="J10" s="7">
        <f>IF(AND(N(F10)&gt;0,N(I10)&gt;0),I10-F10-IF(N(G10)&gt;0,0.5,0)-IF(N(H10)&gt;0,0.5,0),0)</f>
        <v/>
      </c>
      <c r="K10" s="5" t="n"/>
      <c r="L10" s="7">
        <f>MIN(J10,8.0)</f>
        <v/>
      </c>
      <c r="M10" s="7">
        <f>MAX(0,MIN(J10,12)-8.0)</f>
        <v/>
      </c>
      <c r="N10" s="7">
        <f>MAX(0,J10-12)</f>
        <v/>
      </c>
      <c r="O10" s="5" t="n"/>
      <c r="P10" s="6">
        <f>E10*(L10+M10*1.5+N10*2+O10*3+N(K10))</f>
        <v/>
      </c>
      <c r="Q10" s="6" t="n">
        <v>755.4</v>
      </c>
      <c r="R10" s="6">
        <f>Q10-P10</f>
        <v/>
      </c>
    </row>
    <row r="11">
      <c r="A11" s="5" t="inlineStr">
        <is>
          <t>1402</t>
        </is>
      </c>
      <c r="B11" s="5" t="inlineStr">
        <is>
          <t>Jaynee Lynee Kinchen</t>
        </is>
      </c>
      <c r="C11" s="5" t="inlineStr">
        <is>
          <t>"SAMANTHA"(Minor)</t>
        </is>
      </c>
      <c r="D11" s="5" t="inlineStr"/>
      <c r="E11" s="6" t="n">
        <v>755.4</v>
      </c>
      <c r="F11" s="5" t="n"/>
      <c r="G11" s="5" t="n"/>
      <c r="H11" s="5" t="n"/>
      <c r="I11" s="5" t="n"/>
      <c r="J11" s="7">
        <f>IF(AND(N(F11)&gt;0,N(I11)&gt;0),I11-F11-IF(N(G11)&gt;0,0.5,0)-IF(N(H11)&gt;0,0.5,0),0)</f>
        <v/>
      </c>
      <c r="K11" s="5" t="n"/>
      <c r="L11" s="7">
        <f>MIN(J11,8.0)</f>
        <v/>
      </c>
      <c r="M11" s="7">
        <f>MAX(0,MIN(J11,12)-8.0)</f>
        <v/>
      </c>
      <c r="N11" s="7">
        <f>MAX(0,J11-12)</f>
        <v/>
      </c>
      <c r="O11" s="5" t="n"/>
      <c r="P11" s="6">
        <f>E11*(L11+M11*1.5+N11*2+O11*3+N(K11))</f>
        <v/>
      </c>
      <c r="Q11" s="6" t="n">
        <v>755.4</v>
      </c>
      <c r="R11" s="6">
        <f>Q11-P11</f>
        <v/>
      </c>
    </row>
    <row r="12">
      <c r="P12" s="2" t="inlineStr">
        <is>
          <t>LEAD#2&amp;# LABOR</t>
        </is>
      </c>
      <c r="R12" s="8">
        <f>SUM(R10:R11)</f>
        <v/>
      </c>
    </row>
    <row r="14">
      <c r="B14" s="2" t="inlineStr">
        <is>
          <t>OTHERLEADCAST</t>
        </is>
      </c>
    </row>
    <row r="15">
      <c r="A15" s="5" t="inlineStr">
        <is>
          <t>1403</t>
        </is>
      </c>
      <c r="B15" s="5" t="inlineStr">
        <is>
          <t>Raymond Cruz</t>
        </is>
      </c>
      <c r="C15" s="5" t="inlineStr">
        <is>
          <t>"RAFAELOLVERA"</t>
        </is>
      </c>
      <c r="D15" s="5" t="inlineStr"/>
      <c r="E15" s="6" t="n">
        <v>1211.8</v>
      </c>
      <c r="F15" s="5" t="n"/>
      <c r="G15" s="5" t="n"/>
      <c r="H15" s="5" t="n"/>
      <c r="I15" s="5" t="n"/>
      <c r="J15" s="7">
        <f>IF(AND(N(F15)&gt;0,N(I15)&gt;0),I15-F15-IF(N(G15)&gt;0,0.5,0)-IF(N(H15)&gt;0,0.5,0),0)</f>
        <v/>
      </c>
      <c r="K15" s="5" t="n"/>
      <c r="L15" s="7">
        <f>MIN(J15,8.0)</f>
        <v/>
      </c>
      <c r="M15" s="7">
        <f>MAX(0,MIN(J15,12)-8.0)</f>
        <v/>
      </c>
      <c r="N15" s="7">
        <f>MAX(0,J15-12)</f>
        <v/>
      </c>
      <c r="O15" s="5" t="n"/>
      <c r="P15" s="6">
        <f>E15*(L15+M15*1.5+N15*2+O15*3+N(K15))</f>
        <v/>
      </c>
      <c r="Q15" s="6" t="n">
        <v>1211.8</v>
      </c>
      <c r="R15" s="6">
        <f>Q15-P15</f>
        <v/>
      </c>
    </row>
    <row r="16">
      <c r="A16" s="5" t="inlineStr">
        <is>
          <t>1403</t>
        </is>
      </c>
      <c r="B16" s="5" t="inlineStr">
        <is>
          <t>Marisol Ramirez</t>
        </is>
      </c>
      <c r="C16" s="5" t="inlineStr">
        <is>
          <t>"LALLORONA"</t>
        </is>
      </c>
      <c r="D16" s="5" t="inlineStr"/>
      <c r="E16" s="6" t="n">
        <v>1211.8</v>
      </c>
      <c r="F16" s="5" t="n"/>
      <c r="G16" s="5" t="n"/>
      <c r="H16" s="5" t="n"/>
      <c r="I16" s="5" t="n"/>
      <c r="J16" s="7">
        <f>IF(AND(N(F16)&gt;0,N(I16)&gt;0),I16-F16-IF(N(G16)&gt;0,0.5,0)-IF(N(H16)&gt;0,0.5,0),0)</f>
        <v/>
      </c>
      <c r="K16" s="5" t="n"/>
      <c r="L16" s="7">
        <f>MIN(J16,8.0)</f>
        <v/>
      </c>
      <c r="M16" s="7">
        <f>MAX(0,MIN(J16,12)-8.0)</f>
        <v/>
      </c>
      <c r="N16" s="7">
        <f>MAX(0,J16-12)</f>
        <v/>
      </c>
      <c r="O16" s="5" t="n"/>
      <c r="P16" s="6">
        <f>E16*(L16+M16*1.5+N16*2+O16*3+N(K16))</f>
        <v/>
      </c>
      <c r="Q16" s="6" t="n">
        <v>1211.8</v>
      </c>
      <c r="R16" s="6">
        <f>Q16-P16</f>
        <v/>
      </c>
    </row>
    <row r="17">
      <c r="A17" s="5" t="inlineStr">
        <is>
          <t>1403</t>
        </is>
      </c>
      <c r="B17" s="5" t="inlineStr">
        <is>
          <t>Patrica Velasquez</t>
        </is>
      </c>
      <c r="C17" s="5" t="inlineStr">
        <is>
          <t>"PATRICIA"</t>
        </is>
      </c>
      <c r="D17" s="5" t="inlineStr"/>
      <c r="E17" s="6" t="n">
        <v>1972</v>
      </c>
      <c r="F17" s="5" t="n"/>
      <c r="G17" s="5" t="n"/>
      <c r="H17" s="5" t="n"/>
      <c r="I17" s="5" t="n"/>
      <c r="J17" s="7">
        <f>IF(AND(N(F17)&gt;0,N(I17)&gt;0),I17-F17-IF(N(G17)&gt;0,0.5,0)-IF(N(H17)&gt;0,0.5,0),0)</f>
        <v/>
      </c>
      <c r="K17" s="5" t="n"/>
      <c r="L17" s="7">
        <f>MIN(J17,8.0)</f>
        <v/>
      </c>
      <c r="M17" s="7">
        <f>MAX(0,MIN(J17,12)-8.0)</f>
        <v/>
      </c>
      <c r="N17" s="7">
        <f>MAX(0,J17-12)</f>
        <v/>
      </c>
      <c r="O17" s="5" t="n"/>
      <c r="P17" s="6">
        <f>E17*(L17+M17*1.5+N17*2+O17*3+N(K17))</f>
        <v/>
      </c>
      <c r="Q17" s="6" t="n">
        <v>1972</v>
      </c>
      <c r="R17" s="6">
        <f>Q17-P17</f>
        <v/>
      </c>
    </row>
    <row r="18">
      <c r="P18" s="2" t="inlineStr">
        <is>
          <t>OTHERLEADCAST LABOR</t>
        </is>
      </c>
      <c r="R18" s="8">
        <f>SUM(R15:R17)</f>
        <v/>
      </c>
    </row>
    <row r="20">
      <c r="B20" s="2" t="inlineStr">
        <is>
          <t>SUPPORTINGCAST</t>
        </is>
      </c>
    </row>
    <row r="21">
      <c r="A21" s="5" t="inlineStr">
        <is>
          <t>1404</t>
        </is>
      </c>
      <c r="B21" s="5" t="inlineStr">
        <is>
          <t>Sean Patrick Thomas</t>
        </is>
      </c>
      <c r="C21" s="5" t="inlineStr">
        <is>
          <t>DETCOOPER</t>
        </is>
      </c>
      <c r="D21" s="5" t="inlineStr"/>
      <c r="E21" s="6" t="n">
        <v>1211.8</v>
      </c>
      <c r="F21" s="5" t="n"/>
      <c r="G21" s="5" t="n"/>
      <c r="H21" s="5" t="n"/>
      <c r="I21" s="5" t="n"/>
      <c r="J21" s="7">
        <f>IF(AND(N(F21)&gt;0,N(I21)&gt;0),I21-F21-IF(N(G21)&gt;0,0.5,0)-IF(N(H21)&gt;0,0.5,0),0)</f>
        <v/>
      </c>
      <c r="K21" s="5" t="n"/>
      <c r="L21" s="7">
        <f>MIN(J21,8.0)</f>
        <v/>
      </c>
      <c r="M21" s="7">
        <f>MAX(0,MIN(J21,12)-8.0)</f>
        <v/>
      </c>
      <c r="N21" s="7">
        <f>MAX(0,J21-12)</f>
        <v/>
      </c>
      <c r="O21" s="5" t="n"/>
      <c r="P21" s="6">
        <f>E21*(L21+M21*1.5+N21*2+O21*3+N(K21))</f>
        <v/>
      </c>
      <c r="Q21" s="6" t="n">
        <v>1211.8</v>
      </c>
      <c r="R21" s="6">
        <f>Q21-P21</f>
        <v/>
      </c>
    </row>
    <row r="22">
      <c r="A22" s="5" t="inlineStr">
        <is>
          <t>1404</t>
        </is>
      </c>
      <c r="B22" s="5" t="inlineStr">
        <is>
          <t>Tony Amendola</t>
        </is>
      </c>
      <c r="C22" s="5" t="inlineStr">
        <is>
          <t>"FATHERPEREZ"</t>
        </is>
      </c>
      <c r="D22" s="5" t="inlineStr"/>
      <c r="E22" s="6" t="n">
        <v>1972</v>
      </c>
      <c r="F22" s="5" t="n"/>
      <c r="G22" s="5" t="n"/>
      <c r="H22" s="5" t="n"/>
      <c r="I22" s="5" t="n"/>
      <c r="J22" s="7">
        <f>IF(AND(N(F22)&gt;0,N(I22)&gt;0),I22-F22-IF(N(G22)&gt;0,0.5,0)-IF(N(H22)&gt;0,0.5,0),0)</f>
        <v/>
      </c>
      <c r="K22" s="5" t="n"/>
      <c r="L22" s="7">
        <f>MIN(J22,8.0)</f>
        <v/>
      </c>
      <c r="M22" s="7">
        <f>MAX(0,MIN(J22,12)-8.0)</f>
        <v/>
      </c>
      <c r="N22" s="7">
        <f>MAX(0,J22-12)</f>
        <v/>
      </c>
      <c r="O22" s="5" t="n"/>
      <c r="P22" s="6">
        <f>E22*(L22+M22*1.5+N22*2+O22*3+N(K22))</f>
        <v/>
      </c>
      <c r="Q22" s="6" t="n">
        <v>1972</v>
      </c>
      <c r="R22" s="6">
        <f>Q22-P22</f>
        <v/>
      </c>
    </row>
    <row r="23">
      <c r="P23" s="2" t="inlineStr">
        <is>
          <t>SUPPORTINGCAST LABOR</t>
        </is>
      </c>
      <c r="R23" s="8">
        <f>SUM(R21:R22)</f>
        <v/>
      </c>
    </row>
    <row r="25">
      <c r="B25" s="2" t="inlineStr">
        <is>
          <t>DAYPLAYERS</t>
        </is>
      </c>
    </row>
    <row r="26">
      <c r="A26" s="5" t="inlineStr">
        <is>
          <t>1405</t>
        </is>
      </c>
      <c r="B26" s="5" t="inlineStr">
        <is>
          <t>Kristy Keng(Drop/Pickup)</t>
        </is>
      </c>
      <c r="C26" s="5" t="inlineStr">
        <is>
          <t>"DONNA"</t>
        </is>
      </c>
      <c r="D26" s="5" t="inlineStr"/>
      <c r="E26" s="6" t="n">
        <v>1972</v>
      </c>
      <c r="F26" s="5" t="n"/>
      <c r="G26" s="5" t="n"/>
      <c r="H26" s="5" t="n"/>
      <c r="I26" s="5" t="n"/>
      <c r="J26" s="7">
        <f>IF(AND(N(F26)&gt;0,N(I26)&gt;0),I26-F26-IF(N(G26)&gt;0,0.5,0)-IF(N(H26)&gt;0,0.5,0),0)</f>
        <v/>
      </c>
      <c r="K26" s="5" t="n"/>
      <c r="L26" s="7">
        <f>MIN(J26,8.0)</f>
        <v/>
      </c>
      <c r="M26" s="7">
        <f>MAX(0,MIN(J26,12)-8.0)</f>
        <v/>
      </c>
      <c r="N26" s="7">
        <f>MAX(0,J26-12)</f>
        <v/>
      </c>
      <c r="O26" s="5" t="n"/>
      <c r="P26" s="6">
        <f>E26*(L26+M26*1.5+N26*2+O26*3+N(K26))</f>
        <v/>
      </c>
      <c r="Q26" s="6" t="n">
        <v>1972</v>
      </c>
      <c r="R26" s="6">
        <f>Q26-P26</f>
        <v/>
      </c>
    </row>
    <row r="27">
      <c r="A27" s="5" t="inlineStr">
        <is>
          <t>1405</t>
        </is>
      </c>
      <c r="B27" s="5" t="inlineStr">
        <is>
          <t>Oliver Alexander</t>
        </is>
      </c>
      <c r="C27" s="5" t="inlineStr">
        <is>
          <t>"CARLOS"(Minor)</t>
        </is>
      </c>
      <c r="D27" s="5" t="inlineStr"/>
      <c r="E27" s="6" t="n">
        <v>1249</v>
      </c>
      <c r="F27" s="5" t="n"/>
      <c r="G27" s="5" t="n"/>
      <c r="H27" s="5" t="n"/>
      <c r="I27" s="5" t="n"/>
      <c r="J27" s="7">
        <f>IF(AND(N(F27)&gt;0,N(I27)&gt;0),I27-F27-IF(N(G27)&gt;0,0.5,0)-IF(N(H27)&gt;0,0.5,0),0)</f>
        <v/>
      </c>
      <c r="K27" s="5" t="n"/>
      <c r="L27" s="7">
        <f>MIN(J27,8.0)</f>
        <v/>
      </c>
      <c r="M27" s="7">
        <f>MAX(0,MIN(J27,12)-8.0)</f>
        <v/>
      </c>
      <c r="N27" s="7">
        <f>MAX(0,J27-12)</f>
        <v/>
      </c>
      <c r="O27" s="5" t="n"/>
      <c r="P27" s="6">
        <f>E27*(L27+M27*1.5+N27*2+O27*3+N(K27))</f>
        <v/>
      </c>
      <c r="Q27" s="6" t="n">
        <v>1249</v>
      </c>
      <c r="R27" s="6">
        <f>Q27-P27</f>
        <v/>
      </c>
    </row>
    <row r="28">
      <c r="A28" s="5" t="inlineStr">
        <is>
          <t>1405</t>
        </is>
      </c>
      <c r="B28" s="5" t="inlineStr">
        <is>
          <t>Adam Lewandowski</t>
        </is>
      </c>
      <c r="C28" s="5" t="inlineStr">
        <is>
          <t>"TOMAS"(Minor)</t>
        </is>
      </c>
      <c r="D28" s="5" t="inlineStr"/>
      <c r="E28" s="6" t="n">
        <v>1249</v>
      </c>
      <c r="F28" s="5" t="n"/>
      <c r="G28" s="5" t="n"/>
      <c r="H28" s="5" t="n"/>
      <c r="I28" s="5" t="n"/>
      <c r="J28" s="7">
        <f>IF(AND(N(F28)&gt;0,N(I28)&gt;0),I28-F28-IF(N(G28)&gt;0,0.5,0)-IF(N(H28)&gt;0,0.5,0),0)</f>
        <v/>
      </c>
      <c r="K28" s="5" t="n"/>
      <c r="L28" s="7">
        <f>MIN(J28,8.0)</f>
        <v/>
      </c>
      <c r="M28" s="7">
        <f>MAX(0,MIN(J28,12)-8.0)</f>
        <v/>
      </c>
      <c r="N28" s="7">
        <f>MAX(0,J28-12)</f>
        <v/>
      </c>
      <c r="O28" s="5" t="n"/>
      <c r="P28" s="6">
        <f>E28*(L28+M28*1.5+N28*2+O28*3+N(K28))</f>
        <v/>
      </c>
      <c r="Q28" s="6" t="n">
        <v>1249</v>
      </c>
      <c r="R28" s="6">
        <f>Q28-P28</f>
        <v/>
      </c>
    </row>
    <row r="29">
      <c r="A29" s="5" t="inlineStr">
        <is>
          <t>1405</t>
        </is>
      </c>
      <c r="B29" s="5" t="inlineStr">
        <is>
          <t>Paul Rodriquez Jr.</t>
        </is>
      </c>
      <c r="C29" s="5" t="inlineStr">
        <is>
          <t>"OFFICERCLARO"</t>
        </is>
      </c>
      <c r="D29" s="5" t="inlineStr"/>
      <c r="E29" s="6" t="n">
        <v>1972</v>
      </c>
      <c r="F29" s="5" t="n"/>
      <c r="G29" s="5" t="n"/>
      <c r="H29" s="5" t="n"/>
      <c r="I29" s="5" t="n"/>
      <c r="J29" s="7">
        <f>IF(AND(N(F29)&gt;0,N(I29)&gt;0),I29-F29-IF(N(G29)&gt;0,0.5,0)-IF(N(H29)&gt;0,0.5,0),0)</f>
        <v/>
      </c>
      <c r="K29" s="5" t="n"/>
      <c r="L29" s="7">
        <f>MIN(J29,8.0)</f>
        <v/>
      </c>
      <c r="M29" s="7">
        <f>MAX(0,MIN(J29,12)-8.0)</f>
        <v/>
      </c>
      <c r="N29" s="7">
        <f>MAX(0,J29-12)</f>
        <v/>
      </c>
      <c r="O29" s="5" t="n"/>
      <c r="P29" s="6">
        <f>E29*(L29+M29*1.5+N29*2+O29*3+N(K29))</f>
        <v/>
      </c>
      <c r="Q29" s="6" t="n">
        <v>1972</v>
      </c>
      <c r="R29" s="6">
        <f>Q29-P29</f>
        <v/>
      </c>
    </row>
    <row r="30">
      <c r="A30" s="5" t="inlineStr">
        <is>
          <t>1405</t>
        </is>
      </c>
      <c r="B30" s="5" t="inlineStr">
        <is>
          <t>Sophia Santi</t>
        </is>
      </c>
      <c r="C30" s="5" t="inlineStr">
        <is>
          <t>"FEMALECUSTOMER"</t>
        </is>
      </c>
      <c r="D30" s="5" t="inlineStr"/>
      <c r="E30" s="6" t="n">
        <v>1972</v>
      </c>
      <c r="F30" s="5" t="n"/>
      <c r="G30" s="5" t="n"/>
      <c r="H30" s="5" t="n"/>
      <c r="I30" s="5" t="n"/>
      <c r="J30" s="7">
        <f>IF(AND(N(F30)&gt;0,N(I30)&gt;0),I30-F30-IF(N(G30)&gt;0,0.5,0)-IF(N(H30)&gt;0,0.5,0),0)</f>
        <v/>
      </c>
      <c r="K30" s="5" t="n"/>
      <c r="L30" s="7">
        <f>MIN(J30,8.0)</f>
        <v/>
      </c>
      <c r="M30" s="7">
        <f>MAX(0,MIN(J30,12)-8.0)</f>
        <v/>
      </c>
      <c r="N30" s="7">
        <f>MAX(0,J30-12)</f>
        <v/>
      </c>
      <c r="O30" s="5" t="n"/>
      <c r="P30" s="6">
        <f>E30*(L30+M30*1.5+N30*2+O30*3+N(K30))</f>
        <v/>
      </c>
      <c r="Q30" s="6" t="n">
        <v>1972</v>
      </c>
      <c r="R30" s="6">
        <f>Q30-P30</f>
        <v/>
      </c>
    </row>
    <row r="31">
      <c r="A31" s="5" t="inlineStr">
        <is>
          <t>1405</t>
        </is>
      </c>
      <c r="B31" s="5" t="inlineStr">
        <is>
          <t>John Marshall Jones</t>
        </is>
      </c>
      <c r="C31" s="5" t="inlineStr">
        <is>
          <t>"MRHANKINS"</t>
        </is>
      </c>
      <c r="D31" s="5" t="inlineStr"/>
      <c r="E31" s="6" t="n">
        <v>1972</v>
      </c>
      <c r="F31" s="5" t="n"/>
      <c r="G31" s="5" t="n"/>
      <c r="H31" s="5" t="n"/>
      <c r="I31" s="5" t="n"/>
      <c r="J31" s="7">
        <f>IF(AND(N(F31)&gt;0,N(I31)&gt;0),I31-F31-IF(N(G31)&gt;0,0.5,0)-IF(N(H31)&gt;0,0.5,0),0)</f>
        <v/>
      </c>
      <c r="K31" s="5" t="n"/>
      <c r="L31" s="7">
        <f>MIN(J31,8.0)</f>
        <v/>
      </c>
      <c r="M31" s="7">
        <f>MAX(0,MIN(J31,12)-8.0)</f>
        <v/>
      </c>
      <c r="N31" s="7">
        <f>MAX(0,J31-12)</f>
        <v/>
      </c>
      <c r="O31" s="5" t="n"/>
      <c r="P31" s="6">
        <f>E31*(L31+M31*1.5+N31*2+O31*3+N(K31))</f>
        <v/>
      </c>
      <c r="Q31" s="6" t="n">
        <v>1972</v>
      </c>
      <c r="R31" s="6">
        <f>Q31-P31</f>
        <v/>
      </c>
    </row>
    <row r="32">
      <c r="A32" s="5" t="inlineStr">
        <is>
          <t>1405</t>
        </is>
      </c>
      <c r="B32" s="5" t="inlineStr">
        <is>
          <t>Madeleine Mcgraw</t>
        </is>
      </c>
      <c r="C32" s="5" t="inlineStr">
        <is>
          <t>"APRIL"(Minor)</t>
        </is>
      </c>
      <c r="D32" s="5" t="inlineStr"/>
      <c r="E32" s="6" t="n">
        <v>1249</v>
      </c>
      <c r="F32" s="5" t="n"/>
      <c r="G32" s="5" t="n"/>
      <c r="H32" s="5" t="n"/>
      <c r="I32" s="5" t="n"/>
      <c r="J32" s="7">
        <f>IF(AND(N(F32)&gt;0,N(I32)&gt;0),I32-F32-IF(N(G32)&gt;0,0.5,0)-IF(N(H32)&gt;0,0.5,0),0)</f>
        <v/>
      </c>
      <c r="K32" s="5" t="n"/>
      <c r="L32" s="7">
        <f>MIN(J32,8.0)</f>
        <v/>
      </c>
      <c r="M32" s="7">
        <f>MAX(0,MIN(J32,12)-8.0)</f>
        <v/>
      </c>
      <c r="N32" s="7">
        <f>MAX(0,J32-12)</f>
        <v/>
      </c>
      <c r="O32" s="5" t="n"/>
      <c r="P32" s="6">
        <f>E32*(L32+M32*1.5+N32*2+O32*3+N(K32))</f>
        <v/>
      </c>
      <c r="Q32" s="6" t="n">
        <v>1249</v>
      </c>
      <c r="R32" s="6">
        <f>Q32-P32</f>
        <v/>
      </c>
    </row>
    <row r="33">
      <c r="P33" s="2" t="inlineStr">
        <is>
          <t>DAYPLAYERS LABOR</t>
        </is>
      </c>
      <c r="R33" s="8">
        <f>SUM(R26:R32)</f>
        <v/>
      </c>
    </row>
    <row r="35">
      <c r="B35" s="2" t="inlineStr">
        <is>
          <t>STUNTCOORD</t>
        </is>
      </c>
    </row>
    <row r="36">
      <c r="A36" s="5" t="inlineStr">
        <is>
          <t>1406</t>
        </is>
      </c>
      <c r="B36" s="5" t="inlineStr">
        <is>
          <t>Rob King</t>
        </is>
      </c>
      <c r="C36" s="5" t="inlineStr">
        <is>
          <t>STUNTCOORDINATOR</t>
        </is>
      </c>
      <c r="D36" s="5" t="inlineStr"/>
      <c r="E36" s="6" t="n">
        <v>1173</v>
      </c>
      <c r="F36" s="5" t="n"/>
      <c r="G36" s="5" t="n"/>
      <c r="H36" s="5" t="n"/>
      <c r="I36" s="5" t="n"/>
      <c r="J36" s="7">
        <f>IF(AND(N(F36)&gt;0,N(I36)&gt;0),I36-F36-IF(N(G36)&gt;0,0.5,0)-IF(N(H36)&gt;0,0.5,0),0)</f>
        <v/>
      </c>
      <c r="K36" s="5" t="n"/>
      <c r="L36" s="7">
        <f>MIN(J36,8.0)</f>
        <v/>
      </c>
      <c r="M36" s="7">
        <f>MAX(0,MIN(J36,12)-8.0)</f>
        <v/>
      </c>
      <c r="N36" s="7">
        <f>MAX(0,J36-12)</f>
        <v/>
      </c>
      <c r="O36" s="5" t="n"/>
      <c r="P36" s="6">
        <f>E36*(L36+M36*1.5+N36*2+O36*3+N(K36))</f>
        <v/>
      </c>
      <c r="Q36" s="6" t="n">
        <v>1173</v>
      </c>
      <c r="R36" s="6">
        <f>Q36-P36</f>
        <v/>
      </c>
    </row>
    <row r="37">
      <c r="P37" s="2" t="inlineStr">
        <is>
          <t>STUNTCOORD LABOR</t>
        </is>
      </c>
      <c r="R37" s="8">
        <f>SUM(R36:R36)</f>
        <v/>
      </c>
    </row>
    <row r="39">
      <c r="B39" s="2" t="inlineStr">
        <is>
          <t>TEACHER/WELFAREWORKER</t>
        </is>
      </c>
    </row>
    <row r="40">
      <c r="A40" s="5" t="inlineStr">
        <is>
          <t>1412</t>
        </is>
      </c>
      <c r="B40" s="5" t="inlineStr"/>
      <c r="C40" s="5" t="inlineStr">
        <is>
          <t>WELFAREWORKER</t>
        </is>
      </c>
      <c r="D40" s="5" t="inlineStr">
        <is>
          <t>Local884</t>
        </is>
      </c>
      <c r="E40" s="6" t="n">
        <v>25.5</v>
      </c>
      <c r="F40" s="5" t="n"/>
      <c r="G40" s="5" t="n"/>
      <c r="H40" s="5" t="n"/>
      <c r="I40" s="5" t="n"/>
      <c r="J40" s="7">
        <f>IF(AND(N(F40)&gt;0,N(I40)&gt;0),I40-F40-IF(N(G40)&gt;0,0.5,0)-IF(N(H40)&gt;0,0.5,0),0)</f>
        <v/>
      </c>
      <c r="K40" s="5" t="n"/>
      <c r="L40" s="7">
        <f>MIN(J40,8.0)</f>
        <v/>
      </c>
      <c r="M40" s="7">
        <f>MAX(0,MIN(J40,12)-8.0)</f>
        <v/>
      </c>
      <c r="N40" s="7">
        <f>MAX(0,J40-12)</f>
        <v/>
      </c>
      <c r="O40" s="5" t="n"/>
      <c r="P40" s="6">
        <f>E40*(L40+M40*1.5+N40*2+O40*3+N(K40))</f>
        <v/>
      </c>
      <c r="Q40" s="6" t="n">
        <v>280.5</v>
      </c>
      <c r="R40" s="6">
        <f>Q40-P40</f>
        <v/>
      </c>
    </row>
    <row r="41">
      <c r="A41" s="5" t="inlineStr">
        <is>
          <t>1412</t>
        </is>
      </c>
      <c r="B41" s="5" t="inlineStr"/>
      <c r="C41" s="5" t="inlineStr">
        <is>
          <t>ADDLWELFAREWORKER</t>
        </is>
      </c>
      <c r="D41" s="5" t="inlineStr">
        <is>
          <t>Local884</t>
        </is>
      </c>
      <c r="E41" s="6" t="n">
        <v>25.5</v>
      </c>
      <c r="F41" s="5" t="n"/>
      <c r="G41" s="5" t="n"/>
      <c r="H41" s="5" t="n"/>
      <c r="I41" s="5" t="n"/>
      <c r="J41" s="7">
        <f>IF(AND(N(F41)&gt;0,N(I41)&gt;0),I41-F41-IF(N(G41)&gt;0,0.5,0)-IF(N(H41)&gt;0,0.5,0),0)</f>
        <v/>
      </c>
      <c r="K41" s="5" t="n"/>
      <c r="L41" s="7">
        <f>MIN(J41,8.0)</f>
        <v/>
      </c>
      <c r="M41" s="7">
        <f>MAX(0,MIN(J41,12)-8.0)</f>
        <v/>
      </c>
      <c r="N41" s="7">
        <f>MAX(0,J41-12)</f>
        <v/>
      </c>
      <c r="O41" s="5" t="n"/>
      <c r="P41" s="6">
        <f>E41*(L41+M41*1.5+N41*2+O41*3+N(K41))</f>
        <v/>
      </c>
      <c r="Q41" s="6" t="n">
        <v>280.5</v>
      </c>
      <c r="R41" s="6">
        <f>Q41-P41</f>
        <v/>
      </c>
    </row>
    <row r="42">
      <c r="P42" s="2" t="inlineStr">
        <is>
          <t>TEACHER/WELFAREWORKER LABOR</t>
        </is>
      </c>
      <c r="R42" s="8">
        <f>SUM(R40:R41)</f>
        <v/>
      </c>
    </row>
    <row r="44">
      <c r="B44" s="2" t="inlineStr">
        <is>
          <t>CASTINGDIRECTORS</t>
        </is>
      </c>
    </row>
    <row r="45">
      <c r="A45" s="5" t="inlineStr">
        <is>
          <t>1413</t>
        </is>
      </c>
      <c r="B45" s="5" t="inlineStr">
        <is>
          <t>Rich Delia</t>
        </is>
      </c>
      <c r="C45" s="5" t="inlineStr">
        <is>
          <t>CASTINGDIRECTOR</t>
        </is>
      </c>
      <c r="D45" s="5" t="inlineStr"/>
      <c r="E45" s="6" t="n">
        <v>600</v>
      </c>
      <c r="F45" s="5" t="n"/>
      <c r="G45" s="5" t="n"/>
      <c r="H45" s="5" t="n"/>
      <c r="I45" s="5" t="n"/>
      <c r="J45" s="7">
        <f>IF(AND(N(F45)&gt;0,N(I45)&gt;0),I45-F45-IF(N(G45)&gt;0,0.5,0)-IF(N(H45)&gt;0,0.5,0),0)</f>
        <v/>
      </c>
      <c r="K45" s="5" t="n"/>
      <c r="L45" s="7">
        <f>MIN(J45,8.0)</f>
        <v/>
      </c>
      <c r="M45" s="7">
        <f>MAX(0,MIN(J45,12)-8.0)</f>
        <v/>
      </c>
      <c r="N45" s="7">
        <f>MAX(0,J45-12)</f>
        <v/>
      </c>
      <c r="O45" s="5" t="n"/>
      <c r="P45" s="6">
        <f>E45*(L45+M45*1.5+N45*2+O45*3+N(K45))</f>
        <v/>
      </c>
      <c r="Q45" s="5" t="n"/>
      <c r="R45" s="6">
        <f>Q45-P45</f>
        <v/>
      </c>
    </row>
    <row r="46">
      <c r="P46" s="2" t="inlineStr">
        <is>
          <t>CASTINGDIRECTORS LABOR</t>
        </is>
      </c>
      <c r="R46" s="8">
        <f>SUM(R45:R45)</f>
        <v/>
      </c>
    </row>
    <row r="48">
      <c r="B48" s="2" t="inlineStr">
        <is>
          <t>CASTINGASSOCIATES/ASSISTANTS</t>
        </is>
      </c>
    </row>
    <row r="49">
      <c r="A49" s="5" t="inlineStr">
        <is>
          <t>1414</t>
        </is>
      </c>
      <c r="B49" s="5" t="inlineStr">
        <is>
          <t>Adam Richards</t>
        </is>
      </c>
      <c r="C49" s="5" t="inlineStr">
        <is>
          <t>CASTINGASSOCIATE</t>
        </is>
      </c>
      <c r="D49" s="5" t="inlineStr"/>
      <c r="E49" s="6" t="n">
        <v>200</v>
      </c>
      <c r="F49" s="5" t="n"/>
      <c r="G49" s="5" t="n"/>
      <c r="H49" s="5" t="n"/>
      <c r="I49" s="5" t="n"/>
      <c r="J49" s="7">
        <f>IF(AND(N(F49)&gt;0,N(I49)&gt;0),I49-F49-IF(N(G49)&gt;0,0.5,0)-IF(N(H49)&gt;0,0.5,0),0)</f>
        <v/>
      </c>
      <c r="K49" s="5" t="n"/>
      <c r="L49" s="7">
        <f>MIN(J49,8.0)</f>
        <v/>
      </c>
      <c r="M49" s="7">
        <f>MAX(0,MIN(J49,12)-8.0)</f>
        <v/>
      </c>
      <c r="N49" s="7">
        <f>MAX(0,J49-12)</f>
        <v/>
      </c>
      <c r="O49" s="5" t="n"/>
      <c r="P49" s="6">
        <f>E49*(L49+M49*1.5+N49*2+O49*3+N(K49))</f>
        <v/>
      </c>
      <c r="Q49" s="5" t="n"/>
      <c r="R49" s="6">
        <f>Q49-P49</f>
        <v/>
      </c>
    </row>
    <row r="50">
      <c r="P50" s="2" t="inlineStr">
        <is>
          <t>CASTINGASSOCIATES/ASSISTANTS LABOR</t>
        </is>
      </c>
      <c r="R50" s="8">
        <f>SUM(R49:R49)</f>
        <v/>
      </c>
    </row>
    <row r="52">
      <c r="B52" s="2" t="inlineStr">
        <is>
          <t>CASTDRIVERS/VEHICLES</t>
        </is>
      </c>
    </row>
    <row r="53">
      <c r="A53" s="5" t="inlineStr">
        <is>
          <t>1455</t>
        </is>
      </c>
      <c r="B53" s="5" t="inlineStr"/>
      <c r="C53" s="5" t="inlineStr">
        <is>
          <t>CAST 3-RMDRIVER</t>
        </is>
      </c>
      <c r="D53" s="5" t="inlineStr">
        <is>
          <t>Local399</t>
        </is>
      </c>
      <c r="E53" s="6" t="n">
        <v>32.36</v>
      </c>
      <c r="F53" s="5" t="n"/>
      <c r="G53" s="5" t="n"/>
      <c r="H53" s="5" t="n"/>
      <c r="I53" s="5" t="n"/>
      <c r="J53" s="7">
        <f>IF(AND(N(F53)&gt;0,N(I53)&gt;0),I53-F53-IF(N(G53)&gt;0,0.5,0)-IF(N(H53)&gt;0,0.5,0),0)</f>
        <v/>
      </c>
      <c r="K53" s="5" t="n"/>
      <c r="L53" s="7">
        <f>MIN(J53,8.0)</f>
        <v/>
      </c>
      <c r="M53" s="7">
        <f>MAX(0,MIN(J53,12)-8.0)</f>
        <v/>
      </c>
      <c r="N53" s="7">
        <f>MAX(0,J53-12)</f>
        <v/>
      </c>
      <c r="O53" s="5" t="n"/>
      <c r="P53" s="6">
        <f>E53*(L53+M53*1.5+N53*2+O53*3+N(K53))</f>
        <v/>
      </c>
      <c r="Q53" s="6" t="n">
        <v>501.58</v>
      </c>
      <c r="R53" s="6">
        <f>Q53-P53</f>
        <v/>
      </c>
    </row>
    <row r="54">
      <c r="A54" s="5" t="inlineStr">
        <is>
          <t>1455</t>
        </is>
      </c>
      <c r="B54" s="5" t="inlineStr"/>
      <c r="C54" s="5" t="inlineStr">
        <is>
          <t>CASTMINIVANDRIVER</t>
        </is>
      </c>
      <c r="D54" s="5" t="inlineStr">
        <is>
          <t>Local399</t>
        </is>
      </c>
      <c r="E54" s="6" t="n">
        <v>32.36</v>
      </c>
      <c r="F54" s="5" t="n"/>
      <c r="G54" s="5" t="n"/>
      <c r="H54" s="5" t="n"/>
      <c r="I54" s="5" t="n"/>
      <c r="J54" s="7">
        <f>IF(AND(N(F54)&gt;0,N(I54)&gt;0),I54-F54-IF(N(G54)&gt;0,0.5,0)-IF(N(H54)&gt;0,0.5,0),0)</f>
        <v/>
      </c>
      <c r="K54" s="5" t="n"/>
      <c r="L54" s="7">
        <f>MIN(J54,8.0)</f>
        <v/>
      </c>
      <c r="M54" s="7">
        <f>MAX(0,MIN(J54,12)-8.0)</f>
        <v/>
      </c>
      <c r="N54" s="7">
        <f>MAX(0,J54-12)</f>
        <v/>
      </c>
      <c r="O54" s="5" t="n"/>
      <c r="P54" s="6">
        <f>E54*(L54+M54*1.5+N54*2+O54*3+N(K54))</f>
        <v/>
      </c>
      <c r="Q54" s="6" t="n">
        <v>501.58</v>
      </c>
      <c r="R54" s="6">
        <f>Q54-P54</f>
        <v/>
      </c>
    </row>
    <row r="55">
      <c r="P55" s="2" t="inlineStr">
        <is>
          <t>CASTDRIVERS/VEHICLES LABOR</t>
        </is>
      </c>
      <c r="R55" s="8">
        <f>SUM(R53:R54)</f>
        <v/>
      </c>
    </row>
    <row r="57">
      <c r="B57" s="2" t="inlineStr">
        <is>
          <t>PRODUCTIONMANAGER</t>
        </is>
      </c>
    </row>
    <row r="58">
      <c r="A58" s="5" t="inlineStr">
        <is>
          <t>2001</t>
        </is>
      </c>
      <c r="B58" s="5" t="inlineStr">
        <is>
          <t>Carrie Morrow</t>
        </is>
      </c>
      <c r="C58" s="5" t="inlineStr">
        <is>
          <t>UPM</t>
        </is>
      </c>
      <c r="D58" s="5" t="inlineStr">
        <is>
          <t>DGA</t>
        </is>
      </c>
      <c r="E58" s="6" t="n">
        <v>1063.6</v>
      </c>
      <c r="F58" s="5" t="n"/>
      <c r="G58" s="5" t="n"/>
      <c r="H58" s="5" t="n"/>
      <c r="I58" s="5" t="n"/>
      <c r="J58" s="7">
        <f>IF(AND(N(F58)&gt;0,N(I58)&gt;0),I58-F58-IF(N(G58)&gt;0,0.5,0)-IF(N(H58)&gt;0,0.5,0),0)</f>
        <v/>
      </c>
      <c r="K58" s="5" t="n"/>
      <c r="L58" s="7">
        <f>MIN(J58,8.0)</f>
        <v/>
      </c>
      <c r="M58" s="7">
        <f>MAX(0,MIN(J58,12)-8.0)</f>
        <v/>
      </c>
      <c r="N58" s="7">
        <f>MAX(0,J58-12)</f>
        <v/>
      </c>
      <c r="O58" s="5" t="n"/>
      <c r="P58" s="6">
        <f>E58*(L58+M58*1.5+N58*2+O58*3+N(K58))</f>
        <v/>
      </c>
      <c r="Q58" s="6" t="n">
        <v>1063.6</v>
      </c>
      <c r="R58" s="6">
        <f>Q58-P58</f>
        <v/>
      </c>
    </row>
    <row r="59">
      <c r="P59" s="2" t="inlineStr">
        <is>
          <t>PRODUCTIONMANAGER LABOR</t>
        </is>
      </c>
      <c r="R59" s="8">
        <f>SUM(R58:R58)</f>
        <v/>
      </c>
    </row>
    <row r="61">
      <c r="B61" s="2" t="inlineStr">
        <is>
          <t>1STASSTDIRECTOR</t>
        </is>
      </c>
    </row>
    <row r="62">
      <c r="A62" s="5" t="inlineStr">
        <is>
          <t>2002</t>
        </is>
      </c>
      <c r="B62" s="5" t="inlineStr">
        <is>
          <t>James Moran</t>
        </is>
      </c>
      <c r="C62" s="5" t="inlineStr">
        <is>
          <t>1STASSTDIRECTOR</t>
        </is>
      </c>
      <c r="D62" s="5" t="inlineStr">
        <is>
          <t>DGA</t>
        </is>
      </c>
      <c r="E62" s="6" t="n">
        <v>985.6</v>
      </c>
      <c r="F62" s="5" t="n"/>
      <c r="G62" s="5" t="n"/>
      <c r="H62" s="5" t="n"/>
      <c r="I62" s="5" t="n"/>
      <c r="J62" s="7">
        <f>IF(AND(N(F62)&gt;0,N(I62)&gt;0),I62-F62-IF(N(G62)&gt;0,0.5,0)-IF(N(H62)&gt;0,0.5,0),0)</f>
        <v/>
      </c>
      <c r="K62" s="5" t="n"/>
      <c r="L62" s="7">
        <f>MIN(J62,8.0)</f>
        <v/>
      </c>
      <c r="M62" s="7">
        <f>MAX(0,MIN(J62,12)-8.0)</f>
        <v/>
      </c>
      <c r="N62" s="7">
        <f>MAX(0,J62-12)</f>
        <v/>
      </c>
      <c r="O62" s="5" t="n"/>
      <c r="P62" s="6">
        <f>E62*(L62+M62*1.5+N62*2+O62*3+N(K62))</f>
        <v/>
      </c>
      <c r="Q62" s="6" t="n">
        <v>985.6</v>
      </c>
      <c r="R62" s="6">
        <f>Q62-P62</f>
        <v/>
      </c>
    </row>
    <row r="63">
      <c r="P63" s="2" t="inlineStr">
        <is>
          <t>1STASSTDIRECTOR LABOR</t>
        </is>
      </c>
      <c r="R63" s="8">
        <f>SUM(R62:R62)</f>
        <v/>
      </c>
    </row>
    <row r="65">
      <c r="B65" s="2" t="inlineStr">
        <is>
          <t>2NDASSTDIRECTORS</t>
        </is>
      </c>
    </row>
    <row r="66">
      <c r="A66" s="5" t="inlineStr">
        <is>
          <t>2003</t>
        </is>
      </c>
      <c r="B66" s="5" t="inlineStr">
        <is>
          <t>Mark Newland</t>
        </is>
      </c>
      <c r="C66" s="5" t="inlineStr">
        <is>
          <t>KEY 2NDA. D.</t>
        </is>
      </c>
      <c r="D66" s="5" t="inlineStr">
        <is>
          <t>DGA</t>
        </is>
      </c>
      <c r="E66" s="6" t="n">
        <v>674.6</v>
      </c>
      <c r="F66" s="5" t="n"/>
      <c r="G66" s="5" t="n"/>
      <c r="H66" s="5" t="n"/>
      <c r="I66" s="5" t="n"/>
      <c r="J66" s="7">
        <f>IF(AND(N(F66)&gt;0,N(I66)&gt;0),I66-F66-IF(N(G66)&gt;0,0.5,0)-IF(N(H66)&gt;0,0.5,0),0)</f>
        <v/>
      </c>
      <c r="K66" s="5" t="n"/>
      <c r="L66" s="7">
        <f>MIN(J66,8.0)</f>
        <v/>
      </c>
      <c r="M66" s="7">
        <f>MAX(0,MIN(J66,12)-8.0)</f>
        <v/>
      </c>
      <c r="N66" s="7">
        <f>MAX(0,J66-12)</f>
        <v/>
      </c>
      <c r="O66" s="5" t="n"/>
      <c r="P66" s="6">
        <f>E66*(L66+M66*1.5+N66*2+O66*3+N(K66))</f>
        <v/>
      </c>
      <c r="Q66" s="6" t="n">
        <v>674.6</v>
      </c>
      <c r="R66" s="6">
        <f>Q66-P66</f>
        <v/>
      </c>
    </row>
    <row r="67">
      <c r="A67" s="5" t="inlineStr">
        <is>
          <t>2003</t>
        </is>
      </c>
      <c r="B67" s="5" t="inlineStr"/>
      <c r="C67" s="5" t="inlineStr">
        <is>
          <t>2ND 2NDA. D.</t>
        </is>
      </c>
      <c r="D67" s="5" t="inlineStr">
        <is>
          <t>DGA</t>
        </is>
      </c>
      <c r="E67" s="6" t="n">
        <v>526</v>
      </c>
      <c r="F67" s="5" t="n"/>
      <c r="G67" s="5" t="n"/>
      <c r="H67" s="5" t="n"/>
      <c r="I67" s="5" t="n"/>
      <c r="J67" s="7">
        <f>IF(AND(N(F67)&gt;0,N(I67)&gt;0),I67-F67-IF(N(G67)&gt;0,0.5,0)-IF(N(H67)&gt;0,0.5,0),0)</f>
        <v/>
      </c>
      <c r="K67" s="5" t="n"/>
      <c r="L67" s="7">
        <f>MIN(J67,8.0)</f>
        <v/>
      </c>
      <c r="M67" s="7">
        <f>MAX(0,MIN(J67,12)-8.0)</f>
        <v/>
      </c>
      <c r="N67" s="7">
        <f>MAX(0,J67-12)</f>
        <v/>
      </c>
      <c r="O67" s="5" t="n"/>
      <c r="P67" s="6">
        <f>E67*(L67+M67*1.5+N67*2+O67*3+N(K67))</f>
        <v/>
      </c>
      <c r="Q67" s="6" t="n">
        <v>526</v>
      </c>
      <c r="R67" s="6">
        <f>Q67-P67</f>
        <v/>
      </c>
    </row>
    <row r="68">
      <c r="P68" s="2" t="inlineStr">
        <is>
          <t>2NDASSTDIRECTORS LABOR</t>
        </is>
      </c>
      <c r="R68" s="8">
        <f>SUM(R66:R67)</f>
        <v/>
      </c>
    </row>
    <row r="70">
      <c r="B70" s="2" t="inlineStr">
        <is>
          <t>SCRIPTSUPERVISOR</t>
        </is>
      </c>
    </row>
    <row r="71">
      <c r="A71" s="5" t="inlineStr">
        <is>
          <t>2005</t>
        </is>
      </c>
      <c r="B71" s="5" t="inlineStr">
        <is>
          <t>Renata Amador</t>
        </is>
      </c>
      <c r="C71" s="5" t="inlineStr">
        <is>
          <t>SCRIPTSUPERVISOR</t>
        </is>
      </c>
      <c r="D71" s="5" t="inlineStr">
        <is>
          <t>Local871</t>
        </is>
      </c>
      <c r="E71" s="6" t="n">
        <v>25.5</v>
      </c>
      <c r="F71" s="5" t="n"/>
      <c r="G71" s="5" t="n"/>
      <c r="H71" s="5" t="n"/>
      <c r="I71" s="5" t="n"/>
      <c r="J71" s="7">
        <f>IF(AND(N(F71)&gt;0,N(I71)&gt;0),I71-F71-IF(N(G71)&gt;0,0.5,0)-IF(N(H71)&gt;0,0.5,0),0)</f>
        <v/>
      </c>
      <c r="K71" s="5" t="n"/>
      <c r="L71" s="7">
        <f>MIN(J71,10.0)</f>
        <v/>
      </c>
      <c r="M71" s="7">
        <f>MAX(0,MIN(J71,12)-10.0)</f>
        <v/>
      </c>
      <c r="N71" s="7">
        <f>MAX(0,J71-12)</f>
        <v/>
      </c>
      <c r="O71" s="5" t="n"/>
      <c r="P71" s="6">
        <f>E71*(L71+M71*1.5+N71*2+O71*3+N(K71))</f>
        <v/>
      </c>
      <c r="Q71" s="6" t="n">
        <v>439.87</v>
      </c>
      <c r="R71" s="6">
        <f>Q71-P71</f>
        <v/>
      </c>
    </row>
    <row r="72">
      <c r="P72" s="2" t="inlineStr">
        <is>
          <t>SCRIPTSUPERVISOR LABOR</t>
        </is>
      </c>
      <c r="R72" s="8">
        <f>SUM(R71:R71)</f>
        <v/>
      </c>
    </row>
    <row r="74">
      <c r="B74" s="2" t="inlineStr">
        <is>
          <t>LOCATIONMANAGERS</t>
        </is>
      </c>
    </row>
    <row r="75">
      <c r="A75" s="5" t="inlineStr">
        <is>
          <t>2007</t>
        </is>
      </c>
      <c r="B75" s="5" t="inlineStr">
        <is>
          <t>Stacey Brashear-Rodriquez</t>
        </is>
      </c>
      <c r="C75" s="5" t="inlineStr">
        <is>
          <t>LOCATIONMANAGER</t>
        </is>
      </c>
      <c r="D75" s="5" t="inlineStr">
        <is>
          <t>Local399</t>
        </is>
      </c>
      <c r="E75" s="6" t="n">
        <v>557.6</v>
      </c>
      <c r="F75" s="5" t="n"/>
      <c r="G75" s="5" t="n"/>
      <c r="H75" s="5" t="n"/>
      <c r="I75" s="5" t="n"/>
      <c r="J75" s="7">
        <f>IF(AND(N(F75)&gt;0,N(I75)&gt;0),I75-F75-IF(N(G75)&gt;0,0.5,0)-IF(N(H75)&gt;0,0.5,0),0)</f>
        <v/>
      </c>
      <c r="K75" s="5" t="n"/>
      <c r="L75" s="7">
        <f>MIN(J75,8.0)</f>
        <v/>
      </c>
      <c r="M75" s="7">
        <f>MAX(0,MIN(J75,12)-8.0)</f>
        <v/>
      </c>
      <c r="N75" s="7">
        <f>MAX(0,J75-12)</f>
        <v/>
      </c>
      <c r="O75" s="5" t="n"/>
      <c r="P75" s="6">
        <f>E75*(L75+M75*1.5+N75*2+O75*3+N(K75))</f>
        <v/>
      </c>
      <c r="Q75" s="6" t="n">
        <v>557.6</v>
      </c>
      <c r="R75" s="6">
        <f>Q75-P75</f>
        <v/>
      </c>
    </row>
    <row r="76">
      <c r="P76" s="2" t="inlineStr">
        <is>
          <t>LOCATIONMANAGERS LABOR</t>
        </is>
      </c>
      <c r="R76" s="8">
        <f>SUM(R75:R75)</f>
        <v/>
      </c>
    </row>
    <row r="78">
      <c r="B78" s="2" t="inlineStr">
        <is>
          <t>ASSISTANTLOCATIONMANAGERS</t>
        </is>
      </c>
    </row>
    <row r="79">
      <c r="A79" s="5" t="inlineStr">
        <is>
          <t>2008</t>
        </is>
      </c>
      <c r="B79" s="5" t="inlineStr">
        <is>
          <t>Rich Heichel</t>
        </is>
      </c>
      <c r="C79" s="5" t="inlineStr">
        <is>
          <t>KEYASSTLOCATIONMGR#1</t>
        </is>
      </c>
      <c r="D79" s="5" t="inlineStr">
        <is>
          <t>Local399</t>
        </is>
      </c>
      <c r="E79" s="6" t="n">
        <v>334.2</v>
      </c>
      <c r="F79" s="5" t="n"/>
      <c r="G79" s="5" t="n"/>
      <c r="H79" s="5" t="n"/>
      <c r="I79" s="5" t="n"/>
      <c r="J79" s="7">
        <f>IF(AND(N(F79)&gt;0,N(I79)&gt;0),I79-F79-IF(N(G79)&gt;0,0.5,0)-IF(N(H79)&gt;0,0.5,0),0)</f>
        <v/>
      </c>
      <c r="K79" s="5" t="n"/>
      <c r="L79" s="7">
        <f>MIN(J79,8.0)</f>
        <v/>
      </c>
      <c r="M79" s="7">
        <f>MAX(0,MIN(J79,12)-8.0)</f>
        <v/>
      </c>
      <c r="N79" s="7">
        <f>MAX(0,J79-12)</f>
        <v/>
      </c>
      <c r="O79" s="5" t="n"/>
      <c r="P79" s="6">
        <f>E79*(L79+M79*1.5+N79*2+O79*3+N(K79))</f>
        <v/>
      </c>
      <c r="Q79" s="6" t="n">
        <v>334.2</v>
      </c>
      <c r="R79" s="6">
        <f>Q79-P79</f>
        <v/>
      </c>
    </row>
    <row r="80">
      <c r="A80" s="5" t="inlineStr">
        <is>
          <t>2008</t>
        </is>
      </c>
      <c r="B80" s="5" t="inlineStr">
        <is>
          <t>Jason Mc Cauley</t>
        </is>
      </c>
      <c r="C80" s="5" t="inlineStr">
        <is>
          <t>LOCATIONASST</t>
        </is>
      </c>
      <c r="D80" s="5" t="inlineStr">
        <is>
          <t>Local399</t>
        </is>
      </c>
      <c r="E80" s="6" t="n">
        <v>229</v>
      </c>
      <c r="F80" s="5" t="n"/>
      <c r="G80" s="5" t="n"/>
      <c r="H80" s="5" t="n"/>
      <c r="I80" s="5" t="n"/>
      <c r="J80" s="7">
        <f>IF(AND(N(F80)&gt;0,N(I80)&gt;0),I80-F80-IF(N(G80)&gt;0,0.5,0)-IF(N(H80)&gt;0,0.5,0),0)</f>
        <v/>
      </c>
      <c r="K80" s="5" t="n"/>
      <c r="L80" s="7">
        <f>MIN(J80,8.0)</f>
        <v/>
      </c>
      <c r="M80" s="7">
        <f>MAX(0,MIN(J80,12)-8.0)</f>
        <v/>
      </c>
      <c r="N80" s="7">
        <f>MAX(0,J80-12)</f>
        <v/>
      </c>
      <c r="O80" s="5" t="n"/>
      <c r="P80" s="6">
        <f>E80*(L80+M80*1.5+N80*2+O80*3+N(K80))</f>
        <v/>
      </c>
      <c r="Q80" s="6" t="n">
        <v>229</v>
      </c>
      <c r="R80" s="6">
        <f>Q80-P80</f>
        <v/>
      </c>
    </row>
    <row r="81">
      <c r="P81" s="2" t="inlineStr">
        <is>
          <t>ASSISTANTLOCATIONMANAGERS LABOR</t>
        </is>
      </c>
      <c r="R81" s="8">
        <f>SUM(R79:R80)</f>
        <v/>
      </c>
    </row>
    <row r="83">
      <c r="B83" s="2" t="inlineStr">
        <is>
          <t>PRODUCTIONCOORDINATOR</t>
        </is>
      </c>
    </row>
    <row r="84">
      <c r="A84" s="5" t="inlineStr">
        <is>
          <t>2009</t>
        </is>
      </c>
      <c r="B84" s="5" t="inlineStr">
        <is>
          <t>Ali Griffith</t>
        </is>
      </c>
      <c r="C84" s="5" t="inlineStr">
        <is>
          <t>PRODUCTIONOFCCOORD</t>
        </is>
      </c>
      <c r="D84" s="5" t="inlineStr"/>
      <c r="E84" s="6" t="n">
        <v>360</v>
      </c>
      <c r="F84" s="5" t="n"/>
      <c r="G84" s="5" t="n"/>
      <c r="H84" s="5" t="n"/>
      <c r="I84" s="5" t="n"/>
      <c r="J84" s="7">
        <f>IF(AND(N(F84)&gt;0,N(I84)&gt;0),I84-F84-IF(N(G84)&gt;0,0.5,0)-IF(N(H84)&gt;0,0.5,0),0)</f>
        <v/>
      </c>
      <c r="K84" s="5" t="n"/>
      <c r="L84" s="7">
        <f>MIN(J84,8.0)</f>
        <v/>
      </c>
      <c r="M84" s="7">
        <f>MAX(0,MIN(J84,12)-8.0)</f>
        <v/>
      </c>
      <c r="N84" s="7">
        <f>MAX(0,J84-12)</f>
        <v/>
      </c>
      <c r="O84" s="5" t="n"/>
      <c r="P84" s="6">
        <f>E84*(L84+M84*1.5+N84*2+O84*3+N(K84))</f>
        <v/>
      </c>
      <c r="Q84" s="6" t="n">
        <v>360</v>
      </c>
      <c r="R84" s="6">
        <f>Q84-P84</f>
        <v/>
      </c>
    </row>
    <row r="85">
      <c r="P85" s="2" t="inlineStr">
        <is>
          <t>PRODUCTIONCOORDINATOR LABOR</t>
        </is>
      </c>
      <c r="R85" s="8">
        <f>SUM(R84:R84)</f>
        <v/>
      </c>
    </row>
    <row r="87">
      <c r="B87" s="2" t="inlineStr">
        <is>
          <t>ASSTPRODUCTIONCOORDINATOR</t>
        </is>
      </c>
    </row>
    <row r="88">
      <c r="A88" s="5" t="inlineStr">
        <is>
          <t>2010</t>
        </is>
      </c>
      <c r="B88" s="5" t="inlineStr">
        <is>
          <t>Holly Dellocono</t>
        </is>
      </c>
      <c r="C88" s="5" t="inlineStr">
        <is>
          <t>APOC</t>
        </is>
      </c>
      <c r="D88" s="5" t="inlineStr">
        <is>
          <t>Local871</t>
        </is>
      </c>
      <c r="E88" s="6" t="n">
        <v>20.57</v>
      </c>
      <c r="F88" s="5" t="n"/>
      <c r="G88" s="5" t="n"/>
      <c r="H88" s="5" t="n"/>
      <c r="I88" s="5" t="n"/>
      <c r="J88" s="7">
        <f>IF(AND(N(F88)&gt;0,N(I88)&gt;0),I88-F88-IF(N(G88)&gt;0,0.5,0)-IF(N(H88)&gt;0,0.5,0),0)</f>
        <v/>
      </c>
      <c r="K88" s="5" t="n"/>
      <c r="L88" s="7">
        <f>MIN(J88,10.0)</f>
        <v/>
      </c>
      <c r="M88" s="7">
        <f>MAX(0,MIN(J88,12)-10.0)</f>
        <v/>
      </c>
      <c r="N88" s="7">
        <f>MAX(0,J88-12)</f>
        <v/>
      </c>
      <c r="O88" s="5" t="n"/>
      <c r="P88" s="6">
        <f>E88*(L88+M88*1.5+N88*2+O88*3+N(K88))</f>
        <v/>
      </c>
      <c r="Q88" s="6" t="n">
        <v>287.98</v>
      </c>
      <c r="R88" s="6">
        <f>Q88-P88</f>
        <v/>
      </c>
    </row>
    <row r="89">
      <c r="P89" s="2" t="inlineStr">
        <is>
          <t>ASSTPRODUCTIONCOORDINATOR LABOR</t>
        </is>
      </c>
      <c r="R89" s="8">
        <f>SUM(R88:R88)</f>
        <v/>
      </c>
    </row>
    <row r="91">
      <c r="B91" s="2" t="inlineStr">
        <is>
          <t>OFFICESTAFFASSISTANTS</t>
        </is>
      </c>
    </row>
    <row r="92">
      <c r="A92" s="5" t="inlineStr">
        <is>
          <t>2011</t>
        </is>
      </c>
      <c r="B92" s="5" t="inlineStr">
        <is>
          <t>John Humber</t>
        </is>
      </c>
      <c r="C92" s="5" t="inlineStr">
        <is>
          <t>OFFICEPA#1</t>
        </is>
      </c>
      <c r="D92" s="5" t="inlineStr"/>
      <c r="E92" s="6" t="n">
        <v>22.5</v>
      </c>
      <c r="F92" s="5" t="n"/>
      <c r="G92" s="5" t="n"/>
      <c r="H92" s="5" t="n"/>
      <c r="I92" s="5" t="n"/>
      <c r="J92" s="7">
        <f>IF(AND(N(F92)&gt;0,N(I92)&gt;0),I92-F92-IF(N(G92)&gt;0,0.5,0)-IF(N(H92)&gt;0,0.5,0),0)</f>
        <v/>
      </c>
      <c r="K92" s="5" t="n"/>
      <c r="L92" s="7">
        <f>MIN(J92,8.0)</f>
        <v/>
      </c>
      <c r="M92" s="7">
        <f>MAX(0,MIN(J92,12)-8.0)</f>
        <v/>
      </c>
      <c r="N92" s="7">
        <f>MAX(0,J92-12)</f>
        <v/>
      </c>
      <c r="O92" s="5" t="n"/>
      <c r="P92" s="6">
        <f>E92*(L92+M92*1.5+N92*2+O92*3+N(K92))</f>
        <v/>
      </c>
      <c r="Q92" s="6" t="n">
        <v>168</v>
      </c>
      <c r="R92" s="6">
        <f>Q92-P92</f>
        <v/>
      </c>
    </row>
    <row r="93">
      <c r="A93" s="5" t="inlineStr">
        <is>
          <t>2011</t>
        </is>
      </c>
      <c r="B93" s="5" t="inlineStr">
        <is>
          <t>Sarah Semenas</t>
        </is>
      </c>
      <c r="C93" s="5" t="inlineStr">
        <is>
          <t>OFFICEPA#2</t>
        </is>
      </c>
      <c r="D93" s="5" t="inlineStr"/>
      <c r="E93" s="6" t="n">
        <v>22.5</v>
      </c>
      <c r="F93" s="5" t="n"/>
      <c r="G93" s="5" t="n"/>
      <c r="H93" s="5" t="n"/>
      <c r="I93" s="5" t="n"/>
      <c r="J93" s="7">
        <f>IF(AND(N(F93)&gt;0,N(I93)&gt;0),I93-F93-IF(N(G93)&gt;0,0.5,0)-IF(N(H93)&gt;0,0.5,0),0)</f>
        <v/>
      </c>
      <c r="K93" s="5" t="n"/>
      <c r="L93" s="7">
        <f>MIN(J93,8.0)</f>
        <v/>
      </c>
      <c r="M93" s="7">
        <f>MAX(0,MIN(J93,12)-8.0)</f>
        <v/>
      </c>
      <c r="N93" s="7">
        <f>MAX(0,J93-12)</f>
        <v/>
      </c>
      <c r="O93" s="5" t="n"/>
      <c r="P93" s="6">
        <f>E93*(L93+M93*1.5+N93*2+O93*3+N(K93))</f>
        <v/>
      </c>
      <c r="Q93" s="6" t="n">
        <v>168</v>
      </c>
      <c r="R93" s="6">
        <f>Q93-P93</f>
        <v/>
      </c>
    </row>
    <row r="94">
      <c r="P94" s="2" t="inlineStr">
        <is>
          <t>OFFICESTAFFASSISTANTS LABOR</t>
        </is>
      </c>
      <c r="R94" s="8">
        <f>SUM(R92:R93)</f>
        <v/>
      </c>
    </row>
    <row r="96">
      <c r="B96" s="2" t="inlineStr">
        <is>
          <t>SETSTAFFASSISTANTS</t>
        </is>
      </c>
    </row>
    <row r="97">
      <c r="A97" s="5" t="inlineStr">
        <is>
          <t>2012</t>
        </is>
      </c>
      <c r="B97" s="5" t="inlineStr">
        <is>
          <t>Paula Henry</t>
        </is>
      </c>
      <c r="C97" s="5" t="inlineStr">
        <is>
          <t>KEYSETPA</t>
        </is>
      </c>
      <c r="D97" s="5" t="inlineStr"/>
      <c r="E97" s="6" t="n">
        <v>12</v>
      </c>
      <c r="F97" s="5" t="n"/>
      <c r="G97" s="5" t="n"/>
      <c r="H97" s="5" t="n"/>
      <c r="I97" s="5" t="n"/>
      <c r="J97" s="7">
        <f>IF(AND(N(F97)&gt;0,N(I97)&gt;0),I97-F97-IF(N(G97)&gt;0,0.5,0)-IF(N(H97)&gt;0,0.5,0),0)</f>
        <v/>
      </c>
      <c r="K97" s="5" t="n"/>
      <c r="L97" s="7">
        <f>MIN(J97,8.0)</f>
        <v/>
      </c>
      <c r="M97" s="7">
        <f>MAX(0,MIN(J97,12)-8.0)</f>
        <v/>
      </c>
      <c r="N97" s="7">
        <f>MAX(0,J97-12)</f>
        <v/>
      </c>
      <c r="O97" s="5" t="n"/>
      <c r="P97" s="6">
        <f>E97*(L97+M97*1.5+N97*2+O97*3+N(K97))</f>
        <v/>
      </c>
      <c r="Q97" s="6" t="n">
        <v>216</v>
      </c>
      <c r="R97" s="6">
        <f>Q97-P97</f>
        <v/>
      </c>
    </row>
    <row r="98">
      <c r="A98" s="5" t="inlineStr">
        <is>
          <t>2012</t>
        </is>
      </c>
      <c r="B98" s="5" t="inlineStr"/>
      <c r="C98" s="5" t="inlineStr">
        <is>
          <t>SETPA#2</t>
        </is>
      </c>
      <c r="D98" s="5" t="inlineStr"/>
      <c r="E98" s="6" t="n">
        <v>12</v>
      </c>
      <c r="F98" s="5" t="n"/>
      <c r="G98" s="5" t="n"/>
      <c r="H98" s="5" t="n"/>
      <c r="I98" s="5" t="n"/>
      <c r="J98" s="7">
        <f>IF(AND(N(F98)&gt;0,N(I98)&gt;0),I98-F98-IF(N(G98)&gt;0,0.5,0)-IF(N(H98)&gt;0,0.5,0),0)</f>
        <v/>
      </c>
      <c r="K98" s="5" t="n"/>
      <c r="L98" s="7">
        <f>MIN(J98,8.0)</f>
        <v/>
      </c>
      <c r="M98" s="7">
        <f>MAX(0,MIN(J98,12)-8.0)</f>
        <v/>
      </c>
      <c r="N98" s="7">
        <f>MAX(0,J98-12)</f>
        <v/>
      </c>
      <c r="O98" s="5" t="n"/>
      <c r="P98" s="6">
        <f>E98*(L98+M98*1.5+N98*2+O98*3+N(K98))</f>
        <v/>
      </c>
      <c r="Q98" s="6" t="n">
        <v>216</v>
      </c>
      <c r="R98" s="6">
        <f>Q98-P98</f>
        <v/>
      </c>
    </row>
    <row r="99">
      <c r="A99" s="5" t="inlineStr">
        <is>
          <t>2012</t>
        </is>
      </c>
      <c r="B99" s="5" t="inlineStr"/>
      <c r="C99" s="5" t="inlineStr">
        <is>
          <t>SETPA#3</t>
        </is>
      </c>
      <c r="D99" s="5" t="inlineStr"/>
      <c r="E99" s="6" t="n">
        <v>12</v>
      </c>
      <c r="F99" s="5" t="n"/>
      <c r="G99" s="5" t="n"/>
      <c r="H99" s="5" t="n"/>
      <c r="I99" s="5" t="n"/>
      <c r="J99" s="7">
        <f>IF(AND(N(F99)&gt;0,N(I99)&gt;0),I99-F99-IF(N(G99)&gt;0,0.5,0)-IF(N(H99)&gt;0,0.5,0),0)</f>
        <v/>
      </c>
      <c r="K99" s="5" t="n"/>
      <c r="L99" s="7">
        <f>MIN(J99,8.0)</f>
        <v/>
      </c>
      <c r="M99" s="7">
        <f>MAX(0,MIN(J99,12)-8.0)</f>
        <v/>
      </c>
      <c r="N99" s="7">
        <f>MAX(0,J99-12)</f>
        <v/>
      </c>
      <c r="O99" s="5" t="n"/>
      <c r="P99" s="6">
        <f>E99*(L99+M99*1.5+N99*2+O99*3+N(K99))</f>
        <v/>
      </c>
      <c r="Q99" s="6" t="n">
        <v>216</v>
      </c>
      <c r="R99" s="6">
        <f>Q99-P99</f>
        <v/>
      </c>
    </row>
    <row r="100">
      <c r="A100" s="5" t="inlineStr">
        <is>
          <t>2012</t>
        </is>
      </c>
      <c r="B100" s="5" t="inlineStr"/>
      <c r="C100" s="5" t="inlineStr">
        <is>
          <t>SETPA#4</t>
        </is>
      </c>
      <c r="D100" s="5" t="inlineStr"/>
      <c r="E100" s="6" t="n">
        <v>12</v>
      </c>
      <c r="F100" s="5" t="n"/>
      <c r="G100" s="5" t="n"/>
      <c r="H100" s="5" t="n"/>
      <c r="I100" s="5" t="n"/>
      <c r="J100" s="7">
        <f>IF(AND(N(F100)&gt;0,N(I100)&gt;0),I100-F100-IF(N(G100)&gt;0,0.5,0)-IF(N(H100)&gt;0,0.5,0),0)</f>
        <v/>
      </c>
      <c r="K100" s="5" t="n"/>
      <c r="L100" s="7">
        <f>MIN(J100,8.0)</f>
        <v/>
      </c>
      <c r="M100" s="7">
        <f>MAX(0,MIN(J100,12)-8.0)</f>
        <v/>
      </c>
      <c r="N100" s="7">
        <f>MAX(0,J100-12)</f>
        <v/>
      </c>
      <c r="O100" s="5" t="n"/>
      <c r="P100" s="6">
        <f>E100*(L100+M100*1.5+N100*2+O100*3+N(K100))</f>
        <v/>
      </c>
      <c r="Q100" s="6" t="n">
        <v>216</v>
      </c>
      <c r="R100" s="6">
        <f>Q100-P100</f>
        <v/>
      </c>
    </row>
    <row r="101">
      <c r="P101" s="2" t="inlineStr">
        <is>
          <t>SETSTAFFASSISTANTS LABOR</t>
        </is>
      </c>
      <c r="R101" s="8">
        <f>SUM(R97:R100)</f>
        <v/>
      </c>
    </row>
    <row r="103">
      <c r="B103" s="2" t="inlineStr">
        <is>
          <t>PRODUCTIONACCOUNTANT</t>
        </is>
      </c>
    </row>
    <row r="104">
      <c r="A104" s="5" t="inlineStr">
        <is>
          <t>2013</t>
        </is>
      </c>
      <c r="B104" s="5" t="inlineStr">
        <is>
          <t>Joel Tokarsky</t>
        </is>
      </c>
      <c r="C104" s="5" t="inlineStr">
        <is>
          <t>PRODUCTIONACCOUNTANT</t>
        </is>
      </c>
      <c r="D104" s="5" t="inlineStr">
        <is>
          <t>Local871</t>
        </is>
      </c>
      <c r="E104" s="6" t="n">
        <v>740</v>
      </c>
      <c r="F104" s="5" t="n"/>
      <c r="G104" s="5" t="n"/>
      <c r="H104" s="5" t="n"/>
      <c r="I104" s="5" t="n"/>
      <c r="J104" s="7">
        <f>IF(AND(N(F104)&gt;0,N(I104)&gt;0),I104-F104-IF(N(G104)&gt;0,0.5,0)-IF(N(H104)&gt;0,0.5,0),0)</f>
        <v/>
      </c>
      <c r="K104" s="5" t="n"/>
      <c r="L104" s="7">
        <f>MIN(J104,10.0)</f>
        <v/>
      </c>
      <c r="M104" s="7">
        <f>MAX(0,MIN(J104,12)-10.0)</f>
        <v/>
      </c>
      <c r="N104" s="7">
        <f>MAX(0,J104-12)</f>
        <v/>
      </c>
      <c r="O104" s="5" t="n"/>
      <c r="P104" s="6">
        <f>E104*(L104+M104*1.5+N104*2+O104*3+N(K104))</f>
        <v/>
      </c>
      <c r="Q104" s="6" t="n">
        <v>740</v>
      </c>
      <c r="R104" s="6">
        <f>Q104-P104</f>
        <v/>
      </c>
    </row>
    <row r="105">
      <c r="P105" s="2" t="inlineStr">
        <is>
          <t>PRODUCTIONACCOUNTANT LABOR</t>
        </is>
      </c>
      <c r="R105" s="8">
        <f>SUM(R104:R104)</f>
        <v/>
      </c>
    </row>
    <row r="107">
      <c r="B107" s="2" t="inlineStr">
        <is>
          <t>ASSTPRODUCTIONACCOUNTANTS</t>
        </is>
      </c>
    </row>
    <row r="108">
      <c r="A108" s="5" t="inlineStr">
        <is>
          <t>2014</t>
        </is>
      </c>
      <c r="B108" s="5" t="inlineStr">
        <is>
          <t>Co-Co Aiello</t>
        </is>
      </c>
      <c r="C108" s="5" t="inlineStr">
        <is>
          <t>1STASSTACCT</t>
        </is>
      </c>
      <c r="D108" s="5" t="inlineStr">
        <is>
          <t>Local871</t>
        </is>
      </c>
      <c r="E108" s="6" t="n">
        <v>480</v>
      </c>
      <c r="F108" s="5" t="n"/>
      <c r="G108" s="5" t="n"/>
      <c r="H108" s="5" t="n"/>
      <c r="I108" s="5" t="n"/>
      <c r="J108" s="7">
        <f>IF(AND(N(F108)&gt;0,N(I108)&gt;0),I108-F108-IF(N(G108)&gt;0,0.5,0)-IF(N(H108)&gt;0,0.5,0),0)</f>
        <v/>
      </c>
      <c r="K108" s="5" t="n"/>
      <c r="L108" s="7">
        <f>MIN(J108,10.0)</f>
        <v/>
      </c>
      <c r="M108" s="7">
        <f>MAX(0,MIN(J108,12)-10.0)</f>
        <v/>
      </c>
      <c r="N108" s="7">
        <f>MAX(0,J108-12)</f>
        <v/>
      </c>
      <c r="O108" s="5" t="n"/>
      <c r="P108" s="6">
        <f>E108*(L108+M108*1.5+N108*2+O108*3+N(K108))</f>
        <v/>
      </c>
      <c r="Q108" s="6" t="n">
        <v>480</v>
      </c>
      <c r="R108" s="6">
        <f>Q108-P108</f>
        <v/>
      </c>
    </row>
    <row r="109">
      <c r="A109" s="5" t="inlineStr">
        <is>
          <t>2014</t>
        </is>
      </c>
      <c r="B109" s="5" t="inlineStr">
        <is>
          <t>Steve Goldstein</t>
        </is>
      </c>
      <c r="C109" s="5" t="inlineStr">
        <is>
          <t>PAYROLLACCT</t>
        </is>
      </c>
      <c r="D109" s="5" t="inlineStr">
        <is>
          <t>Local871</t>
        </is>
      </c>
      <c r="E109" s="6" t="n">
        <v>420</v>
      </c>
      <c r="F109" s="5" t="n"/>
      <c r="G109" s="5" t="n"/>
      <c r="H109" s="5" t="n"/>
      <c r="I109" s="5" t="n"/>
      <c r="J109" s="7">
        <f>IF(AND(N(F109)&gt;0,N(I109)&gt;0),I109-F109-IF(N(G109)&gt;0,0.5,0)-IF(N(H109)&gt;0,0.5,0),0)</f>
        <v/>
      </c>
      <c r="K109" s="5" t="n"/>
      <c r="L109" s="7">
        <f>MIN(J109,10.0)</f>
        <v/>
      </c>
      <c r="M109" s="7">
        <f>MAX(0,MIN(J109,12)-10.0)</f>
        <v/>
      </c>
      <c r="N109" s="7">
        <f>MAX(0,J109-12)</f>
        <v/>
      </c>
      <c r="O109" s="5" t="n"/>
      <c r="P109" s="6">
        <f>E109*(L109+M109*1.5+N109*2+O109*3+N(K109))</f>
        <v/>
      </c>
      <c r="Q109" s="6" t="n">
        <v>420</v>
      </c>
      <c r="R109" s="6">
        <f>Q109-P109</f>
        <v/>
      </c>
    </row>
    <row r="110">
      <c r="P110" s="2" t="inlineStr">
        <is>
          <t>ASSTPRODUCTIONACCOUNTANTS LABOR</t>
        </is>
      </c>
      <c r="R110" s="8">
        <f>SUM(R108:R109)</f>
        <v/>
      </c>
    </row>
    <row r="112">
      <c r="B112" s="2" t="inlineStr">
        <is>
          <t>CONSTRUCTIONCOORDINATOR</t>
        </is>
      </c>
    </row>
    <row r="113">
      <c r="A113" s="5" t="inlineStr">
        <is>
          <t>2302</t>
        </is>
      </c>
      <c r="B113" s="5" t="inlineStr">
        <is>
          <t>Drew Rebelin</t>
        </is>
      </c>
      <c r="C113" s="5" t="inlineStr">
        <is>
          <t>CONSTCOORDINATOR</t>
        </is>
      </c>
      <c r="D113" s="5" t="inlineStr">
        <is>
          <t>Local44</t>
        </is>
      </c>
      <c r="E113" s="6" t="n">
        <v>400</v>
      </c>
      <c r="F113" s="5" t="n"/>
      <c r="G113" s="5" t="n"/>
      <c r="H113" s="5" t="n"/>
      <c r="I113" s="5" t="n"/>
      <c r="J113" s="7">
        <f>IF(AND(N(F113)&gt;0,N(I113)&gt;0),I113-F113-IF(N(G113)&gt;0,0.5,0)-IF(N(H113)&gt;0,0.5,0),0)</f>
        <v/>
      </c>
      <c r="K113" s="5" t="n"/>
      <c r="L113" s="7">
        <f>MIN(J113,10.0)</f>
        <v/>
      </c>
      <c r="M113" s="7">
        <f>MAX(0,MIN(J113,12)-10.0)</f>
        <v/>
      </c>
      <c r="N113" s="7">
        <f>MAX(0,J113-12)</f>
        <v/>
      </c>
      <c r="O113" s="5" t="n"/>
      <c r="P113" s="6">
        <f>E113*(L113+M113*1.5+N113*2+O113*3+N(K113))</f>
        <v/>
      </c>
      <c r="Q113" s="5" t="n"/>
      <c r="R113" s="6">
        <f>Q113-P113</f>
        <v/>
      </c>
    </row>
    <row r="114">
      <c r="P114" s="2" t="inlineStr">
        <is>
          <t>CONSTRUCTIONCOORDINATOR LABOR</t>
        </is>
      </c>
      <c r="R114" s="8">
        <f>SUM(R113:R113)</f>
        <v/>
      </c>
    </row>
    <row r="116">
      <c r="B116" s="2" t="inlineStr">
        <is>
          <t>PAINTFOREMAN</t>
        </is>
      </c>
    </row>
    <row r="117">
      <c r="A117" s="5" t="inlineStr">
        <is>
          <t>2304</t>
        </is>
      </c>
      <c r="B117" s="5" t="inlineStr">
        <is>
          <t>Kristeen Reimnitz</t>
        </is>
      </c>
      <c r="C117" s="5" t="inlineStr">
        <is>
          <t>PAINTER</t>
        </is>
      </c>
      <c r="D117" s="5" t="inlineStr">
        <is>
          <t>Local729</t>
        </is>
      </c>
      <c r="E117" s="6" t="n">
        <v>23.04</v>
      </c>
      <c r="F117" s="5" t="n"/>
      <c r="G117" s="5" t="n"/>
      <c r="H117" s="5" t="n"/>
      <c r="I117" s="5" t="n"/>
      <c r="J117" s="7">
        <f>IF(AND(N(F117)&gt;0,N(I117)&gt;0),I117-F117-IF(N(G117)&gt;0,0.5,0)-IF(N(H117)&gt;0,0.5,0),0)</f>
        <v/>
      </c>
      <c r="K117" s="5" t="n"/>
      <c r="L117" s="7">
        <f>MIN(J117,10.0)</f>
        <v/>
      </c>
      <c r="M117" s="7">
        <f>MAX(0,MIN(J117,12)-10.0)</f>
        <v/>
      </c>
      <c r="N117" s="7">
        <f>MAX(0,J117-12)</f>
        <v/>
      </c>
      <c r="O117" s="5" t="n"/>
      <c r="P117" s="6">
        <f>E117*(L117+M117*1.5+N117*2+O117*3+N(K117))</f>
        <v/>
      </c>
      <c r="Q117" s="5" t="n"/>
      <c r="R117" s="6">
        <f>Q117-P117</f>
        <v/>
      </c>
    </row>
    <row r="118">
      <c r="P118" s="2" t="inlineStr">
        <is>
          <t>PAINTFOREMAN LABOR</t>
        </is>
      </c>
      <c r="R118" s="8">
        <f>SUM(R117:R117)</f>
        <v/>
      </c>
    </row>
    <row r="120">
      <c r="B120" s="2" t="inlineStr">
        <is>
          <t>FIRSTAIDLABOR</t>
        </is>
      </c>
    </row>
    <row r="121">
      <c r="A121" s="5" t="inlineStr">
        <is>
          <t>2310</t>
        </is>
      </c>
      <c r="B121" s="5" t="inlineStr"/>
      <c r="C121" s="5" t="inlineStr">
        <is>
          <t>CONSTRUCTIONMEDIC</t>
        </is>
      </c>
      <c r="D121" s="5" t="inlineStr">
        <is>
          <t>Local80</t>
        </is>
      </c>
      <c r="E121" s="6" t="n">
        <v>23.04</v>
      </c>
      <c r="F121" s="5" t="n"/>
      <c r="G121" s="5" t="n"/>
      <c r="H121" s="5" t="n"/>
      <c r="I121" s="5" t="n"/>
      <c r="J121" s="7">
        <f>IF(AND(N(F121)&gt;0,N(I121)&gt;0),I121-F121-IF(N(G121)&gt;0,0.5,0)-IF(N(H121)&gt;0,0.5,0),0)</f>
        <v/>
      </c>
      <c r="K121" s="5" t="n"/>
      <c r="L121" s="7">
        <f>MIN(J121,10.0)</f>
        <v/>
      </c>
      <c r="M121" s="7">
        <f>MAX(0,MIN(J121,12)-10.0)</f>
        <v/>
      </c>
      <c r="N121" s="7">
        <f>MAX(0,J121-12)</f>
        <v/>
      </c>
      <c r="O121" s="5" t="n"/>
      <c r="P121" s="6">
        <f>E121*(L121+M121*1.5+N121*2+O121*3+N(K121))</f>
        <v/>
      </c>
      <c r="Q121" s="5" t="n"/>
      <c r="R121" s="6">
        <f>Q121-P121</f>
        <v/>
      </c>
    </row>
    <row r="122">
      <c r="P122" s="2" t="inlineStr">
        <is>
          <t>FIRSTAIDLABOR LABOR</t>
        </is>
      </c>
      <c r="R122" s="8">
        <f>SUM(R121:R121)</f>
        <v/>
      </c>
    </row>
    <row r="124">
      <c r="B124" s="2" t="inlineStr">
        <is>
          <t>KEYGRIP</t>
        </is>
      </c>
    </row>
    <row r="125">
      <c r="A125" s="5" t="inlineStr">
        <is>
          <t>2501</t>
        </is>
      </c>
      <c r="B125" s="5" t="inlineStr">
        <is>
          <t>Pat O'Mara</t>
        </is>
      </c>
      <c r="C125" s="5" t="inlineStr">
        <is>
          <t>KEYGRIP</t>
        </is>
      </c>
      <c r="D125" s="5" t="inlineStr">
        <is>
          <t>Local80</t>
        </is>
      </c>
      <c r="E125" s="6" t="n">
        <v>25.5</v>
      </c>
      <c r="F125" s="5" t="n"/>
      <c r="G125" s="5" t="n"/>
      <c r="H125" s="5" t="n"/>
      <c r="I125" s="5" t="n"/>
      <c r="J125" s="7">
        <f>IF(AND(N(F125)&gt;0,N(I125)&gt;0),I125-F125-IF(N(G125)&gt;0,0.5,0)-IF(N(H125)&gt;0,0.5,0),0)</f>
        <v/>
      </c>
      <c r="K125" s="5" t="n"/>
      <c r="L125" s="7">
        <f>MIN(J125,10.0)</f>
        <v/>
      </c>
      <c r="M125" s="7">
        <f>MAX(0,MIN(J125,12)-10.0)</f>
        <v/>
      </c>
      <c r="N125" s="7">
        <f>MAX(0,J125-12)</f>
        <v/>
      </c>
      <c r="O125" s="5" t="n"/>
      <c r="P125" s="6">
        <f>E125*(L125+M125*1.5+N125*2+O125*3+N(K125))</f>
        <v/>
      </c>
      <c r="Q125" s="6" t="n">
        <v>395.25</v>
      </c>
      <c r="R125" s="6">
        <f>Q125-P125</f>
        <v/>
      </c>
    </row>
    <row r="126">
      <c r="P126" s="2" t="inlineStr">
        <is>
          <t>KEYGRIP LABOR</t>
        </is>
      </c>
      <c r="R126" s="8">
        <f>SUM(R125:R125)</f>
        <v/>
      </c>
    </row>
    <row r="128">
      <c r="B128" s="2" t="inlineStr">
        <is>
          <t>BESTBOYGRIP</t>
        </is>
      </c>
    </row>
    <row r="129">
      <c r="A129" s="5" t="inlineStr">
        <is>
          <t>2502</t>
        </is>
      </c>
      <c r="B129" s="5" t="inlineStr">
        <is>
          <t>Aaron Fairley</t>
        </is>
      </c>
      <c r="C129" s="5" t="inlineStr">
        <is>
          <t>BESTBOYGRIP</t>
        </is>
      </c>
      <c r="D129" s="5" t="inlineStr">
        <is>
          <t>Local80</t>
        </is>
      </c>
      <c r="E129" s="6" t="n">
        <v>23.04</v>
      </c>
      <c r="F129" s="5" t="n"/>
      <c r="G129" s="5" t="n"/>
      <c r="H129" s="5" t="n"/>
      <c r="I129" s="5" t="n"/>
      <c r="J129" s="7">
        <f>IF(AND(N(F129)&gt;0,N(I129)&gt;0),I129-F129-IF(N(G129)&gt;0,0.5,0)-IF(N(H129)&gt;0,0.5,0),0)</f>
        <v/>
      </c>
      <c r="K129" s="5" t="n"/>
      <c r="L129" s="7">
        <f>MIN(J129,10.0)</f>
        <v/>
      </c>
      <c r="M129" s="7">
        <f>MAX(0,MIN(J129,12)-10.0)</f>
        <v/>
      </c>
      <c r="N129" s="7">
        <f>MAX(0,J129-12)</f>
        <v/>
      </c>
      <c r="O129" s="5" t="n"/>
      <c r="P129" s="6">
        <f>E129*(L129+M129*1.5+N129*2+O129*3+N(K129))</f>
        <v/>
      </c>
      <c r="Q129" s="6" t="n">
        <v>357.12</v>
      </c>
      <c r="R129" s="6">
        <f>Q129-P129</f>
        <v/>
      </c>
    </row>
    <row r="130">
      <c r="A130" s="5" t="inlineStr">
        <is>
          <t>2502</t>
        </is>
      </c>
      <c r="B130" s="5" t="inlineStr"/>
      <c r="C130" s="5" t="inlineStr">
        <is>
          <t>STUDIOBESTBOYGRIP</t>
        </is>
      </c>
      <c r="D130" s="5" t="inlineStr">
        <is>
          <t>Local80</t>
        </is>
      </c>
      <c r="E130" s="6" t="n">
        <v>43.05</v>
      </c>
      <c r="F130" s="5" t="n"/>
      <c r="G130" s="5" t="n"/>
      <c r="H130" s="5" t="n"/>
      <c r="I130" s="5" t="n"/>
      <c r="J130" s="7">
        <f>IF(AND(N(F130)&gt;0,N(I130)&gt;0),I130-F130-IF(N(G130)&gt;0,0.5,0)-IF(N(H130)&gt;0,0.5,0),0)</f>
        <v/>
      </c>
      <c r="K130" s="5" t="n"/>
      <c r="L130" s="7">
        <f>MIN(J130,10.0)</f>
        <v/>
      </c>
      <c r="M130" s="7">
        <f>MAX(0,MIN(J130,12)-10.0)</f>
        <v/>
      </c>
      <c r="N130" s="7">
        <f>MAX(0,J130-12)</f>
        <v/>
      </c>
      <c r="O130" s="5" t="n"/>
      <c r="P130" s="6">
        <f>E130*(L130+M130*1.5+N130*2+O130*3+N(K130))</f>
        <v/>
      </c>
      <c r="Q130" s="6" t="n">
        <v>667.27</v>
      </c>
      <c r="R130" s="6">
        <f>Q130-P130</f>
        <v/>
      </c>
    </row>
    <row r="131">
      <c r="P131" s="2" t="inlineStr">
        <is>
          <t>BESTBOYGRIP LABOR</t>
        </is>
      </c>
      <c r="R131" s="8">
        <f>SUM(R129:R130)</f>
        <v/>
      </c>
    </row>
    <row r="133">
      <c r="B133" s="2" t="inlineStr">
        <is>
          <t>DOLLYGRIP</t>
        </is>
      </c>
    </row>
    <row r="134">
      <c r="A134" s="5" t="inlineStr">
        <is>
          <t>2503</t>
        </is>
      </c>
      <c r="B134" s="5" t="inlineStr">
        <is>
          <t>Peter Weidenfeller</t>
        </is>
      </c>
      <c r="C134" s="5" t="inlineStr">
        <is>
          <t>"A"DOLLYGRIP</t>
        </is>
      </c>
      <c r="D134" s="5" t="inlineStr">
        <is>
          <t>Local80</t>
        </is>
      </c>
      <c r="E134" s="6" t="n">
        <v>23.04</v>
      </c>
      <c r="F134" s="5" t="n"/>
      <c r="G134" s="5" t="n"/>
      <c r="H134" s="5" t="n"/>
      <c r="I134" s="5" t="n"/>
      <c r="J134" s="7">
        <f>IF(AND(N(F134)&gt;0,N(I134)&gt;0),I134-F134-IF(N(G134)&gt;0,0.5,0)-IF(N(H134)&gt;0,0.5,0),0)</f>
        <v/>
      </c>
      <c r="K134" s="5" t="n"/>
      <c r="L134" s="7">
        <f>MIN(J134,10.0)</f>
        <v/>
      </c>
      <c r="M134" s="7">
        <f>MAX(0,MIN(J134,12)-10.0)</f>
        <v/>
      </c>
      <c r="N134" s="7">
        <f>MAX(0,J134-12)</f>
        <v/>
      </c>
      <c r="O134" s="5" t="n"/>
      <c r="P134" s="6">
        <f>E134*(L134+M134*1.5+N134*2+O134*3+N(K134))</f>
        <v/>
      </c>
      <c r="Q134" s="6" t="n">
        <v>357.12</v>
      </c>
      <c r="R134" s="6">
        <f>Q134-P134</f>
        <v/>
      </c>
    </row>
    <row r="135">
      <c r="P135" s="2" t="inlineStr">
        <is>
          <t>DOLLYGRIP LABOR</t>
        </is>
      </c>
      <c r="R135" s="8">
        <f>SUM(R134:R134)</f>
        <v/>
      </c>
    </row>
    <row r="137">
      <c r="B137" s="2" t="inlineStr">
        <is>
          <t>CRANEGRIPS</t>
        </is>
      </c>
    </row>
    <row r="138">
      <c r="A138" s="5" t="inlineStr">
        <is>
          <t>2504</t>
        </is>
      </c>
      <c r="B138" s="5" t="inlineStr"/>
      <c r="C138" s="5" t="inlineStr">
        <is>
          <t>CRANEOPERATOR</t>
        </is>
      </c>
      <c r="D138" s="5" t="inlineStr">
        <is>
          <t>Local80</t>
        </is>
      </c>
      <c r="E138" s="6" t="n">
        <v>792</v>
      </c>
      <c r="F138" s="5" t="n"/>
      <c r="G138" s="5" t="n"/>
      <c r="H138" s="5" t="n"/>
      <c r="I138" s="5" t="n"/>
      <c r="J138" s="7">
        <f>IF(AND(N(F138)&gt;0,N(I138)&gt;0),I138-F138-IF(N(G138)&gt;0,0.5,0)-IF(N(H138)&gt;0,0.5,0),0)</f>
        <v/>
      </c>
      <c r="K138" s="5" t="n"/>
      <c r="L138" s="7">
        <f>MIN(J138,10.0)</f>
        <v/>
      </c>
      <c r="M138" s="7">
        <f>MAX(0,MIN(J138,12)-10.0)</f>
        <v/>
      </c>
      <c r="N138" s="7">
        <f>MAX(0,J138-12)</f>
        <v/>
      </c>
      <c r="O138" s="5" t="n"/>
      <c r="P138" s="6">
        <f>E138*(L138+M138*1.5+N138*2+O138*3+N(K138))</f>
        <v/>
      </c>
      <c r="Q138" s="6" t="n">
        <v>924</v>
      </c>
      <c r="R138" s="6">
        <f>Q138-P138</f>
        <v/>
      </c>
    </row>
    <row r="139">
      <c r="A139" s="5" t="inlineStr">
        <is>
          <t>2504</t>
        </is>
      </c>
      <c r="B139" s="5" t="inlineStr"/>
      <c r="C139" s="5" t="inlineStr">
        <is>
          <t>CRANEASSISTANT</t>
        </is>
      </c>
      <c r="D139" s="5" t="inlineStr">
        <is>
          <t>Local80</t>
        </is>
      </c>
      <c r="E139" s="6" t="n">
        <v>660</v>
      </c>
      <c r="F139" s="5" t="n"/>
      <c r="G139" s="5" t="n"/>
      <c r="H139" s="5" t="n"/>
      <c r="I139" s="5" t="n"/>
      <c r="J139" s="7">
        <f>IF(AND(N(F139)&gt;0,N(I139)&gt;0),I139-F139-IF(N(G139)&gt;0,0.5,0)-IF(N(H139)&gt;0,0.5,0),0)</f>
        <v/>
      </c>
      <c r="K139" s="5" t="n"/>
      <c r="L139" s="7">
        <f>MIN(J139,10.0)</f>
        <v/>
      </c>
      <c r="M139" s="7">
        <f>MAX(0,MIN(J139,12)-10.0)</f>
        <v/>
      </c>
      <c r="N139" s="7">
        <f>MAX(0,J139-12)</f>
        <v/>
      </c>
      <c r="O139" s="5" t="n"/>
      <c r="P139" s="6">
        <f>E139*(L139+M139*1.5+N139*2+O139*3+N(K139))</f>
        <v/>
      </c>
      <c r="Q139" s="6" t="n">
        <v>770</v>
      </c>
      <c r="R139" s="6">
        <f>Q139-P139</f>
        <v/>
      </c>
    </row>
    <row r="140">
      <c r="P140" s="2" t="inlineStr">
        <is>
          <t>CRANEGRIPS LABOR</t>
        </is>
      </c>
      <c r="R140" s="8">
        <f>SUM(R138:R139)</f>
        <v/>
      </c>
    </row>
    <row r="142">
      <c r="B142" s="2" t="inlineStr">
        <is>
          <t>COMPANYGRIPS</t>
        </is>
      </c>
    </row>
    <row r="143">
      <c r="A143" s="5" t="inlineStr">
        <is>
          <t>2505</t>
        </is>
      </c>
      <c r="B143" s="5" t="inlineStr"/>
      <c r="C143" s="5" t="inlineStr">
        <is>
          <t>GRIP#1</t>
        </is>
      </c>
      <c r="D143" s="5" t="inlineStr">
        <is>
          <t>Local80</t>
        </is>
      </c>
      <c r="E143" s="6" t="n">
        <v>20.57</v>
      </c>
      <c r="F143" s="5" t="n"/>
      <c r="G143" s="5" t="n"/>
      <c r="H143" s="5" t="n"/>
      <c r="I143" s="5" t="n"/>
      <c r="J143" s="7">
        <f>IF(AND(N(F143)&gt;0,N(I143)&gt;0),I143-F143-IF(N(G143)&gt;0,0.5,0)-IF(N(H143)&gt;0,0.5,0),0)</f>
        <v/>
      </c>
      <c r="K143" s="5" t="n"/>
      <c r="L143" s="7">
        <f>MIN(J143,10.0)</f>
        <v/>
      </c>
      <c r="M143" s="7">
        <f>MAX(0,MIN(J143,12)-10.0)</f>
        <v/>
      </c>
      <c r="N143" s="7">
        <f>MAX(0,J143-12)</f>
        <v/>
      </c>
      <c r="O143" s="5" t="n"/>
      <c r="P143" s="6">
        <f>E143*(L143+M143*1.5+N143*2+O143*3+N(K143))</f>
        <v/>
      </c>
      <c r="Q143" s="6" t="n">
        <v>318.83</v>
      </c>
      <c r="R143" s="6">
        <f>Q143-P143</f>
        <v/>
      </c>
    </row>
    <row r="144">
      <c r="A144" s="5" t="inlineStr">
        <is>
          <t>2505</t>
        </is>
      </c>
      <c r="B144" s="5" t="inlineStr"/>
      <c r="C144" s="5" t="inlineStr">
        <is>
          <t>GRIP#2</t>
        </is>
      </c>
      <c r="D144" s="5" t="inlineStr">
        <is>
          <t>Local80</t>
        </is>
      </c>
      <c r="E144" s="6" t="n">
        <v>20.57</v>
      </c>
      <c r="F144" s="5" t="n"/>
      <c r="G144" s="5" t="n"/>
      <c r="H144" s="5" t="n"/>
      <c r="I144" s="5" t="n"/>
      <c r="J144" s="7">
        <f>IF(AND(N(F144)&gt;0,N(I144)&gt;0),I144-F144-IF(N(G144)&gt;0,0.5,0)-IF(N(H144)&gt;0,0.5,0),0)</f>
        <v/>
      </c>
      <c r="K144" s="5" t="n"/>
      <c r="L144" s="7">
        <f>MIN(J144,10.0)</f>
        <v/>
      </c>
      <c r="M144" s="7">
        <f>MAX(0,MIN(J144,12)-10.0)</f>
        <v/>
      </c>
      <c r="N144" s="7">
        <f>MAX(0,J144-12)</f>
        <v/>
      </c>
      <c r="O144" s="5" t="n"/>
      <c r="P144" s="6">
        <f>E144*(L144+M144*1.5+N144*2+O144*3+N(K144))</f>
        <v/>
      </c>
      <c r="Q144" s="6" t="n">
        <v>318.83</v>
      </c>
      <c r="R144" s="6">
        <f>Q144-P144</f>
        <v/>
      </c>
    </row>
    <row r="145">
      <c r="A145" s="5" t="inlineStr">
        <is>
          <t>2505</t>
        </is>
      </c>
      <c r="B145" s="5" t="inlineStr"/>
      <c r="C145" s="5" t="inlineStr">
        <is>
          <t>GRIP#3</t>
        </is>
      </c>
      <c r="D145" s="5" t="inlineStr">
        <is>
          <t>Local80</t>
        </is>
      </c>
      <c r="E145" s="6" t="n">
        <v>20.57</v>
      </c>
      <c r="F145" s="5" t="n"/>
      <c r="G145" s="5" t="n"/>
      <c r="H145" s="5" t="n"/>
      <c r="I145" s="5" t="n"/>
      <c r="J145" s="7">
        <f>IF(AND(N(F145)&gt;0,N(I145)&gt;0),I145-F145-IF(N(G145)&gt;0,0.5,0)-IF(N(H145)&gt;0,0.5,0),0)</f>
        <v/>
      </c>
      <c r="K145" s="5" t="n"/>
      <c r="L145" s="7">
        <f>MIN(J145,10.0)</f>
        <v/>
      </c>
      <c r="M145" s="7">
        <f>MAX(0,MIN(J145,12)-10.0)</f>
        <v/>
      </c>
      <c r="N145" s="7">
        <f>MAX(0,J145-12)</f>
        <v/>
      </c>
      <c r="O145" s="5" t="n"/>
      <c r="P145" s="6">
        <f>E145*(L145+M145*1.5+N145*2+O145*3+N(K145))</f>
        <v/>
      </c>
      <c r="Q145" s="6" t="n">
        <v>318.83</v>
      </c>
      <c r="R145" s="6">
        <f>Q145-P145</f>
        <v/>
      </c>
    </row>
    <row r="146">
      <c r="P146" s="2" t="inlineStr">
        <is>
          <t>COMPANYGRIPS LABOR</t>
        </is>
      </c>
      <c r="R146" s="8">
        <f>SUM(R143:R145)</f>
        <v/>
      </c>
    </row>
    <row r="148">
      <c r="B148" s="2" t="inlineStr">
        <is>
          <t>OTHERLABOR</t>
        </is>
      </c>
    </row>
    <row r="149">
      <c r="A149" s="5" t="inlineStr">
        <is>
          <t>2506</t>
        </is>
      </c>
      <c r="B149" s="5" t="inlineStr"/>
      <c r="C149" s="5" t="inlineStr">
        <is>
          <t>GRIPMANDAYS&amp;RIGGINGMANDAYS</t>
        </is>
      </c>
      <c r="D149" s="5" t="inlineStr">
        <is>
          <t>Local80</t>
        </is>
      </c>
      <c r="E149" s="6" t="n">
        <v>20.57</v>
      </c>
      <c r="F149" s="5" t="n"/>
      <c r="G149" s="5" t="n"/>
      <c r="H149" s="5" t="n"/>
      <c r="I149" s="5" t="n"/>
      <c r="J149" s="7">
        <f>IF(AND(N(F149)&gt;0,N(I149)&gt;0),I149-F149-IF(N(G149)&gt;0,0.5,0)-IF(N(H149)&gt;0,0.5,0),0)</f>
        <v/>
      </c>
      <c r="K149" s="5" t="n"/>
      <c r="L149" s="7">
        <f>MIN(J149,10.0)</f>
        <v/>
      </c>
      <c r="M149" s="7">
        <f>MAX(0,MIN(J149,12)-10.0)</f>
        <v/>
      </c>
      <c r="N149" s="7">
        <f>MAX(0,J149-12)</f>
        <v/>
      </c>
      <c r="O149" s="5" t="n"/>
      <c r="P149" s="6">
        <f>E149*(L149+M149*1.5+N149*2+O149*3+N(K149))</f>
        <v/>
      </c>
      <c r="Q149" s="6" t="n">
        <v>318.83</v>
      </c>
      <c r="R149" s="6">
        <f>Q149-P149</f>
        <v/>
      </c>
    </row>
    <row r="150">
      <c r="P150" s="2" t="inlineStr">
        <is>
          <t>OTHERLABOR LABOR</t>
        </is>
      </c>
      <c r="R150" s="8">
        <f>SUM(R149:R149)</f>
        <v/>
      </c>
    </row>
    <row r="152">
      <c r="B152" s="2" t="inlineStr">
        <is>
          <t>STANDBYLABOR</t>
        </is>
      </c>
    </row>
    <row r="153">
      <c r="A153" s="5" t="inlineStr">
        <is>
          <t>2510</t>
        </is>
      </c>
      <c r="B153" s="5" t="inlineStr"/>
      <c r="C153" s="5" t="inlineStr">
        <is>
          <t>LAYOUTBOARD</t>
        </is>
      </c>
      <c r="D153" s="5" t="inlineStr">
        <is>
          <t>Local729</t>
        </is>
      </c>
      <c r="E153" s="6" t="n">
        <v>25.5</v>
      </c>
      <c r="F153" s="5" t="n"/>
      <c r="G153" s="5" t="n"/>
      <c r="H153" s="5" t="n"/>
      <c r="I153" s="5" t="n"/>
      <c r="J153" s="7">
        <f>IF(AND(N(F153)&gt;0,N(I153)&gt;0),I153-F153-IF(N(G153)&gt;0,0.5,0)-IF(N(H153)&gt;0,0.5,0),0)</f>
        <v/>
      </c>
      <c r="K153" s="5" t="n"/>
      <c r="L153" s="7">
        <f>MIN(J153,10.0)</f>
        <v/>
      </c>
      <c r="M153" s="7">
        <f>MAX(0,MIN(J153,12)-10.0)</f>
        <v/>
      </c>
      <c r="N153" s="7">
        <f>MAX(0,J153-12)</f>
        <v/>
      </c>
      <c r="O153" s="5" t="n"/>
      <c r="P153" s="6">
        <f>E153*(L153+M153*1.5+N153*2+O153*3+N(K153))</f>
        <v/>
      </c>
      <c r="Q153" s="6" t="n">
        <v>395.25</v>
      </c>
      <c r="R153" s="6">
        <f>Q153-P153</f>
        <v/>
      </c>
    </row>
    <row r="154">
      <c r="P154" s="2" t="inlineStr">
        <is>
          <t>STANDBYLABOR LABOR</t>
        </is>
      </c>
      <c r="R154" s="8">
        <f>SUM(R153:R153)</f>
        <v/>
      </c>
    </row>
    <row r="156">
      <c r="B156" s="2" t="inlineStr">
        <is>
          <t>SETCRAFTSERVICELABOR</t>
        </is>
      </c>
    </row>
    <row r="157">
      <c r="A157" s="5" t="inlineStr">
        <is>
          <t>2511</t>
        </is>
      </c>
      <c r="B157" s="5" t="inlineStr">
        <is>
          <t>Maurico Solis</t>
        </is>
      </c>
      <c r="C157" s="5" t="inlineStr">
        <is>
          <t>KEYCRAFTSERVICE</t>
        </is>
      </c>
      <c r="D157" s="5" t="inlineStr">
        <is>
          <t>Local80</t>
        </is>
      </c>
      <c r="E157" s="6" t="n">
        <v>25.5</v>
      </c>
      <c r="F157" s="5" t="n"/>
      <c r="G157" s="5" t="n"/>
      <c r="H157" s="5" t="n"/>
      <c r="I157" s="5" t="n"/>
      <c r="J157" s="7">
        <f>IF(AND(N(F157)&gt;0,N(I157)&gt;0),I157-F157-IF(N(G157)&gt;0,0.5,0)-IF(N(H157)&gt;0,0.5,0),0)</f>
        <v/>
      </c>
      <c r="K157" s="5" t="n"/>
      <c r="L157" s="7">
        <f>MIN(J157,10.0)</f>
        <v/>
      </c>
      <c r="M157" s="7">
        <f>MAX(0,MIN(J157,12)-10.0)</f>
        <v/>
      </c>
      <c r="N157" s="7">
        <f>MAX(0,J157-12)</f>
        <v/>
      </c>
      <c r="O157" s="5" t="n"/>
      <c r="P157" s="6">
        <f>E157*(L157+M157*1.5+N157*2+O157*3+N(K157))</f>
        <v/>
      </c>
      <c r="Q157" s="6" t="n">
        <v>439.87</v>
      </c>
      <c r="R157" s="6">
        <f>Q157-P157</f>
        <v/>
      </c>
    </row>
    <row r="158">
      <c r="A158" s="5" t="inlineStr">
        <is>
          <t>2511</t>
        </is>
      </c>
      <c r="B158" s="5" t="inlineStr"/>
      <c r="C158" s="5" t="inlineStr">
        <is>
          <t>ASSTCRAFTSERVICE</t>
        </is>
      </c>
      <c r="D158" s="5" t="inlineStr">
        <is>
          <t>Local80</t>
        </is>
      </c>
      <c r="E158" s="6" t="n">
        <v>23.04</v>
      </c>
      <c r="F158" s="5" t="n"/>
      <c r="G158" s="5" t="n"/>
      <c r="H158" s="5" t="n"/>
      <c r="I158" s="5" t="n"/>
      <c r="J158" s="7">
        <f>IF(AND(N(F158)&gt;0,N(I158)&gt;0),I158-F158-IF(N(G158)&gt;0,0.5,0)-IF(N(H158)&gt;0,0.5,0),0)</f>
        <v/>
      </c>
      <c r="K158" s="5" t="n"/>
      <c r="L158" s="7">
        <f>MIN(J158,10.0)</f>
        <v/>
      </c>
      <c r="M158" s="7">
        <f>MAX(0,MIN(J158,12)-10.0)</f>
        <v/>
      </c>
      <c r="N158" s="7">
        <f>MAX(0,J158-12)</f>
        <v/>
      </c>
      <c r="O158" s="5" t="n"/>
      <c r="P158" s="6">
        <f>E158*(L158+M158*1.5+N158*2+O158*3+N(K158))</f>
        <v/>
      </c>
      <c r="Q158" s="6" t="n">
        <v>397.43</v>
      </c>
      <c r="R158" s="6">
        <f>Q158-P158</f>
        <v/>
      </c>
    </row>
    <row r="159">
      <c r="P159" s="2" t="inlineStr">
        <is>
          <t>SETCRAFTSERVICELABOR LABOR</t>
        </is>
      </c>
      <c r="R159" s="8">
        <f>SUM(R157:R158)</f>
        <v/>
      </c>
    </row>
    <row r="161">
      <c r="B161" s="2" t="inlineStr">
        <is>
          <t>SETFIRSTAIDLABOR</t>
        </is>
      </c>
    </row>
    <row r="162">
      <c r="A162" s="5" t="inlineStr">
        <is>
          <t>2514</t>
        </is>
      </c>
      <c r="B162" s="5" t="inlineStr">
        <is>
          <t>Robert Hill</t>
        </is>
      </c>
      <c r="C162" s="5" t="inlineStr">
        <is>
          <t>SETMEDIC</t>
        </is>
      </c>
      <c r="D162" s="5" t="inlineStr">
        <is>
          <t>Local80</t>
        </is>
      </c>
      <c r="E162" s="6" t="n">
        <v>23.04</v>
      </c>
      <c r="F162" s="5" t="n"/>
      <c r="G162" s="5" t="n"/>
      <c r="H162" s="5" t="n"/>
      <c r="I162" s="5" t="n"/>
      <c r="J162" s="7">
        <f>IF(AND(N(F162)&gt;0,N(I162)&gt;0),I162-F162-IF(N(G162)&gt;0,0.5,0)-IF(N(H162)&gt;0,0.5,0),0)</f>
        <v/>
      </c>
      <c r="K162" s="5" t="n"/>
      <c r="L162" s="7">
        <f>MIN(J162,10.0)</f>
        <v/>
      </c>
      <c r="M162" s="7">
        <f>MAX(0,MIN(J162,12)-10.0)</f>
        <v/>
      </c>
      <c r="N162" s="7">
        <f>MAX(0,J162-12)</f>
        <v/>
      </c>
      <c r="O162" s="5" t="n"/>
      <c r="P162" s="6">
        <f>E162*(L162+M162*1.5+N162*2+O162*3+N(K162))</f>
        <v/>
      </c>
      <c r="Q162" s="6" t="n">
        <v>397.43</v>
      </c>
      <c r="R162" s="6">
        <f>Q162-P162</f>
        <v/>
      </c>
    </row>
    <row r="163">
      <c r="A163" s="5" t="inlineStr">
        <is>
          <t>2514</t>
        </is>
      </c>
      <c r="B163" s="5" t="inlineStr"/>
      <c r="C163" s="5" t="inlineStr">
        <is>
          <t>RIGGINGMEDICMANDAYS</t>
        </is>
      </c>
      <c r="D163" s="5" t="inlineStr">
        <is>
          <t>Local80</t>
        </is>
      </c>
      <c r="E163" s="6" t="n">
        <v>23.04</v>
      </c>
      <c r="F163" s="5" t="n"/>
      <c r="G163" s="5" t="n"/>
      <c r="H163" s="5" t="n"/>
      <c r="I163" s="5" t="n"/>
      <c r="J163" s="7">
        <f>IF(AND(N(F163)&gt;0,N(I163)&gt;0),I163-F163-IF(N(G163)&gt;0,0.5,0)-IF(N(H163)&gt;0,0.5,0),0)</f>
        <v/>
      </c>
      <c r="K163" s="5" t="n"/>
      <c r="L163" s="7">
        <f>MIN(J163,10.0)</f>
        <v/>
      </c>
      <c r="M163" s="7">
        <f>MAX(0,MIN(J163,12)-10.0)</f>
        <v/>
      </c>
      <c r="N163" s="7">
        <f>MAX(0,J163-12)</f>
        <v/>
      </c>
      <c r="O163" s="5" t="n"/>
      <c r="P163" s="6">
        <f>E163*(L163+M163*1.5+N163*2+O163*3+N(K163))</f>
        <v/>
      </c>
      <c r="Q163" s="5" t="n"/>
      <c r="R163" s="6">
        <f>Q163-P163</f>
        <v/>
      </c>
    </row>
    <row r="164">
      <c r="P164" s="2" t="inlineStr">
        <is>
          <t>SETFIRSTAIDLABOR LABOR</t>
        </is>
      </c>
      <c r="R164" s="8">
        <f>SUM(R162:R163)</f>
        <v/>
      </c>
    </row>
    <row r="166">
      <c r="B166" s="2" t="inlineStr">
        <is>
          <t>SFXCOORDINATOR</t>
        </is>
      </c>
    </row>
    <row r="167">
      <c r="A167" s="5" t="inlineStr">
        <is>
          <t>2601</t>
        </is>
      </c>
      <c r="B167" s="5" t="inlineStr">
        <is>
          <t>Zak Knight</t>
        </is>
      </c>
      <c r="C167" s="5" t="inlineStr">
        <is>
          <t>SPFXCOORDINATOR</t>
        </is>
      </c>
      <c r="D167" s="5" t="inlineStr">
        <is>
          <t>Local44</t>
        </is>
      </c>
      <c r="E167" s="6" t="n">
        <v>42</v>
      </c>
      <c r="F167" s="5" t="n"/>
      <c r="G167" s="5" t="n"/>
      <c r="H167" s="5" t="n"/>
      <c r="I167" s="5" t="n"/>
      <c r="J167" s="7">
        <f>IF(AND(N(F167)&gt;0,N(I167)&gt;0),I167-F167-IF(N(G167)&gt;0,0.5,0)-IF(N(H167)&gt;0,0.5,0),0)</f>
        <v/>
      </c>
      <c r="K167" s="5" t="n"/>
      <c r="L167" s="7">
        <f>MIN(J167,10.0)</f>
        <v/>
      </c>
      <c r="M167" s="7">
        <f>MAX(0,MIN(J167,12)-10.0)</f>
        <v/>
      </c>
      <c r="N167" s="7">
        <f>MAX(0,J167-12)</f>
        <v/>
      </c>
      <c r="O167" s="5" t="n"/>
      <c r="P167" s="6">
        <f>E167*(L167+M167*1.5+N167*2+O167*3+N(K167))</f>
        <v/>
      </c>
      <c r="Q167" s="6" t="n">
        <v>651</v>
      </c>
      <c r="R167" s="6">
        <f>Q167-P167</f>
        <v/>
      </c>
    </row>
    <row r="168">
      <c r="P168" s="2" t="inlineStr">
        <is>
          <t>SFXCOORDINATOR LABOR</t>
        </is>
      </c>
      <c r="R168" s="8">
        <f>SUM(R167:R167)</f>
        <v/>
      </c>
    </row>
    <row r="170">
      <c r="B170" s="2" t="inlineStr">
        <is>
          <t>SFXTECHMANDAYS</t>
        </is>
      </c>
    </row>
    <row r="171">
      <c r="A171" s="5" t="inlineStr">
        <is>
          <t>2609</t>
        </is>
      </c>
      <c r="B171" s="5" t="inlineStr"/>
      <c r="C171" s="5" t="inlineStr">
        <is>
          <t>SPFXTECHMANDAYS</t>
        </is>
      </c>
      <c r="D171" s="5" t="inlineStr">
        <is>
          <t>Local44</t>
        </is>
      </c>
      <c r="E171" s="6" t="n">
        <v>40</v>
      </c>
      <c r="F171" s="5" t="n"/>
      <c r="G171" s="5" t="n"/>
      <c r="H171" s="5" t="n"/>
      <c r="I171" s="5" t="n"/>
      <c r="J171" s="7">
        <f>IF(AND(N(F171)&gt;0,N(I171)&gt;0),I171-F171-IF(N(G171)&gt;0,0.5,0)-IF(N(H171)&gt;0,0.5,0),0)</f>
        <v/>
      </c>
      <c r="K171" s="5" t="n"/>
      <c r="L171" s="7">
        <f>MIN(J171,10.0)</f>
        <v/>
      </c>
      <c r="M171" s="7">
        <f>MAX(0,MIN(J171,12)-10.0)</f>
        <v/>
      </c>
      <c r="N171" s="7">
        <f>MAX(0,J171-12)</f>
        <v/>
      </c>
      <c r="O171" s="5" t="n"/>
      <c r="P171" s="6">
        <f>E171*(L171+M171*1.5+N171*2+O171*3+N(K171))</f>
        <v/>
      </c>
      <c r="Q171" s="6" t="n">
        <v>620</v>
      </c>
      <c r="R171" s="6">
        <f>Q171-P171</f>
        <v/>
      </c>
    </row>
    <row r="172">
      <c r="A172" s="5" t="inlineStr">
        <is>
          <t>2609</t>
        </is>
      </c>
      <c r="B172" s="5" t="inlineStr"/>
      <c r="C172" s="5" t="inlineStr">
        <is>
          <t>SPFXASSISTANTMANDAYS</t>
        </is>
      </c>
      <c r="D172" s="5" t="inlineStr">
        <is>
          <t>Local44</t>
        </is>
      </c>
      <c r="E172" s="6" t="n">
        <v>25.5</v>
      </c>
      <c r="F172" s="5" t="n"/>
      <c r="G172" s="5" t="n"/>
      <c r="H172" s="5" t="n"/>
      <c r="I172" s="5" t="n"/>
      <c r="J172" s="7">
        <f>IF(AND(N(F172)&gt;0,N(I172)&gt;0),I172-F172-IF(N(G172)&gt;0,0.5,0)-IF(N(H172)&gt;0,0.5,0),0)</f>
        <v/>
      </c>
      <c r="K172" s="5" t="n"/>
      <c r="L172" s="7">
        <f>MIN(J172,10.0)</f>
        <v/>
      </c>
      <c r="M172" s="7">
        <f>MAX(0,MIN(J172,12)-10.0)</f>
        <v/>
      </c>
      <c r="N172" s="7">
        <f>MAX(0,J172-12)</f>
        <v/>
      </c>
      <c r="O172" s="5" t="n"/>
      <c r="P172" s="6">
        <f>E172*(L172+M172*1.5+N172*2+O172*3+N(K172))</f>
        <v/>
      </c>
      <c r="Q172" s="6" t="n">
        <v>395.25</v>
      </c>
      <c r="R172" s="6">
        <f>Q172-P172</f>
        <v/>
      </c>
    </row>
    <row r="173">
      <c r="A173" s="5" t="inlineStr">
        <is>
          <t>2609</t>
        </is>
      </c>
      <c r="B173" s="5" t="inlineStr"/>
      <c r="C173" s="5" t="inlineStr">
        <is>
          <t>PYROMANDAYS</t>
        </is>
      </c>
      <c r="D173" s="5" t="inlineStr">
        <is>
          <t>Local44</t>
        </is>
      </c>
      <c r="E173" s="6" t="n">
        <v>68.18000000000001</v>
      </c>
      <c r="F173" s="5" t="n"/>
      <c r="G173" s="5" t="n"/>
      <c r="H173" s="5" t="n"/>
      <c r="I173" s="5" t="n"/>
      <c r="J173" s="7">
        <f>IF(AND(N(F173)&gt;0,N(I173)&gt;0),I173-F173-IF(N(G173)&gt;0,0.5,0)-IF(N(H173)&gt;0,0.5,0),0)</f>
        <v/>
      </c>
      <c r="K173" s="5" t="n"/>
      <c r="L173" s="7">
        <f>MIN(J173,10.0)</f>
        <v/>
      </c>
      <c r="M173" s="7">
        <f>MAX(0,MIN(J173,12)-10.0)</f>
        <v/>
      </c>
      <c r="N173" s="7">
        <f>MAX(0,J173-12)</f>
        <v/>
      </c>
      <c r="O173" s="5" t="n"/>
      <c r="P173" s="6">
        <f>E173*(L173+M173*1.5+N173*2+O173*3+N(K173))</f>
        <v/>
      </c>
      <c r="Q173" s="6" t="n">
        <v>749.98</v>
      </c>
      <c r="R173" s="6">
        <f>Q173-P173</f>
        <v/>
      </c>
    </row>
    <row r="174">
      <c r="P174" s="2" t="inlineStr">
        <is>
          <t>SFXTECHMANDAYS LABOR</t>
        </is>
      </c>
      <c r="R174" s="8">
        <f>SUM(R171:R173)</f>
        <v/>
      </c>
    </row>
    <row r="176">
      <c r="B176" s="2" t="inlineStr">
        <is>
          <t>SETDECORATOR</t>
        </is>
      </c>
    </row>
    <row r="177">
      <c r="A177" s="5" t="inlineStr">
        <is>
          <t>2701</t>
        </is>
      </c>
      <c r="B177" s="5" t="inlineStr">
        <is>
          <t>Sandy Skora</t>
        </is>
      </c>
      <c r="C177" s="5" t="inlineStr">
        <is>
          <t>SETDECORATOR</t>
        </is>
      </c>
      <c r="D177" s="5" t="inlineStr">
        <is>
          <t>Local44</t>
        </is>
      </c>
      <c r="E177" s="6" t="n">
        <v>400</v>
      </c>
      <c r="F177" s="5" t="n"/>
      <c r="G177" s="5" t="n"/>
      <c r="H177" s="5" t="n"/>
      <c r="I177" s="5" t="n"/>
      <c r="J177" s="7">
        <f>IF(AND(N(F177)&gt;0,N(I177)&gt;0),I177-F177-IF(N(G177)&gt;0,0.5,0)-IF(N(H177)&gt;0,0.5,0),0)</f>
        <v/>
      </c>
      <c r="K177" s="5" t="n"/>
      <c r="L177" s="7">
        <f>MIN(J177,10.0)</f>
        <v/>
      </c>
      <c r="M177" s="7">
        <f>MAX(0,MIN(J177,12)-10.0)</f>
        <v/>
      </c>
      <c r="N177" s="7">
        <f>MAX(0,J177-12)</f>
        <v/>
      </c>
      <c r="O177" s="5" t="n"/>
      <c r="P177" s="6">
        <f>E177*(L177+M177*1.5+N177*2+O177*3+N(K177))</f>
        <v/>
      </c>
      <c r="Q177" s="6" t="n">
        <v>400</v>
      </c>
      <c r="R177" s="6">
        <f>Q177-P177</f>
        <v/>
      </c>
    </row>
    <row r="178">
      <c r="P178" s="2" t="inlineStr">
        <is>
          <t>SETDECORATOR LABOR</t>
        </is>
      </c>
      <c r="R178" s="8">
        <f>SUM(R177:R177)</f>
        <v/>
      </c>
    </row>
    <row r="180">
      <c r="B180" s="2" t="inlineStr">
        <is>
          <t>LEADPERSON</t>
        </is>
      </c>
    </row>
    <row r="181">
      <c r="A181" s="5" t="inlineStr">
        <is>
          <t>2702</t>
        </is>
      </c>
      <c r="B181" s="5" t="inlineStr">
        <is>
          <t>Josh Richmond</t>
        </is>
      </c>
      <c r="C181" s="5" t="inlineStr">
        <is>
          <t>LEADPERSON</t>
        </is>
      </c>
      <c r="D181" s="5" t="inlineStr">
        <is>
          <t>Local44</t>
        </is>
      </c>
      <c r="E181" s="6" t="n">
        <v>23.04</v>
      </c>
      <c r="F181" s="5" t="n"/>
      <c r="G181" s="5" t="n"/>
      <c r="H181" s="5" t="n"/>
      <c r="I181" s="5" t="n"/>
      <c r="J181" s="7">
        <f>IF(AND(N(F181)&gt;0,N(I181)&gt;0),I181-F181-IF(N(G181)&gt;0,0.5,0)-IF(N(H181)&gt;0,0.5,0),0)</f>
        <v/>
      </c>
      <c r="K181" s="5" t="n"/>
      <c r="L181" s="7">
        <f>MIN(J181,10.0)</f>
        <v/>
      </c>
      <c r="M181" s="7">
        <f>MAX(0,MIN(J181,12)-10.0)</f>
        <v/>
      </c>
      <c r="N181" s="7">
        <f>MAX(0,J181-12)</f>
        <v/>
      </c>
      <c r="O181" s="5" t="n"/>
      <c r="P181" s="6">
        <f>E181*(L181+M181*1.5+N181*2+O181*3+N(K181))</f>
        <v/>
      </c>
      <c r="Q181" s="6" t="n">
        <v>322.56</v>
      </c>
      <c r="R181" s="6">
        <f>Q181-P181</f>
        <v/>
      </c>
    </row>
    <row r="182">
      <c r="P182" s="2" t="inlineStr">
        <is>
          <t>LEADPERSON LABOR</t>
        </is>
      </c>
      <c r="R182" s="8">
        <f>SUM(R181:R181)</f>
        <v/>
      </c>
    </row>
    <row r="184">
      <c r="B184" s="2" t="inlineStr">
        <is>
          <t>SWINGLABOR</t>
        </is>
      </c>
    </row>
    <row r="185">
      <c r="A185" s="5" t="inlineStr">
        <is>
          <t>2703</t>
        </is>
      </c>
      <c r="B185" s="5" t="inlineStr">
        <is>
          <t>Tim Dodge</t>
        </is>
      </c>
      <c r="C185" s="5" t="inlineStr">
        <is>
          <t>SWING#1</t>
        </is>
      </c>
      <c r="D185" s="5" t="inlineStr">
        <is>
          <t>Local44</t>
        </is>
      </c>
      <c r="E185" s="6" t="n">
        <v>20.57</v>
      </c>
      <c r="F185" s="5" t="n"/>
      <c r="G185" s="5" t="n"/>
      <c r="H185" s="5" t="n"/>
      <c r="I185" s="5" t="n"/>
      <c r="J185" s="7">
        <f>IF(AND(N(F185)&gt;0,N(I185)&gt;0),I185-F185-IF(N(G185)&gt;0,0.5,0)-IF(N(H185)&gt;0,0.5,0),0)</f>
        <v/>
      </c>
      <c r="K185" s="5" t="n"/>
      <c r="L185" s="7">
        <f>MIN(J185,10.0)</f>
        <v/>
      </c>
      <c r="M185" s="7">
        <f>MAX(0,MIN(J185,12)-10.0)</f>
        <v/>
      </c>
      <c r="N185" s="7">
        <f>MAX(0,J185-12)</f>
        <v/>
      </c>
      <c r="O185" s="5" t="n"/>
      <c r="P185" s="6">
        <f>E185*(L185+M185*1.5+N185*2+O185*3+N(K185))</f>
        <v/>
      </c>
      <c r="Q185" s="6" t="n">
        <v>287.98</v>
      </c>
      <c r="R185" s="6">
        <f>Q185-P185</f>
        <v/>
      </c>
    </row>
    <row r="186">
      <c r="A186" s="5" t="inlineStr">
        <is>
          <t>2703</t>
        </is>
      </c>
      <c r="B186" s="5" t="inlineStr"/>
      <c r="C186" s="5" t="inlineStr">
        <is>
          <t>SWING#2</t>
        </is>
      </c>
      <c r="D186" s="5" t="inlineStr">
        <is>
          <t>Local44</t>
        </is>
      </c>
      <c r="E186" s="6" t="n">
        <v>20.57</v>
      </c>
      <c r="F186" s="5" t="n"/>
      <c r="G186" s="5" t="n"/>
      <c r="H186" s="5" t="n"/>
      <c r="I186" s="5" t="n"/>
      <c r="J186" s="7">
        <f>IF(AND(N(F186)&gt;0,N(I186)&gt;0),I186-F186-IF(N(G186)&gt;0,0.5,0)-IF(N(H186)&gt;0,0.5,0),0)</f>
        <v/>
      </c>
      <c r="K186" s="5" t="n"/>
      <c r="L186" s="7">
        <f>MIN(J186,10.0)</f>
        <v/>
      </c>
      <c r="M186" s="7">
        <f>MAX(0,MIN(J186,12)-10.0)</f>
        <v/>
      </c>
      <c r="N186" s="7">
        <f>MAX(0,J186-12)</f>
        <v/>
      </c>
      <c r="O186" s="5" t="n"/>
      <c r="P186" s="6">
        <f>E186*(L186+M186*1.5+N186*2+O186*3+N(K186))</f>
        <v/>
      </c>
      <c r="Q186" s="6" t="n">
        <v>287.98</v>
      </c>
      <c r="R186" s="6">
        <f>Q186-P186</f>
        <v/>
      </c>
    </row>
    <row r="187">
      <c r="A187" s="5" t="inlineStr">
        <is>
          <t>2703</t>
        </is>
      </c>
      <c r="B187" s="5" t="inlineStr"/>
      <c r="C187" s="5" t="inlineStr">
        <is>
          <t>ADDITIONALSWINGMANDAYS</t>
        </is>
      </c>
      <c r="D187" s="5" t="inlineStr">
        <is>
          <t>Local44</t>
        </is>
      </c>
      <c r="E187" s="6" t="n">
        <v>20.57</v>
      </c>
      <c r="F187" s="5" t="n"/>
      <c r="G187" s="5" t="n"/>
      <c r="H187" s="5" t="n"/>
      <c r="I187" s="5" t="n"/>
      <c r="J187" s="7">
        <f>IF(AND(N(F187)&gt;0,N(I187)&gt;0),I187-F187-IF(N(G187)&gt;0,0.5,0)-IF(N(H187)&gt;0,0.5,0),0)</f>
        <v/>
      </c>
      <c r="K187" s="5" t="n"/>
      <c r="L187" s="7">
        <f>MIN(J187,10.0)</f>
        <v/>
      </c>
      <c r="M187" s="7">
        <f>MAX(0,MIN(J187,12)-10.0)</f>
        <v/>
      </c>
      <c r="N187" s="7">
        <f>MAX(0,J187-12)</f>
        <v/>
      </c>
      <c r="O187" s="5" t="n"/>
      <c r="P187" s="6">
        <f>E187*(L187+M187*1.5+N187*2+O187*3+N(K187))</f>
        <v/>
      </c>
      <c r="Q187" s="6" t="n">
        <v>287.98</v>
      </c>
      <c r="R187" s="6">
        <f>Q187-P187</f>
        <v/>
      </c>
    </row>
    <row r="188">
      <c r="P188" s="2" t="inlineStr">
        <is>
          <t>SWINGLABOR LABOR</t>
        </is>
      </c>
      <c r="R188" s="8">
        <f>SUM(R185:R187)</f>
        <v/>
      </c>
    </row>
    <row r="190">
      <c r="B190" s="2" t="inlineStr">
        <is>
          <t>ON-SETDRESSER</t>
        </is>
      </c>
    </row>
    <row r="191">
      <c r="A191" s="5" t="inlineStr">
        <is>
          <t>2705</t>
        </is>
      </c>
      <c r="B191" s="5" t="inlineStr">
        <is>
          <t>Khamisi Thurman</t>
        </is>
      </c>
      <c r="C191" s="5" t="inlineStr">
        <is>
          <t>ON-SETDRESSER</t>
        </is>
      </c>
      <c r="D191" s="5" t="inlineStr">
        <is>
          <t>Local44</t>
        </is>
      </c>
      <c r="E191" s="6" t="n">
        <v>20.57</v>
      </c>
      <c r="F191" s="5" t="n"/>
      <c r="G191" s="5" t="n"/>
      <c r="H191" s="5" t="n"/>
      <c r="I191" s="5" t="n"/>
      <c r="J191" s="7">
        <f>IF(AND(N(F191)&gt;0,N(I191)&gt;0),I191-F191-IF(N(G191)&gt;0,0.5,0)-IF(N(H191)&gt;0,0.5,0),0)</f>
        <v/>
      </c>
      <c r="K191" s="5" t="n"/>
      <c r="L191" s="7">
        <f>MIN(J191,10.0)</f>
        <v/>
      </c>
      <c r="M191" s="7">
        <f>MAX(0,MIN(J191,12)-10.0)</f>
        <v/>
      </c>
      <c r="N191" s="7">
        <f>MAX(0,J191-12)</f>
        <v/>
      </c>
      <c r="O191" s="5" t="n"/>
      <c r="P191" s="6">
        <f>E191*(L191+M191*1.5+N191*2+O191*3+N(K191))</f>
        <v/>
      </c>
      <c r="Q191" s="6" t="n">
        <v>318.83</v>
      </c>
      <c r="R191" s="6">
        <f>Q191-P191</f>
        <v/>
      </c>
    </row>
    <row r="192">
      <c r="P192" s="2" t="inlineStr">
        <is>
          <t>ON-SETDRESSER LABOR</t>
        </is>
      </c>
      <c r="R192" s="8">
        <f>SUM(R191:R191)</f>
        <v/>
      </c>
    </row>
    <row r="194">
      <c r="B194" s="2" t="inlineStr">
        <is>
          <t>BUYERS</t>
        </is>
      </c>
    </row>
    <row r="195">
      <c r="A195" s="5" t="inlineStr">
        <is>
          <t>2706</t>
        </is>
      </c>
      <c r="B195" s="5" t="inlineStr">
        <is>
          <t>Sarah Hickman</t>
        </is>
      </c>
      <c r="C195" s="5" t="inlineStr">
        <is>
          <t>BUYER</t>
        </is>
      </c>
      <c r="D195" s="5" t="inlineStr">
        <is>
          <t>Local44</t>
        </is>
      </c>
      <c r="E195" s="6" t="n">
        <v>23.04</v>
      </c>
      <c r="F195" s="5" t="n"/>
      <c r="G195" s="5" t="n"/>
      <c r="H195" s="5" t="n"/>
      <c r="I195" s="5" t="n"/>
      <c r="J195" s="7">
        <f>IF(AND(N(F195)&gt;0,N(I195)&gt;0),I195-F195-IF(N(G195)&gt;0,0.5,0)-IF(N(H195)&gt;0,0.5,0),0)</f>
        <v/>
      </c>
      <c r="K195" s="5" t="n"/>
      <c r="L195" s="7">
        <f>MIN(J195,10.0)</f>
        <v/>
      </c>
      <c r="M195" s="7">
        <f>MAX(0,MIN(J195,12)-10.0)</f>
        <v/>
      </c>
      <c r="N195" s="7">
        <f>MAX(0,J195-12)</f>
        <v/>
      </c>
      <c r="O195" s="5" t="n"/>
      <c r="P195" s="6">
        <f>E195*(L195+M195*1.5+N195*2+O195*3+N(K195))</f>
        <v/>
      </c>
      <c r="Q195" s="5" t="n"/>
      <c r="R195" s="6">
        <f>Q195-P195</f>
        <v/>
      </c>
    </row>
    <row r="196">
      <c r="P196" s="2" t="inlineStr">
        <is>
          <t>BUYERS LABOR</t>
        </is>
      </c>
      <c r="R196" s="8">
        <f>SUM(R195:R195)</f>
        <v/>
      </c>
    </row>
    <row r="198">
      <c r="B198" s="2" t="inlineStr">
        <is>
          <t>PROPMASTER</t>
        </is>
      </c>
    </row>
    <row r="199">
      <c r="A199" s="5" t="inlineStr">
        <is>
          <t>2801</t>
        </is>
      </c>
      <c r="B199" s="5" t="inlineStr">
        <is>
          <t>Annie Brandt</t>
        </is>
      </c>
      <c r="C199" s="5" t="inlineStr">
        <is>
          <t>PROPMASTER</t>
        </is>
      </c>
      <c r="D199" s="5" t="inlineStr">
        <is>
          <t>Local44</t>
        </is>
      </c>
      <c r="E199" s="6" t="n">
        <v>25.5</v>
      </c>
      <c r="F199" s="5" t="n"/>
      <c r="G199" s="5" t="n"/>
      <c r="H199" s="5" t="n"/>
      <c r="I199" s="5" t="n"/>
      <c r="J199" s="7">
        <f>IF(AND(N(F199)&gt;0,N(I199)&gt;0),I199-F199-IF(N(G199)&gt;0,0.5,0)-IF(N(H199)&gt;0,0.5,0),0)</f>
        <v/>
      </c>
      <c r="K199" s="5" t="n"/>
      <c r="L199" s="7">
        <f>MIN(J199,10.0)</f>
        <v/>
      </c>
      <c r="M199" s="7">
        <f>MAX(0,MIN(J199,12)-10.0)</f>
        <v/>
      </c>
      <c r="N199" s="7">
        <f>MAX(0,J199-12)</f>
        <v/>
      </c>
      <c r="O199" s="5" t="n"/>
      <c r="P199" s="6">
        <f>E199*(L199+M199*1.5+N199*2+O199*3+N(K199))</f>
        <v/>
      </c>
      <c r="Q199" s="6" t="n">
        <v>395.25</v>
      </c>
      <c r="R199" s="6">
        <f>Q199-P199</f>
        <v/>
      </c>
    </row>
    <row r="200">
      <c r="P200" s="2" t="inlineStr">
        <is>
          <t>PROPMASTER LABOR</t>
        </is>
      </c>
      <c r="R200" s="8">
        <f>SUM(R199:R199)</f>
        <v/>
      </c>
    </row>
    <row r="202">
      <c r="B202" s="2" t="inlineStr">
        <is>
          <t>ASSTPROPMASTER</t>
        </is>
      </c>
    </row>
    <row r="203">
      <c r="A203" s="5" t="inlineStr">
        <is>
          <t>2802</t>
        </is>
      </c>
      <c r="B203" s="5" t="inlineStr">
        <is>
          <t>Nate Bakes</t>
        </is>
      </c>
      <c r="C203" s="5" t="inlineStr">
        <is>
          <t>ASSTPROPMASTER</t>
        </is>
      </c>
      <c r="D203" s="5" t="inlineStr">
        <is>
          <t>Local44</t>
        </is>
      </c>
      <c r="E203" s="6" t="n">
        <v>23.04</v>
      </c>
      <c r="F203" s="5" t="n"/>
      <c r="G203" s="5" t="n"/>
      <c r="H203" s="5" t="n"/>
      <c r="I203" s="5" t="n"/>
      <c r="J203" s="7">
        <f>IF(AND(N(F203)&gt;0,N(I203)&gt;0),I203-F203-IF(N(G203)&gt;0,0.5,0)-IF(N(H203)&gt;0,0.5,0),0)</f>
        <v/>
      </c>
      <c r="K203" s="5" t="n"/>
      <c r="L203" s="7">
        <f>MIN(J203,10.0)</f>
        <v/>
      </c>
      <c r="M203" s="7">
        <f>MAX(0,MIN(J203,12)-10.0)</f>
        <v/>
      </c>
      <c r="N203" s="7">
        <f>MAX(0,J203-12)</f>
        <v/>
      </c>
      <c r="O203" s="5" t="n"/>
      <c r="P203" s="6">
        <f>E203*(L203+M203*1.5+N203*2+O203*3+N(K203))</f>
        <v/>
      </c>
      <c r="Q203" s="6" t="n">
        <v>357.12</v>
      </c>
      <c r="R203" s="6">
        <f>Q203-P203</f>
        <v/>
      </c>
    </row>
    <row r="204">
      <c r="P204" s="2" t="inlineStr">
        <is>
          <t>ASSTPROPMASTER LABOR</t>
        </is>
      </c>
      <c r="R204" s="8">
        <f>SUM(R203:R203)</f>
        <v/>
      </c>
    </row>
    <row r="206">
      <c r="B206" s="2" t="inlineStr">
        <is>
          <t>COSTUMEDESIGNER</t>
        </is>
      </c>
    </row>
    <row r="207">
      <c r="A207" s="5" t="inlineStr">
        <is>
          <t>2901</t>
        </is>
      </c>
      <c r="B207" s="5" t="inlineStr">
        <is>
          <t>Megan Spatz</t>
        </is>
      </c>
      <c r="C207" s="5" t="inlineStr">
        <is>
          <t>COSTUMEDESIGNER</t>
        </is>
      </c>
      <c r="D207" s="5" t="inlineStr">
        <is>
          <t>Local892</t>
        </is>
      </c>
      <c r="E207" s="6" t="n">
        <v>540</v>
      </c>
      <c r="F207" s="5" t="n"/>
      <c r="G207" s="5" t="n"/>
      <c r="H207" s="5" t="n"/>
      <c r="I207" s="5" t="n"/>
      <c r="J207" s="7">
        <f>IF(AND(N(F207)&gt;0,N(I207)&gt;0),I207-F207-IF(N(G207)&gt;0,0.5,0)-IF(N(H207)&gt;0,0.5,0),0)</f>
        <v/>
      </c>
      <c r="K207" s="5" t="n"/>
      <c r="L207" s="7">
        <f>MIN(J207,8.0)</f>
        <v/>
      </c>
      <c r="M207" s="7">
        <f>MAX(0,MIN(J207,12)-8.0)</f>
        <v/>
      </c>
      <c r="N207" s="7">
        <f>MAX(0,J207-12)</f>
        <v/>
      </c>
      <c r="O207" s="5" t="n"/>
      <c r="P207" s="6">
        <f>E207*(L207+M207*1.5+N207*2+O207*3+N(K207))</f>
        <v/>
      </c>
      <c r="Q207" s="6" t="n">
        <v>540</v>
      </c>
      <c r="R207" s="6">
        <f>Q207-P207</f>
        <v/>
      </c>
    </row>
    <row r="208">
      <c r="P208" s="2" t="inlineStr">
        <is>
          <t>COSTUMEDESIGNER LABOR</t>
        </is>
      </c>
      <c r="R208" s="8">
        <f>SUM(R207:R207)</f>
        <v/>
      </c>
    </row>
    <row r="210">
      <c r="B210" s="2" t="inlineStr">
        <is>
          <t>COSTUMESUPERVISOR</t>
        </is>
      </c>
    </row>
    <row r="211">
      <c r="A211" s="5" t="inlineStr">
        <is>
          <t>2903</t>
        </is>
      </c>
      <c r="B211" s="5" t="inlineStr">
        <is>
          <t>Danielle Schuck</t>
        </is>
      </c>
      <c r="C211" s="5" t="inlineStr">
        <is>
          <t>COSTUMESUPERVISOR</t>
        </is>
      </c>
      <c r="D211" s="5" t="inlineStr">
        <is>
          <t>Local705</t>
        </is>
      </c>
      <c r="E211" s="6" t="n">
        <v>25.5</v>
      </c>
      <c r="F211" s="5" t="n"/>
      <c r="G211" s="5" t="n"/>
      <c r="H211" s="5" t="n"/>
      <c r="I211" s="5" t="n"/>
      <c r="J211" s="7">
        <f>IF(AND(N(F211)&gt;0,N(I211)&gt;0),I211-F211-IF(N(G211)&gt;0,0.5,0)-IF(N(H211)&gt;0,0.5,0),0)</f>
        <v/>
      </c>
      <c r="K211" s="5" t="n"/>
      <c r="L211" s="7">
        <f>MIN(J211,8.0)</f>
        <v/>
      </c>
      <c r="M211" s="7">
        <f>MAX(0,MIN(J211,12)-8.0)</f>
        <v/>
      </c>
      <c r="N211" s="7">
        <f>MAX(0,J211-12)</f>
        <v/>
      </c>
      <c r="O211" s="5" t="n"/>
      <c r="P211" s="6">
        <f>E211*(L211+M211*1.5+N211*2+O211*3+N(K211))</f>
        <v/>
      </c>
      <c r="Q211" s="6" t="n">
        <v>395.25</v>
      </c>
      <c r="R211" s="6">
        <f>Q211-P211</f>
        <v/>
      </c>
    </row>
    <row r="212">
      <c r="P212" s="2" t="inlineStr">
        <is>
          <t>COSTUMESUPERVISOR LABOR</t>
        </is>
      </c>
      <c r="R212" s="8">
        <f>SUM(R211:R211)</f>
        <v/>
      </c>
    </row>
    <row r="214">
      <c r="B214" s="2" t="inlineStr">
        <is>
          <t>SETCOSTUMERS</t>
        </is>
      </c>
    </row>
    <row r="215">
      <c r="A215" s="5" t="inlineStr">
        <is>
          <t>2905</t>
        </is>
      </c>
      <c r="B215" s="5" t="inlineStr">
        <is>
          <t>Monavie Tutop</t>
        </is>
      </c>
      <c r="C215" s="5" t="inlineStr">
        <is>
          <t>COSTUMER#1</t>
        </is>
      </c>
      <c r="D215" s="5" t="inlineStr">
        <is>
          <t>Local705</t>
        </is>
      </c>
      <c r="E215" s="6" t="n">
        <v>23.04</v>
      </c>
      <c r="F215" s="5" t="n"/>
      <c r="G215" s="5" t="n"/>
      <c r="H215" s="5" t="n"/>
      <c r="I215" s="5" t="n"/>
      <c r="J215" s="7">
        <f>IF(AND(N(F215)&gt;0,N(I215)&gt;0),I215-F215-IF(N(G215)&gt;0,0.5,0)-IF(N(H215)&gt;0,0.5,0),0)</f>
        <v/>
      </c>
      <c r="K215" s="5" t="n"/>
      <c r="L215" s="7">
        <f>MIN(J215,8.0)</f>
        <v/>
      </c>
      <c r="M215" s="7">
        <f>MAX(0,MIN(J215,12)-8.0)</f>
        <v/>
      </c>
      <c r="N215" s="7">
        <f>MAX(0,J215-12)</f>
        <v/>
      </c>
      <c r="O215" s="5" t="n"/>
      <c r="P215" s="6">
        <f>E215*(L215+M215*1.5+N215*2+O215*3+N(K215))</f>
        <v/>
      </c>
      <c r="Q215" s="6" t="n">
        <v>397.43</v>
      </c>
      <c r="R215" s="6">
        <f>Q215-P215</f>
        <v/>
      </c>
    </row>
    <row r="216">
      <c r="A216" s="5" t="inlineStr">
        <is>
          <t>2905</t>
        </is>
      </c>
      <c r="B216" s="5" t="inlineStr"/>
      <c r="C216" s="5" t="inlineStr">
        <is>
          <t>COSTUMER#2</t>
        </is>
      </c>
      <c r="D216" s="5" t="inlineStr">
        <is>
          <t>Local705</t>
        </is>
      </c>
      <c r="E216" s="6" t="n">
        <v>20.57</v>
      </c>
      <c r="F216" s="5" t="n"/>
      <c r="G216" s="5" t="n"/>
      <c r="H216" s="5" t="n"/>
      <c r="I216" s="5" t="n"/>
      <c r="J216" s="7">
        <f>IF(AND(N(F216)&gt;0,N(I216)&gt;0),I216-F216-IF(N(G216)&gt;0,0.5,0)-IF(N(H216)&gt;0,0.5,0),0)</f>
        <v/>
      </c>
      <c r="K216" s="5" t="n"/>
      <c r="L216" s="7">
        <f>MIN(J216,8.0)</f>
        <v/>
      </c>
      <c r="M216" s="7">
        <f>MAX(0,MIN(J216,12)-8.0)</f>
        <v/>
      </c>
      <c r="N216" s="7">
        <f>MAX(0,J216-12)</f>
        <v/>
      </c>
      <c r="O216" s="5" t="n"/>
      <c r="P216" s="6">
        <f>E216*(L216+M216*1.5+N216*2+O216*3+N(K216))</f>
        <v/>
      </c>
      <c r="Q216" s="6" t="n">
        <v>354.83</v>
      </c>
      <c r="R216" s="6">
        <f>Q216-P216</f>
        <v/>
      </c>
    </row>
    <row r="217">
      <c r="P217" s="2" t="inlineStr">
        <is>
          <t>SETCOSTUMERS LABOR</t>
        </is>
      </c>
      <c r="R217" s="8">
        <f>SUM(R215:R216)</f>
        <v/>
      </c>
    </row>
    <row r="219">
      <c r="B219" s="2" t="inlineStr">
        <is>
          <t>KEYMAKE-UP</t>
        </is>
      </c>
    </row>
    <row r="220">
      <c r="A220" s="5" t="inlineStr">
        <is>
          <t>3101</t>
        </is>
      </c>
      <c r="B220" s="5" t="inlineStr">
        <is>
          <t>Eleanor Sabaduquia</t>
        </is>
      </c>
      <c r="C220" s="5" t="inlineStr">
        <is>
          <t>KEYMAKEUPARTIST</t>
        </is>
      </c>
      <c r="D220" s="5" t="inlineStr">
        <is>
          <t>Local706</t>
        </is>
      </c>
      <c r="E220" s="6" t="n">
        <v>25.5</v>
      </c>
      <c r="F220" s="5" t="n"/>
      <c r="G220" s="5" t="n"/>
      <c r="H220" s="5" t="n"/>
      <c r="I220" s="5" t="n"/>
      <c r="J220" s="7">
        <f>IF(AND(N(F220)&gt;0,N(I220)&gt;0),I220-F220-IF(N(G220)&gt;0,0.5,0)-IF(N(H220)&gt;0,0.5,0),0)</f>
        <v/>
      </c>
      <c r="K220" s="5" t="n"/>
      <c r="L220" s="7">
        <f>MIN(J220,10.0)</f>
        <v/>
      </c>
      <c r="M220" s="7">
        <f>MAX(0,MIN(J220,12)-10.0)</f>
        <v/>
      </c>
      <c r="N220" s="7">
        <f>MAX(0,J220-12)</f>
        <v/>
      </c>
      <c r="O220" s="5" t="n"/>
      <c r="P220" s="6">
        <f>E220*(L220+M220*1.5+N220*2+O220*3+N(K220))</f>
        <v/>
      </c>
      <c r="Q220" s="6" t="n">
        <v>439.87</v>
      </c>
      <c r="R220" s="6">
        <f>Q220-P220</f>
        <v/>
      </c>
    </row>
    <row r="221">
      <c r="P221" s="2" t="inlineStr">
        <is>
          <t>KEYMAKE-UP LABOR</t>
        </is>
      </c>
      <c r="R221" s="8">
        <f>SUM(R220:R220)</f>
        <v/>
      </c>
    </row>
    <row r="223">
      <c r="B223" s="2" t="inlineStr">
        <is>
          <t>ASSTMAKE-UP</t>
        </is>
      </c>
    </row>
    <row r="224">
      <c r="A224" s="5" t="inlineStr">
        <is>
          <t>3102</t>
        </is>
      </c>
      <c r="B224" s="5" t="inlineStr">
        <is>
          <t>Yoko Nobushi</t>
        </is>
      </c>
      <c r="C224" s="5" t="inlineStr">
        <is>
          <t>ASSTMAKEUPARTIST#1</t>
        </is>
      </c>
      <c r="D224" s="5" t="inlineStr">
        <is>
          <t>Local706</t>
        </is>
      </c>
      <c r="E224" s="6" t="n">
        <v>23.04</v>
      </c>
      <c r="F224" s="5" t="n"/>
      <c r="G224" s="5" t="n"/>
      <c r="H224" s="5" t="n"/>
      <c r="I224" s="5" t="n"/>
      <c r="J224" s="7">
        <f>IF(AND(N(F224)&gt;0,N(I224)&gt;0),I224-F224-IF(N(G224)&gt;0,0.5,0)-IF(N(H224)&gt;0,0.5,0),0)</f>
        <v/>
      </c>
      <c r="K224" s="5" t="n"/>
      <c r="L224" s="7">
        <f>MIN(J224,10.0)</f>
        <v/>
      </c>
      <c r="M224" s="7">
        <f>MAX(0,MIN(J224,12)-10.0)</f>
        <v/>
      </c>
      <c r="N224" s="7">
        <f>MAX(0,J224-12)</f>
        <v/>
      </c>
      <c r="O224" s="5" t="n"/>
      <c r="P224" s="6">
        <f>E224*(L224+M224*1.5+N224*2+O224*3+N(K224))</f>
        <v/>
      </c>
      <c r="Q224" s="6" t="n">
        <v>397.43</v>
      </c>
      <c r="R224" s="6">
        <f>Q224-P224</f>
        <v/>
      </c>
    </row>
    <row r="225">
      <c r="P225" s="2" t="inlineStr">
        <is>
          <t>ASSTMAKE-UP LABOR</t>
        </is>
      </c>
      <c r="R225" s="8">
        <f>SUM(R224:R224)</f>
        <v/>
      </c>
    </row>
    <row r="227">
      <c r="B227" s="2" t="inlineStr">
        <is>
          <t>ADDITIONALMAKE-UPLABOR</t>
        </is>
      </c>
    </row>
    <row r="228">
      <c r="A228" s="5" t="inlineStr">
        <is>
          <t>3103</t>
        </is>
      </c>
      <c r="B228" s="5" t="inlineStr"/>
      <c r="C228" s="5" t="inlineStr">
        <is>
          <t>ADDLMAKEUPARTISTDAYS</t>
        </is>
      </c>
      <c r="D228" s="5" t="inlineStr">
        <is>
          <t>Local706</t>
        </is>
      </c>
      <c r="E228" s="6" t="n">
        <v>23.04</v>
      </c>
      <c r="F228" s="5" t="n"/>
      <c r="G228" s="5" t="n"/>
      <c r="H228" s="5" t="n"/>
      <c r="I228" s="5" t="n"/>
      <c r="J228" s="7">
        <f>IF(AND(N(F228)&gt;0,N(I228)&gt;0),I228-F228-IF(N(G228)&gt;0,0.5,0)-IF(N(H228)&gt;0,0.5,0),0)</f>
        <v/>
      </c>
      <c r="K228" s="5" t="n"/>
      <c r="L228" s="7">
        <f>MIN(J228,10.0)</f>
        <v/>
      </c>
      <c r="M228" s="7">
        <f>MAX(0,MIN(J228,12)-10.0)</f>
        <v/>
      </c>
      <c r="N228" s="7">
        <f>MAX(0,J228-12)</f>
        <v/>
      </c>
      <c r="O228" s="5" t="n"/>
      <c r="P228" s="6">
        <f>E228*(L228+M228*1.5+N228*2+O228*3+N(K228))</f>
        <v/>
      </c>
      <c r="Q228" s="6" t="n">
        <v>397.43</v>
      </c>
      <c r="R228" s="6">
        <f>Q228-P228</f>
        <v/>
      </c>
    </row>
    <row r="229">
      <c r="P229" s="2" t="inlineStr">
        <is>
          <t>ADDITIONALMAKE-UPLABOR LABOR</t>
        </is>
      </c>
      <c r="R229" s="8">
        <f>SUM(R228:R228)</f>
        <v/>
      </c>
    </row>
    <row r="231">
      <c r="B231" s="2" t="inlineStr">
        <is>
          <t>PROSTHETICS</t>
        </is>
      </c>
    </row>
    <row r="232">
      <c r="A232" s="5" t="inlineStr">
        <is>
          <t>3105</t>
        </is>
      </c>
      <c r="B232" s="5" t="inlineStr"/>
      <c r="C232" s="5" t="inlineStr">
        <is>
          <t>PROSTHETICMAKEUPARTIST</t>
        </is>
      </c>
      <c r="D232" s="5" t="inlineStr">
        <is>
          <t>Local706</t>
        </is>
      </c>
      <c r="E232" s="6" t="n">
        <v>25.5</v>
      </c>
      <c r="F232" s="5" t="n"/>
      <c r="G232" s="5" t="n"/>
      <c r="H232" s="5" t="n"/>
      <c r="I232" s="5" t="n"/>
      <c r="J232" s="7">
        <f>IF(AND(N(F232)&gt;0,N(I232)&gt;0),I232-F232-IF(N(G232)&gt;0,0.5,0)-IF(N(H232)&gt;0,0.5,0),0)</f>
        <v/>
      </c>
      <c r="K232" s="5" t="n"/>
      <c r="L232" s="7">
        <f>MIN(J232,10.0)</f>
        <v/>
      </c>
      <c r="M232" s="7">
        <f>MAX(0,MIN(J232,12)-10.0)</f>
        <v/>
      </c>
      <c r="N232" s="7">
        <f>MAX(0,J232-12)</f>
        <v/>
      </c>
      <c r="O232" s="5" t="n"/>
      <c r="P232" s="6">
        <f>E232*(L232+M232*1.5+N232*2+O232*3+N(K232))</f>
        <v/>
      </c>
      <c r="Q232" s="6" t="n">
        <v>439.87</v>
      </c>
      <c r="R232" s="6">
        <f>Q232-P232</f>
        <v/>
      </c>
    </row>
    <row r="233">
      <c r="A233" s="5" t="inlineStr">
        <is>
          <t>3105</t>
        </is>
      </c>
      <c r="B233" s="5" t="inlineStr"/>
      <c r="C233" s="5" t="inlineStr">
        <is>
          <t>LENSCONSULTANT</t>
        </is>
      </c>
      <c r="D233" s="5" t="inlineStr"/>
      <c r="E233" s="6" t="n">
        <v>50</v>
      </c>
      <c r="F233" s="5" t="n"/>
      <c r="G233" s="5" t="n"/>
      <c r="H233" s="5" t="n"/>
      <c r="I233" s="5" t="n"/>
      <c r="J233" s="7">
        <f>IF(AND(N(F233)&gt;0,N(I233)&gt;0),I233-F233-IF(N(G233)&gt;0,0.5,0)-IF(N(H233)&gt;0,0.5,0),0)</f>
        <v/>
      </c>
      <c r="K233" s="5" t="n"/>
      <c r="L233" s="7">
        <f>MIN(J233,8.0)</f>
        <v/>
      </c>
      <c r="M233" s="7">
        <f>MAX(0,MIN(J233,12)-8.0)</f>
        <v/>
      </c>
      <c r="N233" s="7">
        <f>MAX(0,J233-12)</f>
        <v/>
      </c>
      <c r="O233" s="5" t="n"/>
      <c r="P233" s="6">
        <f>E233*(L233+M233*1.5+N233*2+O233*3+N(K233))</f>
        <v/>
      </c>
      <c r="Q233" s="6" t="n">
        <v>862.53</v>
      </c>
      <c r="R233" s="6">
        <f>Q233-P233</f>
        <v/>
      </c>
    </row>
    <row r="234">
      <c r="P234" s="2" t="inlineStr">
        <is>
          <t>PROSTHETICS LABOR</t>
        </is>
      </c>
      <c r="R234" s="8">
        <f>SUM(R232:R233)</f>
        <v/>
      </c>
    </row>
    <row r="236">
      <c r="B236" s="2" t="inlineStr">
        <is>
          <t>KEYHAIR</t>
        </is>
      </c>
    </row>
    <row r="237">
      <c r="A237" s="5" t="inlineStr">
        <is>
          <t>3111</t>
        </is>
      </c>
      <c r="B237" s="5" t="inlineStr">
        <is>
          <t>Traci Smithe</t>
        </is>
      </c>
      <c r="C237" s="5" t="inlineStr">
        <is>
          <t>KEYHAIR</t>
        </is>
      </c>
      <c r="D237" s="5" t="inlineStr">
        <is>
          <t>Local706</t>
        </is>
      </c>
      <c r="E237" s="6" t="n">
        <v>25.5</v>
      </c>
      <c r="F237" s="5" t="n"/>
      <c r="G237" s="5" t="n"/>
      <c r="H237" s="5" t="n"/>
      <c r="I237" s="5" t="n"/>
      <c r="J237" s="7">
        <f>IF(AND(N(F237)&gt;0,N(I237)&gt;0),I237-F237-IF(N(G237)&gt;0,0.5,0)-IF(N(H237)&gt;0,0.5,0),0)</f>
        <v/>
      </c>
      <c r="K237" s="5" t="n"/>
      <c r="L237" s="7">
        <f>MIN(J237,10.0)</f>
        <v/>
      </c>
      <c r="M237" s="7">
        <f>MAX(0,MIN(J237,12)-10.0)</f>
        <v/>
      </c>
      <c r="N237" s="7">
        <f>MAX(0,J237-12)</f>
        <v/>
      </c>
      <c r="O237" s="5" t="n"/>
      <c r="P237" s="6">
        <f>E237*(L237+M237*1.5+N237*2+O237*3+N(K237))</f>
        <v/>
      </c>
      <c r="Q237" s="6" t="n">
        <v>439.87</v>
      </c>
      <c r="R237" s="6">
        <f>Q237-P237</f>
        <v/>
      </c>
    </row>
    <row r="238">
      <c r="P238" s="2" t="inlineStr">
        <is>
          <t>KEYHAIR LABOR</t>
        </is>
      </c>
      <c r="R238" s="8">
        <f>SUM(R237:R237)</f>
        <v/>
      </c>
    </row>
    <row r="240">
      <c r="B240" s="2" t="inlineStr">
        <is>
          <t>ASSTHAIR</t>
        </is>
      </c>
    </row>
    <row r="241">
      <c r="A241" s="5" t="inlineStr">
        <is>
          <t>3112</t>
        </is>
      </c>
      <c r="B241" s="5" t="inlineStr">
        <is>
          <t>Yunea Cruz</t>
        </is>
      </c>
      <c r="C241" s="5" t="inlineStr">
        <is>
          <t>ASSTHAIRSTYLIST#1</t>
        </is>
      </c>
      <c r="D241" s="5" t="inlineStr">
        <is>
          <t>Local706</t>
        </is>
      </c>
      <c r="E241" s="6" t="n">
        <v>23.04</v>
      </c>
      <c r="F241" s="5" t="n"/>
      <c r="G241" s="5" t="n"/>
      <c r="H241" s="5" t="n"/>
      <c r="I241" s="5" t="n"/>
      <c r="J241" s="7">
        <f>IF(AND(N(F241)&gt;0,N(I241)&gt;0),I241-F241-IF(N(G241)&gt;0,0.5,0)-IF(N(H241)&gt;0,0.5,0),0)</f>
        <v/>
      </c>
      <c r="K241" s="5" t="n"/>
      <c r="L241" s="7">
        <f>MIN(J241,10.0)</f>
        <v/>
      </c>
      <c r="M241" s="7">
        <f>MAX(0,MIN(J241,12)-10.0)</f>
        <v/>
      </c>
      <c r="N241" s="7">
        <f>MAX(0,J241-12)</f>
        <v/>
      </c>
      <c r="O241" s="5" t="n"/>
      <c r="P241" s="6">
        <f>E241*(L241+M241*1.5+N241*2+O241*3+N(K241))</f>
        <v/>
      </c>
      <c r="Q241" s="6" t="n">
        <v>397.43</v>
      </c>
      <c r="R241" s="6">
        <f>Q241-P241</f>
        <v/>
      </c>
    </row>
    <row r="242">
      <c r="P242" s="2" t="inlineStr">
        <is>
          <t>ASSTHAIR LABOR</t>
        </is>
      </c>
      <c r="R242" s="8">
        <f>SUM(R241:R241)</f>
        <v/>
      </c>
    </row>
    <row r="244">
      <c r="B244" s="2" t="inlineStr">
        <is>
          <t>ADDITIONALHAIRLABOR</t>
        </is>
      </c>
    </row>
    <row r="245">
      <c r="A245" s="5" t="inlineStr">
        <is>
          <t>3113</t>
        </is>
      </c>
      <c r="B245" s="5" t="inlineStr"/>
      <c r="C245" s="5" t="inlineStr">
        <is>
          <t>ADDLHAIRSTYLISTDAYS</t>
        </is>
      </c>
      <c r="D245" s="5" t="inlineStr">
        <is>
          <t>Local706</t>
        </is>
      </c>
      <c r="E245" s="6" t="n">
        <v>23.04</v>
      </c>
      <c r="F245" s="5" t="n"/>
      <c r="G245" s="5" t="n"/>
      <c r="H245" s="5" t="n"/>
      <c r="I245" s="5" t="n"/>
      <c r="J245" s="7">
        <f>IF(AND(N(F245)&gt;0,N(I245)&gt;0),I245-F245-IF(N(G245)&gt;0,0.5,0)-IF(N(H245)&gt;0,0.5,0),0)</f>
        <v/>
      </c>
      <c r="K245" s="5" t="n"/>
      <c r="L245" s="7">
        <f>MIN(J245,10.0)</f>
        <v/>
      </c>
      <c r="M245" s="7">
        <f>MAX(0,MIN(J245,12)-10.0)</f>
        <v/>
      </c>
      <c r="N245" s="7">
        <f>MAX(0,J245-12)</f>
        <v/>
      </c>
      <c r="O245" s="5" t="n"/>
      <c r="P245" s="6">
        <f>E245*(L245+M245*1.5+N245*2+O245*3+N(K245))</f>
        <v/>
      </c>
      <c r="Q245" s="6" t="n">
        <v>397.43</v>
      </c>
      <c r="R245" s="6">
        <f>Q245-P245</f>
        <v/>
      </c>
    </row>
    <row r="246">
      <c r="P246" s="2" t="inlineStr">
        <is>
          <t>ADDITIONALHAIRLABOR LABOR</t>
        </is>
      </c>
      <c r="R246" s="8">
        <f>SUM(R245:R245)</f>
        <v/>
      </c>
    </row>
    <row r="248">
      <c r="B248" s="2" t="inlineStr">
        <is>
          <t>GAFFER</t>
        </is>
      </c>
    </row>
    <row r="249">
      <c r="A249" s="5" t="inlineStr">
        <is>
          <t>3201</t>
        </is>
      </c>
      <c r="B249" s="5" t="inlineStr">
        <is>
          <t>Nicholas Kaat</t>
        </is>
      </c>
      <c r="C249" s="5" t="inlineStr">
        <is>
          <t>GAFFER</t>
        </is>
      </c>
      <c r="D249" s="5" t="inlineStr">
        <is>
          <t>Local728</t>
        </is>
      </c>
      <c r="E249" s="6" t="n">
        <v>25.5</v>
      </c>
      <c r="F249" s="5" t="n"/>
      <c r="G249" s="5" t="n"/>
      <c r="H249" s="5" t="n"/>
      <c r="I249" s="5" t="n"/>
      <c r="J249" s="7">
        <f>IF(AND(N(F249)&gt;0,N(I249)&gt;0),I249-F249-IF(N(G249)&gt;0,0.5,0)-IF(N(H249)&gt;0,0.5,0),0)</f>
        <v/>
      </c>
      <c r="K249" s="5" t="n"/>
      <c r="L249" s="7">
        <f>MIN(J249,10.0)</f>
        <v/>
      </c>
      <c r="M249" s="7">
        <f>MAX(0,MIN(J249,12)-10.0)</f>
        <v/>
      </c>
      <c r="N249" s="7">
        <f>MAX(0,J249-12)</f>
        <v/>
      </c>
      <c r="O249" s="5" t="n"/>
      <c r="P249" s="6">
        <f>E249*(L249+M249*1.5+N249*2+O249*3+N(K249))</f>
        <v/>
      </c>
      <c r="Q249" s="6" t="n">
        <v>395.25</v>
      </c>
      <c r="R249" s="6">
        <f>Q249-P249</f>
        <v/>
      </c>
    </row>
    <row r="250">
      <c r="P250" s="2" t="inlineStr">
        <is>
          <t>GAFFER LABOR</t>
        </is>
      </c>
      <c r="R250" s="8">
        <f>SUM(R249:R249)</f>
        <v/>
      </c>
    </row>
    <row r="252">
      <c r="B252" s="2" t="inlineStr">
        <is>
          <t>BESTBOYELECTRIC</t>
        </is>
      </c>
    </row>
    <row r="253">
      <c r="A253" s="5" t="inlineStr">
        <is>
          <t>3202</t>
        </is>
      </c>
      <c r="B253" s="5" t="inlineStr">
        <is>
          <t>Nathan Fetzer</t>
        </is>
      </c>
      <c r="C253" s="5" t="inlineStr">
        <is>
          <t>BESTBOYELECTRIC</t>
        </is>
      </c>
      <c r="D253" s="5" t="inlineStr">
        <is>
          <t>Local728</t>
        </is>
      </c>
      <c r="E253" s="6" t="n">
        <v>23.04</v>
      </c>
      <c r="F253" s="5" t="n"/>
      <c r="G253" s="5" t="n"/>
      <c r="H253" s="5" t="n"/>
      <c r="I253" s="5" t="n"/>
      <c r="J253" s="7">
        <f>IF(AND(N(F253)&gt;0,N(I253)&gt;0),I253-F253-IF(N(G253)&gt;0,0.5,0)-IF(N(H253)&gt;0,0.5,0),0)</f>
        <v/>
      </c>
      <c r="K253" s="5" t="n"/>
      <c r="L253" s="7">
        <f>MIN(J253,10.0)</f>
        <v/>
      </c>
      <c r="M253" s="7">
        <f>MAX(0,MIN(J253,12)-10.0)</f>
        <v/>
      </c>
      <c r="N253" s="7">
        <f>MAX(0,J253-12)</f>
        <v/>
      </c>
      <c r="O253" s="5" t="n"/>
      <c r="P253" s="6">
        <f>E253*(L253+M253*1.5+N253*2+O253*3+N(K253))</f>
        <v/>
      </c>
      <c r="Q253" s="6" t="n">
        <v>357.12</v>
      </c>
      <c r="R253" s="6">
        <f>Q253-P253</f>
        <v/>
      </c>
    </row>
    <row r="254">
      <c r="A254" s="5" t="inlineStr">
        <is>
          <t>3202</t>
        </is>
      </c>
      <c r="B254" s="5" t="inlineStr"/>
      <c r="C254" s="5" t="inlineStr">
        <is>
          <t>STUDIOBESTBOYELECTRIC</t>
        </is>
      </c>
      <c r="D254" s="5" t="inlineStr">
        <is>
          <t>Local728</t>
        </is>
      </c>
      <c r="E254" s="6" t="n">
        <v>43.05</v>
      </c>
      <c r="F254" s="5" t="n"/>
      <c r="G254" s="5" t="n"/>
      <c r="H254" s="5" t="n"/>
      <c r="I254" s="5" t="n"/>
      <c r="J254" s="7">
        <f>IF(AND(N(F254)&gt;0,N(I254)&gt;0),I254-F254-IF(N(G254)&gt;0,0.5,0)-IF(N(H254)&gt;0,0.5,0),0)</f>
        <v/>
      </c>
      <c r="K254" s="5" t="n"/>
      <c r="L254" s="7">
        <f>MIN(J254,10.0)</f>
        <v/>
      </c>
      <c r="M254" s="7">
        <f>MAX(0,MIN(J254,12)-10.0)</f>
        <v/>
      </c>
      <c r="N254" s="7">
        <f>MAX(0,J254-12)</f>
        <v/>
      </c>
      <c r="O254" s="5" t="n"/>
      <c r="P254" s="6">
        <f>E254*(L254+M254*1.5+N254*2+O254*3+N(K254))</f>
        <v/>
      </c>
      <c r="Q254" s="6" t="n">
        <v>667.27</v>
      </c>
      <c r="R254" s="6">
        <f>Q254-P254</f>
        <v/>
      </c>
    </row>
    <row r="255">
      <c r="P255" s="2" t="inlineStr">
        <is>
          <t>BESTBOYELECTRIC LABOR</t>
        </is>
      </c>
      <c r="R255" s="8">
        <f>SUM(R253:R254)</f>
        <v/>
      </c>
    </row>
    <row r="257">
      <c r="B257" s="2" t="inlineStr">
        <is>
          <t>ELECTRICIANS</t>
        </is>
      </c>
    </row>
    <row r="258">
      <c r="A258" s="5" t="inlineStr">
        <is>
          <t>3204</t>
        </is>
      </c>
      <c r="B258" s="5" t="inlineStr"/>
      <c r="C258" s="5" t="inlineStr">
        <is>
          <t>ELECTRICIAN#1</t>
        </is>
      </c>
      <c r="D258" s="5" t="inlineStr">
        <is>
          <t>Local728</t>
        </is>
      </c>
      <c r="E258" s="6" t="n">
        <v>20.57</v>
      </c>
      <c r="F258" s="5" t="n"/>
      <c r="G258" s="5" t="n"/>
      <c r="H258" s="5" t="n"/>
      <c r="I258" s="5" t="n"/>
      <c r="J258" s="7">
        <f>IF(AND(N(F258)&gt;0,N(I258)&gt;0),I258-F258-IF(N(G258)&gt;0,0.5,0)-IF(N(H258)&gt;0,0.5,0),0)</f>
        <v/>
      </c>
      <c r="K258" s="5" t="n"/>
      <c r="L258" s="7">
        <f>MIN(J258,10.0)</f>
        <v/>
      </c>
      <c r="M258" s="7">
        <f>MAX(0,MIN(J258,12)-10.0)</f>
        <v/>
      </c>
      <c r="N258" s="7">
        <f>MAX(0,J258-12)</f>
        <v/>
      </c>
      <c r="O258" s="5" t="n"/>
      <c r="P258" s="6">
        <f>E258*(L258+M258*1.5+N258*2+O258*3+N(K258))</f>
        <v/>
      </c>
      <c r="Q258" s="6" t="n">
        <v>318.83</v>
      </c>
      <c r="R258" s="6">
        <f>Q258-P258</f>
        <v/>
      </c>
    </row>
    <row r="259">
      <c r="A259" s="5" t="inlineStr">
        <is>
          <t>3204</t>
        </is>
      </c>
      <c r="B259" s="5" t="inlineStr"/>
      <c r="C259" s="5" t="inlineStr">
        <is>
          <t>ELECTRICIAN#2</t>
        </is>
      </c>
      <c r="D259" s="5" t="inlineStr">
        <is>
          <t>Local728</t>
        </is>
      </c>
      <c r="E259" s="6" t="n">
        <v>20.57</v>
      </c>
      <c r="F259" s="5" t="n"/>
      <c r="G259" s="5" t="n"/>
      <c r="H259" s="5" t="n"/>
      <c r="I259" s="5" t="n"/>
      <c r="J259" s="7">
        <f>IF(AND(N(F259)&gt;0,N(I259)&gt;0),I259-F259-IF(N(G259)&gt;0,0.5,0)-IF(N(H259)&gt;0,0.5,0),0)</f>
        <v/>
      </c>
      <c r="K259" s="5" t="n"/>
      <c r="L259" s="7">
        <f>MIN(J259,10.0)</f>
        <v/>
      </c>
      <c r="M259" s="7">
        <f>MAX(0,MIN(J259,12)-10.0)</f>
        <v/>
      </c>
      <c r="N259" s="7">
        <f>MAX(0,J259-12)</f>
        <v/>
      </c>
      <c r="O259" s="5" t="n"/>
      <c r="P259" s="6">
        <f>E259*(L259+M259*1.5+N259*2+O259*3+N(K259))</f>
        <v/>
      </c>
      <c r="Q259" s="6" t="n">
        <v>318.83</v>
      </c>
      <c r="R259" s="6">
        <f>Q259-P259</f>
        <v/>
      </c>
    </row>
    <row r="260">
      <c r="A260" s="5" t="inlineStr">
        <is>
          <t>3204</t>
        </is>
      </c>
      <c r="B260" s="5" t="inlineStr"/>
      <c r="C260" s="5" t="inlineStr">
        <is>
          <t>ELECTRICIAN#3</t>
        </is>
      </c>
      <c r="D260" s="5" t="inlineStr">
        <is>
          <t>Local728</t>
        </is>
      </c>
      <c r="E260" s="6" t="n">
        <v>20.57</v>
      </c>
      <c r="F260" s="5" t="n"/>
      <c r="G260" s="5" t="n"/>
      <c r="H260" s="5" t="n"/>
      <c r="I260" s="5" t="n"/>
      <c r="J260" s="7">
        <f>IF(AND(N(F260)&gt;0,N(I260)&gt;0),I260-F260-IF(N(G260)&gt;0,0.5,0)-IF(N(H260)&gt;0,0.5,0),0)</f>
        <v/>
      </c>
      <c r="K260" s="5" t="n"/>
      <c r="L260" s="7">
        <f>MIN(J260,10.0)</f>
        <v/>
      </c>
      <c r="M260" s="7">
        <f>MAX(0,MIN(J260,12)-10.0)</f>
        <v/>
      </c>
      <c r="N260" s="7">
        <f>MAX(0,J260-12)</f>
        <v/>
      </c>
      <c r="O260" s="5" t="n"/>
      <c r="P260" s="6">
        <f>E260*(L260+M260*1.5+N260*2+O260*3+N(K260))</f>
        <v/>
      </c>
      <c r="Q260" s="6" t="n">
        <v>318.83</v>
      </c>
      <c r="R260" s="6">
        <f>Q260-P260</f>
        <v/>
      </c>
    </row>
    <row r="261">
      <c r="P261" s="2" t="inlineStr">
        <is>
          <t>ELECTRICIANS LABOR</t>
        </is>
      </c>
      <c r="R261" s="8">
        <f>SUM(R258:R260)</f>
        <v/>
      </c>
    </row>
    <row r="263">
      <c r="B263" s="2" t="inlineStr">
        <is>
          <t>ADDITIONALELECTRICLABOR</t>
        </is>
      </c>
    </row>
    <row r="264">
      <c r="A264" s="5" t="inlineStr">
        <is>
          <t>3206</t>
        </is>
      </c>
      <c r="B264" s="5" t="inlineStr"/>
      <c r="C264" s="5" t="inlineStr">
        <is>
          <t>ELECTRICMANDAYS&amp;RIGGINGMANDAYS</t>
        </is>
      </c>
      <c r="D264" s="5" t="inlineStr">
        <is>
          <t>Local728</t>
        </is>
      </c>
      <c r="E264" s="6" t="n">
        <v>20.57</v>
      </c>
      <c r="F264" s="5" t="n"/>
      <c r="G264" s="5" t="n"/>
      <c r="H264" s="5" t="n"/>
      <c r="I264" s="5" t="n"/>
      <c r="J264" s="7">
        <f>IF(AND(N(F264)&gt;0,N(I264)&gt;0),I264-F264-IF(N(G264)&gt;0,0.5,0)-IF(N(H264)&gt;0,0.5,0),0)</f>
        <v/>
      </c>
      <c r="K264" s="5" t="n"/>
      <c r="L264" s="7">
        <f>MIN(J264,10.0)</f>
        <v/>
      </c>
      <c r="M264" s="7">
        <f>MAX(0,MIN(J264,12)-10.0)</f>
        <v/>
      </c>
      <c r="N264" s="7">
        <f>MAX(0,J264-12)</f>
        <v/>
      </c>
      <c r="O264" s="5" t="n"/>
      <c r="P264" s="6">
        <f>E264*(L264+M264*1.5+N264*2+O264*3+N(K264))</f>
        <v/>
      </c>
      <c r="Q264" s="6" t="n">
        <v>318.83</v>
      </c>
      <c r="R264" s="6">
        <f>Q264-P264</f>
        <v/>
      </c>
    </row>
    <row r="265">
      <c r="P265" s="2" t="inlineStr">
        <is>
          <t>ADDITIONALELECTRICLABOR LABOR</t>
        </is>
      </c>
      <c r="R265" s="8">
        <f>SUM(R264:R264)</f>
        <v/>
      </c>
    </row>
    <row r="267">
      <c r="B267" s="2" t="inlineStr">
        <is>
          <t>DIRECTOROFPHOTOGRAPHY</t>
        </is>
      </c>
    </row>
    <row r="268">
      <c r="A268" s="5" t="inlineStr">
        <is>
          <t>3301</t>
        </is>
      </c>
      <c r="B268" s="5" t="inlineStr">
        <is>
          <t>Michael Burgess</t>
        </is>
      </c>
      <c r="C268" s="5" t="inlineStr">
        <is>
          <t>DIRECTOROFPHOTOGRAPHY</t>
        </is>
      </c>
      <c r="D268" s="5" t="inlineStr">
        <is>
          <t>Local600</t>
        </is>
      </c>
      <c r="E268" s="6" t="n">
        <v>700</v>
      </c>
      <c r="F268" s="5" t="n"/>
      <c r="G268" s="5" t="n"/>
      <c r="H268" s="5" t="n"/>
      <c r="I268" s="5" t="n"/>
      <c r="J268" s="7">
        <f>IF(AND(N(F268)&gt;0,N(I268)&gt;0),I268-F268-IF(N(G268)&gt;0,0.5,0)-IF(N(H268)&gt;0,0.5,0),0)</f>
        <v/>
      </c>
      <c r="K268" s="5" t="n"/>
      <c r="L268" s="7">
        <f>MIN(J268,8.0)</f>
        <v/>
      </c>
      <c r="M268" s="7">
        <f>MAX(0,MIN(J268,12)-8.0)</f>
        <v/>
      </c>
      <c r="N268" s="7">
        <f>MAX(0,J268-12)</f>
        <v/>
      </c>
      <c r="O268" s="5" t="n"/>
      <c r="P268" s="6">
        <f>E268*(L268+M268*1.5+N268*2+O268*3+N(K268))</f>
        <v/>
      </c>
      <c r="Q268" s="6" t="n">
        <v>700</v>
      </c>
      <c r="R268" s="6">
        <f>Q268-P268</f>
        <v/>
      </c>
    </row>
    <row r="269">
      <c r="P269" s="2" t="inlineStr">
        <is>
          <t>DIRECTOROFPHOTOGRAPHY LABOR</t>
        </is>
      </c>
      <c r="R269" s="8">
        <f>SUM(R268:R268)</f>
        <v/>
      </c>
    </row>
    <row r="271">
      <c r="B271" s="2" t="inlineStr">
        <is>
          <t>CAMERAOPERATORS</t>
        </is>
      </c>
    </row>
    <row r="272">
      <c r="A272" s="5" t="inlineStr">
        <is>
          <t>3302</t>
        </is>
      </c>
      <c r="B272" s="5" t="inlineStr">
        <is>
          <t>Craig Bauer</t>
        </is>
      </c>
      <c r="C272" s="5" t="inlineStr">
        <is>
          <t>"B"CAMERAOP</t>
        </is>
      </c>
      <c r="D272" s="5" t="inlineStr">
        <is>
          <t>Local600</t>
        </is>
      </c>
      <c r="E272" s="6" t="n">
        <v>45</v>
      </c>
      <c r="F272" s="5" t="n"/>
      <c r="G272" s="5" t="n"/>
      <c r="H272" s="5" t="n"/>
      <c r="I272" s="5" t="n"/>
      <c r="J272" s="7">
        <f>IF(AND(N(F272)&gt;0,N(I272)&gt;0),I272-F272-IF(N(G272)&gt;0,0.5,0)-IF(N(H272)&gt;0,0.5,0),0)</f>
        <v/>
      </c>
      <c r="K272" s="5" t="n"/>
      <c r="L272" s="7">
        <f>MIN(J272,8.0)</f>
        <v/>
      </c>
      <c r="M272" s="7">
        <f>MAX(0,MIN(J272,12)-8.0)</f>
        <v/>
      </c>
      <c r="N272" s="7">
        <f>MAX(0,J272-12)</f>
        <v/>
      </c>
      <c r="O272" s="5" t="n"/>
      <c r="P272" s="6">
        <f>E272*(L272+M272*1.5+N272*2+O272*3+N(K272))</f>
        <v/>
      </c>
      <c r="Q272" s="6" t="n">
        <v>630</v>
      </c>
      <c r="R272" s="6">
        <f>Q272-P272</f>
        <v/>
      </c>
    </row>
    <row r="273">
      <c r="P273" s="2" t="inlineStr">
        <is>
          <t>CAMERAOPERATORS LABOR</t>
        </is>
      </c>
      <c r="R273" s="8">
        <f>SUM(R272:R272)</f>
        <v/>
      </c>
    </row>
    <row r="275">
      <c r="B275" s="2" t="inlineStr">
        <is>
          <t>DIGITALIMAGINGTECHS</t>
        </is>
      </c>
    </row>
    <row r="276">
      <c r="A276" s="5" t="inlineStr">
        <is>
          <t>3304</t>
        </is>
      </c>
      <c r="B276" s="5" t="inlineStr">
        <is>
          <t>Oliver Mancebo</t>
        </is>
      </c>
      <c r="C276" s="5" t="inlineStr">
        <is>
          <t>DIT</t>
        </is>
      </c>
      <c r="D276" s="5" t="inlineStr">
        <is>
          <t>Local600</t>
        </is>
      </c>
      <c r="E276" s="6" t="n">
        <v>35</v>
      </c>
      <c r="F276" s="5" t="n"/>
      <c r="G276" s="5" t="n"/>
      <c r="H276" s="5" t="n"/>
      <c r="I276" s="5" t="n"/>
      <c r="J276" s="7">
        <f>IF(AND(N(F276)&gt;0,N(I276)&gt;0),I276-F276-IF(N(G276)&gt;0,0.5,0)-IF(N(H276)&gt;0,0.5,0),0)</f>
        <v/>
      </c>
      <c r="K276" s="5" t="n"/>
      <c r="L276" s="7">
        <f>MIN(J276,8.0)</f>
        <v/>
      </c>
      <c r="M276" s="7">
        <f>MAX(0,MIN(J276,12)-8.0)</f>
        <v/>
      </c>
      <c r="N276" s="7">
        <f>MAX(0,J276-12)</f>
        <v/>
      </c>
      <c r="O276" s="5" t="n"/>
      <c r="P276" s="6">
        <f>E276*(L276+M276*1.5+N276*2+O276*3+N(K276))</f>
        <v/>
      </c>
      <c r="Q276" s="6" t="n">
        <v>542.5</v>
      </c>
      <c r="R276" s="6">
        <f>Q276-P276</f>
        <v/>
      </c>
    </row>
    <row r="277">
      <c r="P277" s="2" t="inlineStr">
        <is>
          <t>DIGITALIMAGINGTECHS LABOR</t>
        </is>
      </c>
      <c r="R277" s="8">
        <f>SUM(R276:R276)</f>
        <v/>
      </c>
    </row>
    <row r="279">
      <c r="B279" s="2" t="inlineStr">
        <is>
          <t>1STASSTCAMERA</t>
        </is>
      </c>
    </row>
    <row r="280">
      <c r="A280" s="5" t="inlineStr">
        <is>
          <t>3305</t>
        </is>
      </c>
      <c r="B280" s="5" t="inlineStr">
        <is>
          <t>Steve Cueva</t>
        </is>
      </c>
      <c r="C280" s="5" t="inlineStr">
        <is>
          <t>"A"CAMERA 1STAC</t>
        </is>
      </c>
      <c r="D280" s="5" t="inlineStr">
        <is>
          <t>Local600</t>
        </is>
      </c>
      <c r="E280" s="6" t="n">
        <v>25.5</v>
      </c>
      <c r="F280" s="5" t="n"/>
      <c r="G280" s="5" t="n"/>
      <c r="H280" s="5" t="n"/>
      <c r="I280" s="5" t="n"/>
      <c r="J280" s="7">
        <f>IF(AND(N(F280)&gt;0,N(I280)&gt;0),I280-F280-IF(N(G280)&gt;0,0.5,0)-IF(N(H280)&gt;0,0.5,0),0)</f>
        <v/>
      </c>
      <c r="K280" s="5" t="n"/>
      <c r="L280" s="7">
        <f>MIN(J280,8.0)</f>
        <v/>
      </c>
      <c r="M280" s="7">
        <f>MAX(0,MIN(J280,12)-8.0)</f>
        <v/>
      </c>
      <c r="N280" s="7">
        <f>MAX(0,J280-12)</f>
        <v/>
      </c>
      <c r="O280" s="5" t="n"/>
      <c r="P280" s="6">
        <f>E280*(L280+M280*1.5+N280*2+O280*3+N(K280))</f>
        <v/>
      </c>
      <c r="Q280" s="6" t="n">
        <v>395.25</v>
      </c>
      <c r="R280" s="6">
        <f>Q280-P280</f>
        <v/>
      </c>
    </row>
    <row r="281">
      <c r="A281" s="5" t="inlineStr">
        <is>
          <t>3305</t>
        </is>
      </c>
      <c r="B281" s="5" t="inlineStr">
        <is>
          <t>Chris Garcia</t>
        </is>
      </c>
      <c r="C281" s="5" t="inlineStr">
        <is>
          <t>"B"CAMERA 1STAC</t>
        </is>
      </c>
      <c r="D281" s="5" t="inlineStr">
        <is>
          <t>Local600</t>
        </is>
      </c>
      <c r="E281" s="6" t="n">
        <v>25.5</v>
      </c>
      <c r="F281" s="5" t="n"/>
      <c r="G281" s="5" t="n"/>
      <c r="H281" s="5" t="n"/>
      <c r="I281" s="5" t="n"/>
      <c r="J281" s="7">
        <f>IF(AND(N(F281)&gt;0,N(I281)&gt;0),I281-F281-IF(N(G281)&gt;0,0.5,0)-IF(N(H281)&gt;0,0.5,0),0)</f>
        <v/>
      </c>
      <c r="K281" s="5" t="n"/>
      <c r="L281" s="7">
        <f>MIN(J281,8.0)</f>
        <v/>
      </c>
      <c r="M281" s="7">
        <f>MAX(0,MIN(J281,12)-8.0)</f>
        <v/>
      </c>
      <c r="N281" s="7">
        <f>MAX(0,J281-12)</f>
        <v/>
      </c>
      <c r="O281" s="5" t="n"/>
      <c r="P281" s="6">
        <f>E281*(L281+M281*1.5+N281*2+O281*3+N(K281))</f>
        <v/>
      </c>
      <c r="Q281" s="6" t="n">
        <v>395.25</v>
      </c>
      <c r="R281" s="6">
        <f>Q281-P281</f>
        <v/>
      </c>
    </row>
    <row r="282">
      <c r="P282" s="2" t="inlineStr">
        <is>
          <t>1STASSTCAMERA LABOR</t>
        </is>
      </c>
      <c r="R282" s="8">
        <f>SUM(R280:R281)</f>
        <v/>
      </c>
    </row>
    <row r="284">
      <c r="B284" s="2" t="inlineStr">
        <is>
          <t>2NDASSTCAMERA</t>
        </is>
      </c>
    </row>
    <row r="285">
      <c r="A285" s="5" t="inlineStr">
        <is>
          <t>3306</t>
        </is>
      </c>
      <c r="B285" s="5" t="inlineStr">
        <is>
          <t>Manny Serrano</t>
        </is>
      </c>
      <c r="C285" s="5" t="inlineStr">
        <is>
          <t>"A"CAMERA 2NDAC</t>
        </is>
      </c>
      <c r="D285" s="5" t="inlineStr">
        <is>
          <t>Local600</t>
        </is>
      </c>
      <c r="E285" s="6" t="n">
        <v>23.04</v>
      </c>
      <c r="F285" s="5" t="n"/>
      <c r="G285" s="5" t="n"/>
      <c r="H285" s="5" t="n"/>
      <c r="I285" s="5" t="n"/>
      <c r="J285" s="7">
        <f>IF(AND(N(F285)&gt;0,N(I285)&gt;0),I285-F285-IF(N(G285)&gt;0,0.5,0)-IF(N(H285)&gt;0,0.5,0),0)</f>
        <v/>
      </c>
      <c r="K285" s="5" t="n"/>
      <c r="L285" s="7">
        <f>MIN(J285,8.0)</f>
        <v/>
      </c>
      <c r="M285" s="7">
        <f>MAX(0,MIN(J285,12)-8.0)</f>
        <v/>
      </c>
      <c r="N285" s="7">
        <f>MAX(0,J285-12)</f>
        <v/>
      </c>
      <c r="O285" s="5" t="n"/>
      <c r="P285" s="6">
        <f>E285*(L285+M285*1.5+N285*2+O285*3+N(K285))</f>
        <v/>
      </c>
      <c r="Q285" s="6" t="n">
        <v>357.12</v>
      </c>
      <c r="R285" s="6">
        <f>Q285-P285</f>
        <v/>
      </c>
    </row>
    <row r="286">
      <c r="A286" s="5" t="inlineStr">
        <is>
          <t>3306</t>
        </is>
      </c>
      <c r="B286" s="5" t="inlineStr"/>
      <c r="C286" s="5" t="inlineStr">
        <is>
          <t>"B"CAMERA 2NDAC</t>
        </is>
      </c>
      <c r="D286" s="5" t="inlineStr">
        <is>
          <t>Local600</t>
        </is>
      </c>
      <c r="E286" s="6" t="n">
        <v>23.04</v>
      </c>
      <c r="F286" s="5" t="n"/>
      <c r="G286" s="5" t="n"/>
      <c r="H286" s="5" t="n"/>
      <c r="I286" s="5" t="n"/>
      <c r="J286" s="7">
        <f>IF(AND(N(F286)&gt;0,N(I286)&gt;0),I286-F286-IF(N(G286)&gt;0,0.5,0)-IF(N(H286)&gt;0,0.5,0),0)</f>
        <v/>
      </c>
      <c r="K286" s="5" t="n"/>
      <c r="L286" s="7">
        <f>MIN(J286,8.0)</f>
        <v/>
      </c>
      <c r="M286" s="7">
        <f>MAX(0,MIN(J286,12)-8.0)</f>
        <v/>
      </c>
      <c r="N286" s="7">
        <f>MAX(0,J286-12)</f>
        <v/>
      </c>
      <c r="O286" s="5" t="n"/>
      <c r="P286" s="6">
        <f>E286*(L286+M286*1.5+N286*2+O286*3+N(K286))</f>
        <v/>
      </c>
      <c r="Q286" s="6" t="n">
        <v>357.12</v>
      </c>
      <c r="R286" s="6">
        <f>Q286-P286</f>
        <v/>
      </c>
    </row>
    <row r="287">
      <c r="P287" s="2" t="inlineStr">
        <is>
          <t>2NDASSTCAMERA LABOR</t>
        </is>
      </c>
      <c r="R287" s="8">
        <f>SUM(R285:R286)</f>
        <v/>
      </c>
    </row>
    <row r="289">
      <c r="B289" s="2" t="inlineStr">
        <is>
          <t>STILLPHOTOGRAPHER</t>
        </is>
      </c>
    </row>
    <row r="290">
      <c r="A290" s="5" t="inlineStr">
        <is>
          <t>3308</t>
        </is>
      </c>
      <c r="B290" s="5" t="inlineStr">
        <is>
          <t>Scott Patrick Green</t>
        </is>
      </c>
      <c r="C290" s="5" t="inlineStr">
        <is>
          <t>STILLPHOTOGRAPHER</t>
        </is>
      </c>
      <c r="D290" s="5" t="inlineStr">
        <is>
          <t>Local600</t>
        </is>
      </c>
      <c r="E290" s="6" t="n">
        <v>26.5</v>
      </c>
      <c r="F290" s="5" t="n"/>
      <c r="G290" s="5" t="n"/>
      <c r="H290" s="5" t="n"/>
      <c r="I290" s="5" t="n"/>
      <c r="J290" s="7">
        <f>IF(AND(N(F290)&gt;0,N(I290)&gt;0),I290-F290-IF(N(G290)&gt;0,0.5,0)-IF(N(H290)&gt;0,0.5,0),0)</f>
        <v/>
      </c>
      <c r="K290" s="5" t="n"/>
      <c r="L290" s="7">
        <f>MIN(J290,8.0)</f>
        <v/>
      </c>
      <c r="M290" s="7">
        <f>MAX(0,MIN(J290,12)-8.0)</f>
        <v/>
      </c>
      <c r="N290" s="7">
        <f>MAX(0,J290-12)</f>
        <v/>
      </c>
      <c r="O290" s="5" t="n"/>
      <c r="P290" s="6">
        <f>E290*(L290+M290*1.5+N290*2+O290*3+N(K290))</f>
        <v/>
      </c>
      <c r="Q290" s="6" t="n">
        <v>291.5</v>
      </c>
      <c r="R290" s="6">
        <f>Q290-P290</f>
        <v/>
      </c>
    </row>
    <row r="291">
      <c r="P291" s="2" t="inlineStr">
        <is>
          <t>STILLPHOTOGRAPHER LABOR</t>
        </is>
      </c>
      <c r="R291" s="8">
        <f>SUM(R290:R290)</f>
        <v/>
      </c>
    </row>
    <row r="293">
      <c r="B293" s="2" t="inlineStr">
        <is>
          <t>AERIAL/UNDERWATERPHOTOGRAPHY</t>
        </is>
      </c>
    </row>
    <row r="294">
      <c r="A294" s="5" t="inlineStr">
        <is>
          <t>3385</t>
        </is>
      </c>
      <c r="B294" s="5" t="inlineStr"/>
      <c r="C294" s="5" t="inlineStr">
        <is>
          <t>UNDERWATEROPERATOR</t>
        </is>
      </c>
      <c r="D294" s="5" t="inlineStr">
        <is>
          <t>Local600</t>
        </is>
      </c>
      <c r="E294" s="6" t="n">
        <v>65</v>
      </c>
      <c r="F294" s="5" t="n"/>
      <c r="G294" s="5" t="n"/>
      <c r="H294" s="5" t="n"/>
      <c r="I294" s="5" t="n"/>
      <c r="J294" s="7">
        <f>IF(AND(N(F294)&gt;0,N(I294)&gt;0),I294-F294-IF(N(G294)&gt;0,0.5,0)-IF(N(H294)&gt;0,0.5,0),0)</f>
        <v/>
      </c>
      <c r="K294" s="5" t="n"/>
      <c r="L294" s="7">
        <f>MIN(J294,8.0)</f>
        <v/>
      </c>
      <c r="M294" s="7">
        <f>MAX(0,MIN(J294,12)-8.0)</f>
        <v/>
      </c>
      <c r="N294" s="7">
        <f>MAX(0,J294-12)</f>
        <v/>
      </c>
      <c r="O294" s="5" t="n"/>
      <c r="P294" s="6">
        <f>E294*(L294+M294*1.5+N294*2+O294*3+N(K294))</f>
        <v/>
      </c>
      <c r="Q294" s="6" t="n">
        <v>910</v>
      </c>
      <c r="R294" s="6">
        <f>Q294-P294</f>
        <v/>
      </c>
    </row>
    <row r="295">
      <c r="P295" s="2" t="inlineStr">
        <is>
          <t>AERIAL/UNDERWATERPHOTOGRAPHY LABOR</t>
        </is>
      </c>
      <c r="R295" s="8">
        <f>SUM(R294:R294)</f>
        <v/>
      </c>
    </row>
    <row r="297">
      <c r="B297" s="2" t="inlineStr">
        <is>
          <t>SOUNDMIXER</t>
        </is>
      </c>
    </row>
    <row r="298">
      <c r="A298" s="5" t="inlineStr">
        <is>
          <t>3401</t>
        </is>
      </c>
      <c r="B298" s="5" t="inlineStr">
        <is>
          <t>Julian Howarth</t>
        </is>
      </c>
      <c r="C298" s="5" t="inlineStr">
        <is>
          <t>SOUNDMIXER</t>
        </is>
      </c>
      <c r="D298" s="5" t="inlineStr">
        <is>
          <t>Local695</t>
        </is>
      </c>
      <c r="E298" s="6" t="n">
        <v>26.5</v>
      </c>
      <c r="F298" s="5" t="n"/>
      <c r="G298" s="5" t="n"/>
      <c r="H298" s="5" t="n"/>
      <c r="I298" s="5" t="n"/>
      <c r="J298" s="7">
        <f>IF(AND(N(F298)&gt;0,N(I298)&gt;0),I298-F298-IF(N(G298)&gt;0,0.5,0)-IF(N(H298)&gt;0,0.5,0),0)</f>
        <v/>
      </c>
      <c r="K298" s="5" t="n"/>
      <c r="L298" s="7">
        <f>MIN(J298,10.0)</f>
        <v/>
      </c>
      <c r="M298" s="7">
        <f>MAX(0,MIN(J298,12)-10.0)</f>
        <v/>
      </c>
      <c r="N298" s="7">
        <f>MAX(0,J298-12)</f>
        <v/>
      </c>
      <c r="O298" s="5" t="n"/>
      <c r="P298" s="6">
        <f>E298*(L298+M298*1.5+N298*2+O298*3+N(K298))</f>
        <v/>
      </c>
      <c r="Q298" s="6" t="n">
        <v>410.75</v>
      </c>
      <c r="R298" s="6">
        <f>Q298-P298</f>
        <v/>
      </c>
    </row>
    <row r="299">
      <c r="P299" s="2" t="inlineStr">
        <is>
          <t>SOUNDMIXER LABOR</t>
        </is>
      </c>
      <c r="R299" s="8">
        <f>SUM(R298:R298)</f>
        <v/>
      </c>
    </row>
    <row r="301">
      <c r="B301" s="2" t="inlineStr">
        <is>
          <t>BOOMOPERATOR</t>
        </is>
      </c>
    </row>
    <row r="302">
      <c r="A302" s="5" t="inlineStr">
        <is>
          <t>3402</t>
        </is>
      </c>
      <c r="B302" s="5" t="inlineStr">
        <is>
          <t>Tim Song Jones</t>
        </is>
      </c>
      <c r="C302" s="5" t="inlineStr">
        <is>
          <t>BOOMOPERATOR</t>
        </is>
      </c>
      <c r="D302" s="5" t="inlineStr">
        <is>
          <t>Local695</t>
        </is>
      </c>
      <c r="E302" s="6" t="n">
        <v>23.04</v>
      </c>
      <c r="F302" s="5" t="n"/>
      <c r="G302" s="5" t="n"/>
      <c r="H302" s="5" t="n"/>
      <c r="I302" s="5" t="n"/>
      <c r="J302" s="7">
        <f>IF(AND(N(F302)&gt;0,N(I302)&gt;0),I302-F302-IF(N(G302)&gt;0,0.5,0)-IF(N(H302)&gt;0,0.5,0),0)</f>
        <v/>
      </c>
      <c r="K302" s="5" t="n"/>
      <c r="L302" s="7">
        <f>MIN(J302,10.0)</f>
        <v/>
      </c>
      <c r="M302" s="7">
        <f>MAX(0,MIN(J302,12)-10.0)</f>
        <v/>
      </c>
      <c r="N302" s="7">
        <f>MAX(0,J302-12)</f>
        <v/>
      </c>
      <c r="O302" s="5" t="n"/>
      <c r="P302" s="6">
        <f>E302*(L302+M302*1.5+N302*2+O302*3+N(K302))</f>
        <v/>
      </c>
      <c r="Q302" s="6" t="n">
        <v>357.12</v>
      </c>
      <c r="R302" s="6">
        <f>Q302-P302</f>
        <v/>
      </c>
    </row>
    <row r="303">
      <c r="P303" s="2" t="inlineStr">
        <is>
          <t>BOOMOPERATOR LABOR</t>
        </is>
      </c>
      <c r="R303" s="8">
        <f>SUM(R302:R302)</f>
        <v/>
      </c>
    </row>
    <row r="305">
      <c r="B305" s="2" t="inlineStr">
        <is>
          <t>CABLEPERSON</t>
        </is>
      </c>
    </row>
    <row r="306">
      <c r="A306" s="5" t="inlineStr">
        <is>
          <t>3403</t>
        </is>
      </c>
      <c r="B306" s="5" t="inlineStr"/>
      <c r="C306" s="5" t="inlineStr">
        <is>
          <t>UTILITYSOUND</t>
        </is>
      </c>
      <c r="D306" s="5" t="inlineStr">
        <is>
          <t>Local695</t>
        </is>
      </c>
      <c r="E306" s="6" t="n">
        <v>20.57</v>
      </c>
      <c r="F306" s="5" t="n"/>
      <c r="G306" s="5" t="n"/>
      <c r="H306" s="5" t="n"/>
      <c r="I306" s="5" t="n"/>
      <c r="J306" s="7">
        <f>IF(AND(N(F306)&gt;0,N(I306)&gt;0),I306-F306-IF(N(G306)&gt;0,0.5,0)-IF(N(H306)&gt;0,0.5,0),0)</f>
        <v/>
      </c>
      <c r="K306" s="5" t="n"/>
      <c r="L306" s="7">
        <f>MIN(J306,10.0)</f>
        <v/>
      </c>
      <c r="M306" s="7">
        <f>MAX(0,MIN(J306,12)-10.0)</f>
        <v/>
      </c>
      <c r="N306" s="7">
        <f>MAX(0,J306-12)</f>
        <v/>
      </c>
      <c r="O306" s="5" t="n"/>
      <c r="P306" s="6">
        <f>E306*(L306+M306*1.5+N306*2+O306*3+N(K306))</f>
        <v/>
      </c>
      <c r="Q306" s="6" t="n">
        <v>318.83</v>
      </c>
      <c r="R306" s="6">
        <f>Q306-P306</f>
        <v/>
      </c>
    </row>
    <row r="307">
      <c r="P307" s="2" t="inlineStr">
        <is>
          <t>CABLEPERSON LABOR</t>
        </is>
      </c>
      <c r="R307" s="8">
        <f>SUM(R306:R306)</f>
        <v/>
      </c>
    </row>
    <row r="309">
      <c r="B309" s="2" t="inlineStr">
        <is>
          <t>VIDEOASSIST</t>
        </is>
      </c>
    </row>
    <row r="310">
      <c r="A310" s="5" t="inlineStr">
        <is>
          <t>3404</t>
        </is>
      </c>
      <c r="B310" s="5" t="inlineStr">
        <is>
          <t>Jeff Snyder</t>
        </is>
      </c>
      <c r="C310" s="5" t="inlineStr">
        <is>
          <t>VIDEOASSISTOPERATOR</t>
        </is>
      </c>
      <c r="D310" s="5" t="inlineStr">
        <is>
          <t>Local695</t>
        </is>
      </c>
      <c r="E310" s="6" t="n">
        <v>23.04</v>
      </c>
      <c r="F310" s="5" t="n"/>
      <c r="G310" s="5" t="n"/>
      <c r="H310" s="5" t="n"/>
      <c r="I310" s="5" t="n"/>
      <c r="J310" s="7">
        <f>IF(AND(N(F310)&gt;0,N(I310)&gt;0),I310-F310-IF(N(G310)&gt;0,0.5,0)-IF(N(H310)&gt;0,0.5,0),0)</f>
        <v/>
      </c>
      <c r="K310" s="5" t="n"/>
      <c r="L310" s="7">
        <f>MIN(J310,10.0)</f>
        <v/>
      </c>
      <c r="M310" s="7">
        <f>MAX(0,MIN(J310,12)-10.0)</f>
        <v/>
      </c>
      <c r="N310" s="7">
        <f>MAX(0,J310-12)</f>
        <v/>
      </c>
      <c r="O310" s="5" t="n"/>
      <c r="P310" s="6">
        <f>E310*(L310+M310*1.5+N310*2+O310*3+N(K310))</f>
        <v/>
      </c>
      <c r="Q310" s="6" t="n">
        <v>357.12</v>
      </c>
      <c r="R310" s="6">
        <f>Q310-P310</f>
        <v/>
      </c>
    </row>
    <row r="311">
      <c r="P311" s="2" t="inlineStr">
        <is>
          <t>VIDEOASSIST LABOR</t>
        </is>
      </c>
      <c r="R311" s="8">
        <f>SUM(R310:R310)</f>
        <v/>
      </c>
    </row>
    <row r="313">
      <c r="B313" s="2" t="inlineStr">
        <is>
          <t>CAPTAIN</t>
        </is>
      </c>
    </row>
    <row r="314">
      <c r="A314" s="5" t="inlineStr">
        <is>
          <t>3502</t>
        </is>
      </c>
      <c r="B314" s="5" t="inlineStr">
        <is>
          <t>Kevin Caira</t>
        </is>
      </c>
      <c r="C314" s="5" t="inlineStr">
        <is>
          <t>TRANSPOCAPTAIN(LA)</t>
        </is>
      </c>
      <c r="D314" s="5" t="inlineStr">
        <is>
          <t>Local399</t>
        </is>
      </c>
      <c r="E314" s="6" t="n">
        <v>37.21</v>
      </c>
      <c r="F314" s="5" t="n"/>
      <c r="G314" s="5" t="n"/>
      <c r="H314" s="5" t="n"/>
      <c r="I314" s="5" t="n"/>
      <c r="J314" s="7">
        <f>IF(AND(N(F314)&gt;0,N(I314)&gt;0),I314-F314-IF(N(G314)&gt;0,0.5,0)-IF(N(H314)&gt;0,0.5,0),0)</f>
        <v/>
      </c>
      <c r="K314" s="5" t="n"/>
      <c r="L314" s="7">
        <f>MIN(J314,8.0)</f>
        <v/>
      </c>
      <c r="M314" s="7">
        <f>MAX(0,MIN(J314,12)-8.0)</f>
        <v/>
      </c>
      <c r="N314" s="7">
        <f>MAX(0,J314-12)</f>
        <v/>
      </c>
      <c r="O314" s="5" t="n"/>
      <c r="P314" s="6">
        <f>E314*(L314+M314*1.5+N314*2+O314*3+N(K314))</f>
        <v/>
      </c>
      <c r="Q314" s="6" t="n">
        <v>651.17</v>
      </c>
      <c r="R314" s="6">
        <f>Q314-P314</f>
        <v/>
      </c>
    </row>
    <row r="315">
      <c r="A315" s="5" t="inlineStr">
        <is>
          <t>3502</t>
        </is>
      </c>
      <c r="B315" s="5" t="inlineStr">
        <is>
          <t>Tina Peterson</t>
        </is>
      </c>
      <c r="C315" s="5" t="inlineStr">
        <is>
          <t>CO-CAPTAIN</t>
        </is>
      </c>
      <c r="D315" s="5" t="inlineStr">
        <is>
          <t>Local399</t>
        </is>
      </c>
      <c r="E315" s="6" t="n">
        <v>37.21</v>
      </c>
      <c r="F315" s="5" t="n"/>
      <c r="G315" s="5" t="n"/>
      <c r="H315" s="5" t="n"/>
      <c r="I315" s="5" t="n"/>
      <c r="J315" s="7">
        <f>IF(AND(N(F315)&gt;0,N(I315)&gt;0),I315-F315-IF(N(G315)&gt;0,0.5,0)-IF(N(H315)&gt;0,0.5,0),0)</f>
        <v/>
      </c>
      <c r="K315" s="5" t="n"/>
      <c r="L315" s="7">
        <f>MIN(J315,8.0)</f>
        <v/>
      </c>
      <c r="M315" s="7">
        <f>MAX(0,MIN(J315,12)-8.0)</f>
        <v/>
      </c>
      <c r="N315" s="7">
        <f>MAX(0,J315-12)</f>
        <v/>
      </c>
      <c r="O315" s="5" t="n"/>
      <c r="P315" s="6">
        <f>E315*(L315+M315*1.5+N315*2+O315*3+N(K315))</f>
        <v/>
      </c>
      <c r="Q315" s="6" t="n">
        <v>576.75</v>
      </c>
      <c r="R315" s="6">
        <f>Q315-P315</f>
        <v/>
      </c>
    </row>
    <row r="316">
      <c r="P316" s="2" t="inlineStr">
        <is>
          <t>CAPTAIN LABOR</t>
        </is>
      </c>
      <c r="R316" s="8">
        <f>SUM(R314:R315)</f>
        <v/>
      </c>
    </row>
    <row r="318">
      <c r="B318" s="2" t="inlineStr">
        <is>
          <t>DRIVERS</t>
        </is>
      </c>
    </row>
    <row r="319">
      <c r="A319" s="5" t="inlineStr">
        <is>
          <t>3503</t>
        </is>
      </c>
      <c r="B319" s="5" t="inlineStr"/>
      <c r="C319" s="5" t="inlineStr">
        <is>
          <t>GRIPTRUCK 48'TRACTORTRAILERDRIVER</t>
        </is>
      </c>
      <c r="D319" s="5" t="inlineStr"/>
      <c r="E319" s="6" t="n">
        <v>32.36</v>
      </c>
      <c r="F319" s="5" t="n"/>
      <c r="G319" s="5" t="n"/>
      <c r="H319" s="5" t="n"/>
      <c r="I319" s="5" t="n"/>
      <c r="J319" s="7">
        <f>IF(AND(N(F319)&gt;0,N(I319)&gt;0),I319-F319-IF(N(G319)&gt;0,0.5,0)-IF(N(H319)&gt;0,0.5,0),0)</f>
        <v/>
      </c>
      <c r="K319" s="5" t="n"/>
      <c r="L319" s="7">
        <f>MIN(J319,8.0)</f>
        <v/>
      </c>
      <c r="M319" s="7">
        <f>MAX(0,MIN(J319,12)-8.0)</f>
        <v/>
      </c>
      <c r="N319" s="7">
        <f>MAX(0,J319-12)</f>
        <v/>
      </c>
      <c r="O319" s="5" t="n"/>
      <c r="P319" s="6">
        <f>E319*(L319+M319*1.5+N319*2+O319*3+N(K319))</f>
        <v/>
      </c>
      <c r="Q319" s="6" t="n">
        <v>501.58</v>
      </c>
      <c r="R319" s="6">
        <f>Q319-P319</f>
        <v/>
      </c>
    </row>
    <row r="320">
      <c r="A320" s="5" t="inlineStr">
        <is>
          <t>3503</t>
        </is>
      </c>
      <c r="B320" s="5" t="inlineStr">
        <is>
          <t>Donald Wilson</t>
        </is>
      </c>
      <c r="C320" s="5" t="inlineStr">
        <is>
          <t>PROP 5-TON(ENCLOSED)</t>
        </is>
      </c>
      <c r="D320" s="5" t="inlineStr"/>
      <c r="E320" s="6" t="n">
        <v>32.36</v>
      </c>
      <c r="F320" s="5" t="n"/>
      <c r="G320" s="5" t="n"/>
      <c r="H320" s="5" t="n"/>
      <c r="I320" s="5" t="n"/>
      <c r="J320" s="7">
        <f>IF(AND(N(F320)&gt;0,N(I320)&gt;0),I320-F320-IF(N(G320)&gt;0,0.5,0)-IF(N(H320)&gt;0,0.5,0),0)</f>
        <v/>
      </c>
      <c r="K320" s="5" t="n"/>
      <c r="L320" s="7">
        <f>MIN(J320,8.0)</f>
        <v/>
      </c>
      <c r="M320" s="7">
        <f>MAX(0,MIN(J320,12)-8.0)</f>
        <v/>
      </c>
      <c r="N320" s="7">
        <f>MAX(0,J320-12)</f>
        <v/>
      </c>
      <c r="O320" s="5" t="n"/>
      <c r="P320" s="6">
        <f>E320*(L320+M320*1.5+N320*2+O320*3+N(K320))</f>
        <v/>
      </c>
      <c r="Q320" s="6" t="n">
        <v>501.58</v>
      </c>
      <c r="R320" s="6">
        <f>Q320-P320</f>
        <v/>
      </c>
    </row>
    <row r="321">
      <c r="A321" s="5" t="inlineStr">
        <is>
          <t>3503</t>
        </is>
      </c>
      <c r="B321" s="5" t="inlineStr"/>
      <c r="C321" s="5" t="inlineStr">
        <is>
          <t>WARDROBESTAKEBEDDRIVER#1</t>
        </is>
      </c>
      <c r="D321" s="5" t="inlineStr"/>
      <c r="E321" s="6" t="n">
        <v>37.99</v>
      </c>
      <c r="F321" s="5" t="n"/>
      <c r="G321" s="5" t="n"/>
      <c r="H321" s="5" t="n"/>
      <c r="I321" s="5" t="n"/>
      <c r="J321" s="7">
        <f>IF(AND(N(F321)&gt;0,N(I321)&gt;0),I321-F321-IF(N(G321)&gt;0,0.5,0)-IF(N(H321)&gt;0,0.5,0),0)</f>
        <v/>
      </c>
      <c r="K321" s="5" t="n"/>
      <c r="L321" s="7">
        <f>MIN(J321,8.0)</f>
        <v/>
      </c>
      <c r="M321" s="7">
        <f>MAX(0,MIN(J321,12)-8.0)</f>
        <v/>
      </c>
      <c r="N321" s="7">
        <f>MAX(0,J321-12)</f>
        <v/>
      </c>
      <c r="O321" s="5" t="n"/>
      <c r="P321" s="6">
        <f>E321*(L321+M321*1.5+N321*2+O321*3+N(K321))</f>
        <v/>
      </c>
      <c r="Q321" s="6" t="n">
        <v>588.85</v>
      </c>
      <c r="R321" s="6">
        <f>Q321-P321</f>
        <v/>
      </c>
    </row>
    <row r="322">
      <c r="A322" s="5" t="inlineStr">
        <is>
          <t>3503</t>
        </is>
      </c>
      <c r="B322" s="5" t="inlineStr"/>
      <c r="C322" s="5" t="inlineStr">
        <is>
          <t>MAKEUPHAIRTRAILERDRIVER</t>
        </is>
      </c>
      <c r="D322" s="5" t="inlineStr"/>
      <c r="E322" s="6" t="n">
        <v>32.36</v>
      </c>
      <c r="F322" s="5" t="n"/>
      <c r="G322" s="5" t="n"/>
      <c r="H322" s="5" t="n"/>
      <c r="I322" s="5" t="n"/>
      <c r="J322" s="7">
        <f>IF(AND(N(F322)&gt;0,N(I322)&gt;0),I322-F322-IF(N(G322)&gt;0,0.5,0)-IF(N(H322)&gt;0,0.5,0),0)</f>
        <v/>
      </c>
      <c r="K322" s="5" t="n"/>
      <c r="L322" s="7">
        <f>MIN(J322,8.0)</f>
        <v/>
      </c>
      <c r="M322" s="7">
        <f>MAX(0,MIN(J322,12)-8.0)</f>
        <v/>
      </c>
      <c r="N322" s="7">
        <f>MAX(0,J322-12)</f>
        <v/>
      </c>
      <c r="O322" s="5" t="n"/>
      <c r="P322" s="6">
        <f>E322*(L322+M322*1.5+N322*2+O322*3+N(K322))</f>
        <v/>
      </c>
      <c r="Q322" s="6" t="n">
        <v>501.58</v>
      </c>
      <c r="R322" s="6">
        <f>Q322-P322</f>
        <v/>
      </c>
    </row>
    <row r="323">
      <c r="A323" s="5" t="inlineStr">
        <is>
          <t>3503</t>
        </is>
      </c>
      <c r="B323" s="5" t="inlineStr"/>
      <c r="C323" s="5" t="inlineStr">
        <is>
          <t>ELECTRIC 10TONDRIVER(GENIEOPERATOR)</t>
        </is>
      </c>
      <c r="D323" s="5" t="inlineStr"/>
      <c r="E323" s="6" t="n">
        <v>37.99</v>
      </c>
      <c r="F323" s="5" t="n"/>
      <c r="G323" s="5" t="n"/>
      <c r="H323" s="5" t="n"/>
      <c r="I323" s="5" t="n"/>
      <c r="J323" s="7">
        <f>IF(AND(N(F323)&gt;0,N(I323)&gt;0),I323-F323-IF(N(G323)&gt;0,0.5,0)-IF(N(H323)&gt;0,0.5,0),0)</f>
        <v/>
      </c>
      <c r="K323" s="5" t="n"/>
      <c r="L323" s="7">
        <f>MIN(J323,8.0)</f>
        <v/>
      </c>
      <c r="M323" s="7">
        <f>MAX(0,MIN(J323,12)-8.0)</f>
        <v/>
      </c>
      <c r="N323" s="7">
        <f>MAX(0,J323-12)</f>
        <v/>
      </c>
      <c r="O323" s="5" t="n"/>
      <c r="P323" s="6">
        <f>E323*(L323+M323*1.5+N323*2+O323*3+N(K323))</f>
        <v/>
      </c>
      <c r="Q323" s="6" t="n">
        <v>588.85</v>
      </c>
      <c r="R323" s="6">
        <f>Q323-P323</f>
        <v/>
      </c>
    </row>
    <row r="324">
      <c r="A324" s="5" t="inlineStr">
        <is>
          <t>3503</t>
        </is>
      </c>
      <c r="B324" s="5" t="inlineStr"/>
      <c r="C324" s="5" t="inlineStr">
        <is>
          <t>SOUNDCCSTAKEBEDFUELTRUCKDRIVER</t>
        </is>
      </c>
      <c r="D324" s="5" t="inlineStr"/>
      <c r="E324" s="6" t="n">
        <v>32.36</v>
      </c>
      <c r="F324" s="5" t="n"/>
      <c r="G324" s="5" t="n"/>
      <c r="H324" s="5" t="n"/>
      <c r="I324" s="5" t="n"/>
      <c r="J324" s="7">
        <f>IF(AND(N(F324)&gt;0,N(I324)&gt;0),I324-F324-IF(N(G324)&gt;0,0.5,0)-IF(N(H324)&gt;0,0.5,0),0)</f>
        <v/>
      </c>
      <c r="K324" s="5" t="n"/>
      <c r="L324" s="7">
        <f>MIN(J324,8.0)</f>
        <v/>
      </c>
      <c r="M324" s="7">
        <f>MAX(0,MIN(J324,12)-8.0)</f>
        <v/>
      </c>
      <c r="N324" s="7">
        <f>MAX(0,J324-12)</f>
        <v/>
      </c>
      <c r="O324" s="5" t="n"/>
      <c r="P324" s="6">
        <f>E324*(L324+M324*1.5+N324*2+O324*3+N(K324))</f>
        <v/>
      </c>
      <c r="Q324" s="6" t="n">
        <v>501.58</v>
      </c>
      <c r="R324" s="6">
        <f>Q324-P324</f>
        <v/>
      </c>
    </row>
    <row r="325">
      <c r="A325" s="5" t="inlineStr">
        <is>
          <t>3503</t>
        </is>
      </c>
      <c r="B325" s="5" t="inlineStr"/>
      <c r="C325" s="5" t="inlineStr">
        <is>
          <t>9-ROOMHONEYWAGONTRACTORDRIVER</t>
        </is>
      </c>
      <c r="D325" s="5" t="inlineStr"/>
      <c r="E325" s="6" t="n">
        <v>32.36</v>
      </c>
      <c r="F325" s="5" t="n"/>
      <c r="G325" s="5" t="n"/>
      <c r="H325" s="5" t="n"/>
      <c r="I325" s="5" t="n"/>
      <c r="J325" s="7">
        <f>IF(AND(N(F325)&gt;0,N(I325)&gt;0),I325-F325-IF(N(G325)&gt;0,0.5,0)-IF(N(H325)&gt;0,0.5,0),0)</f>
        <v/>
      </c>
      <c r="K325" s="5" t="n"/>
      <c r="L325" s="7">
        <f>MIN(J325,8.0)</f>
        <v/>
      </c>
      <c r="M325" s="7">
        <f>MAX(0,MIN(J325,12)-8.0)</f>
        <v/>
      </c>
      <c r="N325" s="7">
        <f>MAX(0,J325-12)</f>
        <v/>
      </c>
      <c r="O325" s="5" t="n"/>
      <c r="P325" s="6">
        <f>E325*(L325+M325*1.5+N325*2+O325*3+N(K325))</f>
        <v/>
      </c>
      <c r="Q325" s="6" t="n">
        <v>501.58</v>
      </c>
      <c r="R325" s="6">
        <f>Q325-P325</f>
        <v/>
      </c>
    </row>
    <row r="326">
      <c r="A326" s="5" t="inlineStr">
        <is>
          <t>3503</t>
        </is>
      </c>
      <c r="B326" s="5" t="inlineStr"/>
      <c r="C326" s="5" t="inlineStr">
        <is>
          <t>FORDTRANSITVANDRIVER#1</t>
        </is>
      </c>
      <c r="D326" s="5" t="inlineStr"/>
      <c r="E326" s="6" t="n">
        <v>32.36</v>
      </c>
      <c r="F326" s="5" t="n"/>
      <c r="G326" s="5" t="n"/>
      <c r="H326" s="5" t="n"/>
      <c r="I326" s="5" t="n"/>
      <c r="J326" s="7">
        <f>IF(AND(N(F326)&gt;0,N(I326)&gt;0),I326-F326-IF(N(G326)&gt;0,0.5,0)-IF(N(H326)&gt;0,0.5,0),0)</f>
        <v/>
      </c>
      <c r="K326" s="5" t="n"/>
      <c r="L326" s="7">
        <f>MIN(J326,8.0)</f>
        <v/>
      </c>
      <c r="M326" s="7">
        <f>MAX(0,MIN(J326,12)-8.0)</f>
        <v/>
      </c>
      <c r="N326" s="7">
        <f>MAX(0,J326-12)</f>
        <v/>
      </c>
      <c r="O326" s="5" t="n"/>
      <c r="P326" s="6">
        <f>E326*(L326+M326*1.5+N326*2+O326*3+N(K326))</f>
        <v/>
      </c>
      <c r="Q326" s="6" t="n">
        <v>501.58</v>
      </c>
      <c r="R326" s="6">
        <f>Q326-P326</f>
        <v/>
      </c>
    </row>
    <row r="327">
      <c r="A327" s="5" t="inlineStr">
        <is>
          <t>3503</t>
        </is>
      </c>
      <c r="B327" s="5" t="inlineStr">
        <is>
          <t>Kaiser Clark</t>
        </is>
      </c>
      <c r="C327" s="5" t="inlineStr">
        <is>
          <t>CSETDECTRUCKDRIVER#1</t>
        </is>
      </c>
      <c r="D327" s="5" t="inlineStr"/>
      <c r="E327" s="6" t="n">
        <v>32.36</v>
      </c>
      <c r="F327" s="5" t="n"/>
      <c r="G327" s="5" t="n"/>
      <c r="H327" s="5" t="n"/>
      <c r="I327" s="5" t="n"/>
      <c r="J327" s="7">
        <f>IF(AND(N(F327)&gt;0,N(I327)&gt;0),I327-F327-IF(N(G327)&gt;0,0.5,0)-IF(N(H327)&gt;0,0.5,0),0)</f>
        <v/>
      </c>
      <c r="K327" s="5" t="n"/>
      <c r="L327" s="7">
        <f>MIN(J327,8.0)</f>
        <v/>
      </c>
      <c r="M327" s="7">
        <f>MAX(0,MIN(J327,12)-8.0)</f>
        <v/>
      </c>
      <c r="N327" s="7">
        <f>MAX(0,J327-12)</f>
        <v/>
      </c>
      <c r="O327" s="5" t="n"/>
      <c r="P327" s="6">
        <f>E327*(L327+M327*1.5+N327*2+O327*3+N(K327))</f>
        <v/>
      </c>
      <c r="Q327" s="6" t="n">
        <v>501.58</v>
      </c>
      <c r="R327" s="6">
        <f>Q327-P327</f>
        <v/>
      </c>
    </row>
    <row r="328">
      <c r="A328" s="5" t="inlineStr">
        <is>
          <t>3503</t>
        </is>
      </c>
      <c r="B328" s="5" t="inlineStr"/>
      <c r="C328" s="5" t="inlineStr">
        <is>
          <t>C 5-TONENCLOSEDRIGGINGGRIPDRIVER</t>
        </is>
      </c>
      <c r="D328" s="5" t="inlineStr"/>
      <c r="E328" s="6" t="n">
        <v>32.36</v>
      </c>
      <c r="F328" s="5" t="n"/>
      <c r="G328" s="5" t="n"/>
      <c r="H328" s="5" t="n"/>
      <c r="I328" s="5" t="n"/>
      <c r="J328" s="7">
        <f>IF(AND(N(F328)&gt;0,N(I328)&gt;0),I328-F328-IF(N(G328)&gt;0,0.5,0)-IF(N(H328)&gt;0,0.5,0),0)</f>
        <v/>
      </c>
      <c r="K328" s="5" t="n"/>
      <c r="L328" s="7">
        <f>MIN(J328,8.0)</f>
        <v/>
      </c>
      <c r="M328" s="7">
        <f>MAX(0,MIN(J328,12)-8.0)</f>
        <v/>
      </c>
      <c r="N328" s="7">
        <f>MAX(0,J328-12)</f>
        <v/>
      </c>
      <c r="O328" s="5" t="n"/>
      <c r="P328" s="6">
        <f>E328*(L328+M328*1.5+N328*2+O328*3+N(K328))</f>
        <v/>
      </c>
      <c r="Q328" s="5" t="n"/>
      <c r="R328" s="6">
        <f>Q328-P328</f>
        <v/>
      </c>
    </row>
    <row r="329">
      <c r="A329" s="5" t="inlineStr">
        <is>
          <t>3503</t>
        </is>
      </c>
      <c r="B329" s="5" t="inlineStr"/>
      <c r="C329" s="5" t="inlineStr">
        <is>
          <t>SCOUTBUS</t>
        </is>
      </c>
      <c r="D329" s="5" t="inlineStr"/>
      <c r="E329" s="6" t="n">
        <v>32.36</v>
      </c>
      <c r="F329" s="5" t="n"/>
      <c r="G329" s="5" t="n"/>
      <c r="H329" s="5" t="n"/>
      <c r="I329" s="5" t="n"/>
      <c r="J329" s="7">
        <f>IF(AND(N(F329)&gt;0,N(I329)&gt;0),I329-F329-IF(N(G329)&gt;0,0.5,0)-IF(N(H329)&gt;0,0.5,0),0)</f>
        <v/>
      </c>
      <c r="K329" s="5" t="n"/>
      <c r="L329" s="7">
        <f>MIN(J329,8.0)</f>
        <v/>
      </c>
      <c r="M329" s="7">
        <f>MAX(0,MIN(J329,12)-8.0)</f>
        <v/>
      </c>
      <c r="N329" s="7">
        <f>MAX(0,J329-12)</f>
        <v/>
      </c>
      <c r="O329" s="5" t="n"/>
      <c r="P329" s="6">
        <f>E329*(L329+M329*1.5+N329*2+O329*3+N(K329))</f>
        <v/>
      </c>
      <c r="Q329" s="5" t="n"/>
      <c r="R329" s="6">
        <f>Q329-P329</f>
        <v/>
      </c>
    </row>
    <row r="330">
      <c r="A330" s="5" t="inlineStr">
        <is>
          <t>3503</t>
        </is>
      </c>
      <c r="B330" s="5" t="inlineStr"/>
      <c r="C330" s="5" t="inlineStr">
        <is>
          <t>DRIVERMANDAYS</t>
        </is>
      </c>
      <c r="D330" s="5" t="inlineStr"/>
      <c r="E330" s="6" t="n">
        <v>32.36</v>
      </c>
      <c r="F330" s="5" t="n"/>
      <c r="G330" s="5" t="n"/>
      <c r="H330" s="5" t="n"/>
      <c r="I330" s="5" t="n"/>
      <c r="J330" s="7">
        <f>IF(AND(N(F330)&gt;0,N(I330)&gt;0),I330-F330-IF(N(G330)&gt;0,0.5,0)-IF(N(H330)&gt;0,0.5,0),0)</f>
        <v/>
      </c>
      <c r="K330" s="5" t="n"/>
      <c r="L330" s="7">
        <f>MIN(J330,8.0)</f>
        <v/>
      </c>
      <c r="M330" s="7">
        <f>MAX(0,MIN(J330,12)-8.0)</f>
        <v/>
      </c>
      <c r="N330" s="7">
        <f>MAX(0,J330-12)</f>
        <v/>
      </c>
      <c r="O330" s="5" t="n"/>
      <c r="P330" s="6">
        <f>E330*(L330+M330*1.5+N330*2+O330*3+N(K330))</f>
        <v/>
      </c>
      <c r="Q330" s="5" t="n"/>
      <c r="R330" s="6">
        <f>Q330-P330</f>
        <v/>
      </c>
    </row>
    <row r="331">
      <c r="P331" s="2" t="inlineStr">
        <is>
          <t>DRIVERS LABOR</t>
        </is>
      </c>
      <c r="R331" s="8">
        <f>SUM(R319:R330)</f>
        <v/>
      </c>
    </row>
    <row r="333">
      <c r="B333" s="2" t="inlineStr">
        <is>
          <t>LOCATIONSITEFEES</t>
        </is>
      </c>
    </row>
    <row r="334">
      <c r="A334" s="5" t="inlineStr">
        <is>
          <t>3607</t>
        </is>
      </c>
      <c r="B334" s="5" t="inlineStr"/>
      <c r="C334" s="5" t="inlineStr">
        <is>
          <t>Location#1(Hospital ER, LACountry Childrens Shelter, Shelter Dorm, Dept...</t>
        </is>
      </c>
      <c r="D334" s="5" t="inlineStr">
        <is>
          <t>Local400</t>
        </is>
      </c>
      <c r="E334" s="6" t="n">
        <v>50000</v>
      </c>
      <c r="F334" s="5" t="n"/>
      <c r="G334" s="5" t="n"/>
      <c r="H334" s="5" t="n"/>
      <c r="I334" s="5" t="n"/>
      <c r="J334" s="7">
        <f>IF(AND(N(F334)&gt;0,N(I334)&gt;0),I334-F334-IF(N(G334)&gt;0,0.5,0)-IF(N(H334)&gt;0,0.5,0),0)</f>
        <v/>
      </c>
      <c r="K334" s="5" t="n"/>
      <c r="L334" s="7">
        <f>MIN(J334,8.0)</f>
        <v/>
      </c>
      <c r="M334" s="7">
        <f>MAX(0,MIN(J334,12)-8.0)</f>
        <v/>
      </c>
      <c r="N334" s="7">
        <f>MAX(0,J334-12)</f>
        <v/>
      </c>
      <c r="O334" s="5" t="n"/>
      <c r="P334" s="6">
        <f>E334*(L334+M334*1.5+N334*2+O334*3+N(K334))</f>
        <v/>
      </c>
      <c r="Q334" s="6" t="n">
        <v>50000</v>
      </c>
      <c r="R334" s="6">
        <f>Q334-P334</f>
        <v/>
      </c>
    </row>
    <row r="335">
      <c r="P335" s="2" t="inlineStr">
        <is>
          <t>LOCATIONSITEFEES LABOR</t>
        </is>
      </c>
      <c r="R335" s="8">
        <f>SUM(R334:R334)</f>
        <v/>
      </c>
    </row>
    <row r="337">
      <c r="B337" s="2" t="inlineStr">
        <is>
          <t>CATERINGLABOR</t>
        </is>
      </c>
    </row>
    <row r="338">
      <c r="A338" s="5" t="inlineStr">
        <is>
          <t>3621</t>
        </is>
      </c>
      <c r="B338" s="5" t="inlineStr"/>
      <c r="C338" s="5" t="inlineStr">
        <is>
          <t>COOKDRIVER#1</t>
        </is>
      </c>
      <c r="D338" s="5" t="inlineStr">
        <is>
          <t>Local399</t>
        </is>
      </c>
      <c r="E338" s="6" t="n">
        <v>32.36</v>
      </c>
      <c r="F338" s="5" t="n"/>
      <c r="G338" s="5" t="n"/>
      <c r="H338" s="5" t="n"/>
      <c r="I338" s="5" t="n"/>
      <c r="J338" s="7">
        <f>IF(AND(N(F338)&gt;0,N(I338)&gt;0),I338-F338-IF(N(G338)&gt;0,0.5,0)-IF(N(H338)&gt;0,0.5,0),0)</f>
        <v/>
      </c>
      <c r="K338" s="5" t="n"/>
      <c r="L338" s="7">
        <f>MIN(J338,8.0)</f>
        <v/>
      </c>
      <c r="M338" s="7">
        <f>MAX(0,MIN(J338,12)-8.0)</f>
        <v/>
      </c>
      <c r="N338" s="7">
        <f>MAX(0,J338-12)</f>
        <v/>
      </c>
      <c r="O338" s="5" t="n"/>
      <c r="P338" s="6">
        <f>E338*(L338+M338*1.5+N338*2+O338*3+N(K338))</f>
        <v/>
      </c>
      <c r="Q338" s="6" t="n">
        <v>647.2</v>
      </c>
      <c r="R338" s="6">
        <f>Q338-P338</f>
        <v/>
      </c>
    </row>
    <row r="339">
      <c r="A339" s="5" t="inlineStr">
        <is>
          <t>3621</t>
        </is>
      </c>
      <c r="B339" s="5" t="inlineStr"/>
      <c r="C339" s="5" t="inlineStr">
        <is>
          <t>1STASSTCATERER#1</t>
        </is>
      </c>
      <c r="D339" s="5" t="inlineStr"/>
      <c r="E339" s="6" t="n">
        <v>17</v>
      </c>
      <c r="F339" s="5" t="n"/>
      <c r="G339" s="5" t="n"/>
      <c r="H339" s="5" t="n"/>
      <c r="I339" s="5" t="n"/>
      <c r="J339" s="7">
        <f>IF(AND(N(F339)&gt;0,N(I339)&gt;0),I339-F339-IF(N(G339)&gt;0,0.5,0)-IF(N(H339)&gt;0,0.5,0),0)</f>
        <v/>
      </c>
      <c r="K339" s="5" t="n"/>
      <c r="L339" s="7">
        <f>MIN(J339,8.0)</f>
        <v/>
      </c>
      <c r="M339" s="7">
        <f>MAX(0,MIN(J339,12)-8.0)</f>
        <v/>
      </c>
      <c r="N339" s="7">
        <f>MAX(0,J339-12)</f>
        <v/>
      </c>
      <c r="O339" s="5" t="n"/>
      <c r="P339" s="6">
        <f>E339*(L339+M339*1.5+N339*2+O339*3+N(K339))</f>
        <v/>
      </c>
      <c r="Q339" s="6" t="n">
        <v>340</v>
      </c>
      <c r="R339" s="6">
        <f>Q339-P339</f>
        <v/>
      </c>
    </row>
    <row r="340">
      <c r="A340" s="5" t="inlineStr">
        <is>
          <t>3621</t>
        </is>
      </c>
      <c r="B340" s="5" t="inlineStr"/>
      <c r="C340" s="5" t="inlineStr">
        <is>
          <t>1STASSTCATERER#2</t>
        </is>
      </c>
      <c r="D340" s="5" t="inlineStr"/>
      <c r="E340" s="6" t="n">
        <v>16</v>
      </c>
      <c r="F340" s="5" t="n"/>
      <c r="G340" s="5" t="n"/>
      <c r="H340" s="5" t="n"/>
      <c r="I340" s="5" t="n"/>
      <c r="J340" s="7">
        <f>IF(AND(N(F340)&gt;0,N(I340)&gt;0),I340-F340-IF(N(G340)&gt;0,0.5,0)-IF(N(H340)&gt;0,0.5,0),0)</f>
        <v/>
      </c>
      <c r="K340" s="5" t="n"/>
      <c r="L340" s="7">
        <f>MIN(J340,8.0)</f>
        <v/>
      </c>
      <c r="M340" s="7">
        <f>MAX(0,MIN(J340,12)-8.0)</f>
        <v/>
      </c>
      <c r="N340" s="7">
        <f>MAX(0,J340-12)</f>
        <v/>
      </c>
      <c r="O340" s="5" t="n"/>
      <c r="P340" s="6">
        <f>E340*(L340+M340*1.5+N340*2+O340*3+N(K340))</f>
        <v/>
      </c>
      <c r="Q340" s="6" t="n">
        <v>320</v>
      </c>
      <c r="R340" s="6">
        <f>Q340-P340</f>
        <v/>
      </c>
    </row>
    <row r="341">
      <c r="P341" s="2" t="inlineStr">
        <is>
          <t>CATERINGLABOR LABOR</t>
        </is>
      </c>
      <c r="R341" s="8">
        <f>SUM(R338:R340)</f>
        <v/>
      </c>
    </row>
    <row r="343">
      <c r="K343" s="9" t="inlineStr">
        <is>
          <t>TOTAL</t>
        </is>
      </c>
      <c r="P343" s="9" t="inlineStr">
        <is>
          <t>ACTUAL</t>
        </is>
      </c>
      <c r="Q343" s="9" t="inlineStr">
        <is>
          <t>BUDGET</t>
        </is>
      </c>
      <c r="R343" s="9" t="inlineStr">
        <is>
          <t>TOTAL VAR</t>
        </is>
      </c>
    </row>
    <row r="344">
      <c r="P344" s="9" t="inlineStr">
        <is>
          <t>DAY COST</t>
        </is>
      </c>
      <c r="Q344" s="9" t="inlineStr">
        <is>
          <t>DY COST</t>
        </is>
      </c>
      <c r="R344" s="9" t="inlineStr">
        <is>
          <t>(OVER) / UNDER</t>
        </is>
      </c>
    </row>
    <row r="345">
      <c r="P345" s="10">
        <f>SUM(P6:P6)+SUM(P10:P11)+SUM(P15:P17)+SUM(P21:P22)+SUM(P26:P32)+SUM(P36:P36)+SUM(P40:P41)+SUM(P45:P45)+SUM(P49:P49)+SUM(P53:P54)+SUM(P58:P58)+SUM(P62:P62)+SUM(P66:P67)+SUM(P71:P71)+SUM(P75:P75)+SUM(P79:P80)+SUM(P84:P84)+SUM(P88:P88)+SUM(P92:P93)+SUM(P97:P100)+SUM(P104:P104)+SUM(P108:P109)+SUM(P113:P113)+SUM(P117:P117)+SUM(P121:P121)+SUM(P125:P125)+SUM(P129:P130)+SUM(P134:P134)+SUM(P138:P139)+SUM(P143:P145)+SUM(P149:P149)+SUM(P153:P153)+SUM(P157:P158)+SUM(P162:P163)+SUM(P167:P167)+SUM(P171:P173)+SUM(P177:P177)+SUM(P181:P181)+SUM(P185:P187)+SUM(P191:P191)+SUM(P195:P195)+SUM(P199:P199)+SUM(P203:P203)+SUM(P207:P207)+SUM(P211:P211)+SUM(P215:P216)+SUM(P220:P220)+SUM(P224:P224)+SUM(P228:P228)+SUM(P232:P233)+SUM(P237:P237)+SUM(P241:P241)+SUM(P245:P245)+SUM(P249:P249)+SUM(P253:P254)+SUM(P258:P260)+SUM(P264:P264)+SUM(P268:P268)+SUM(P272:P272)+SUM(P276:P276)+SUM(P280:P281)+SUM(P285:P286)+SUM(P290:P290)+SUM(P294:P294)+SUM(P298:P298)+SUM(P302:P302)+SUM(P306:P306)+SUM(P310:P310)+SUM(P314:P315)+SUM(P319:P330)+SUM(P334:P334)+SUM(P338:P340)</f>
        <v/>
      </c>
      <c r="Q345" s="10">
        <f>SUM(Q6:Q6)+SUM(Q10:Q11)+SUM(Q15:Q17)+SUM(Q21:Q22)+SUM(Q26:Q32)+SUM(Q36:Q36)+SUM(Q40:Q41)+SUM(Q45:Q45)+SUM(Q49:Q49)+SUM(Q53:Q54)+SUM(Q58:Q58)+SUM(Q62:Q62)+SUM(Q66:Q67)+SUM(Q71:Q71)+SUM(Q75:Q75)+SUM(Q79:Q80)+SUM(Q84:Q84)+SUM(Q88:Q88)+SUM(Q92:Q93)+SUM(Q97:Q100)+SUM(Q104:Q104)+SUM(Q108:Q109)+SUM(Q113:Q113)+SUM(Q117:Q117)+SUM(Q121:Q121)+SUM(Q125:Q125)+SUM(Q129:Q130)+SUM(Q134:Q134)+SUM(Q138:Q139)+SUM(Q143:Q145)+SUM(Q149:Q149)+SUM(Q153:Q153)+SUM(Q157:Q158)+SUM(Q162:Q163)+SUM(Q167:Q167)+SUM(Q171:Q173)+SUM(Q177:Q177)+SUM(Q181:Q181)+SUM(Q185:Q187)+SUM(Q191:Q191)+SUM(Q195:Q195)+SUM(Q199:Q199)+SUM(Q203:Q203)+SUM(Q207:Q207)+SUM(Q211:Q211)+SUM(Q215:Q216)+SUM(Q220:Q220)+SUM(Q224:Q224)+SUM(Q228:Q228)+SUM(Q232:Q233)+SUM(Q237:Q237)+SUM(Q241:Q241)+SUM(Q245:Q245)+SUM(Q249:Q249)+SUM(Q253:Q254)+SUM(Q258:Q260)+SUM(Q264:Q264)+SUM(Q268:Q268)+SUM(Q272:Q272)+SUM(Q276:Q276)+SUM(Q280:Q281)+SUM(Q285:Q286)+SUM(Q290:Q290)+SUM(Q294:Q294)+SUM(Q298:Q298)+SUM(Q302:Q302)+SUM(Q306:Q306)+SUM(Q310:Q310)+SUM(Q314:Q315)+SUM(Q319:Q330)+SUM(Q334:Q334)+SUM(Q338:Q340)</f>
        <v/>
      </c>
      <c r="R345" s="10">
        <f>SUM(R6:R6)+SUM(R10:R11)+SUM(R15:R17)+SUM(R21:R22)+SUM(R26:R32)+SUM(R36:R36)+SUM(R40:R41)+SUM(R45:R45)+SUM(R49:R49)+SUM(R53:R54)+SUM(R58:R58)+SUM(R62:R62)+SUM(R66:R67)+SUM(R71:R71)+SUM(R75:R75)+SUM(R79:R80)+SUM(R84:R84)+SUM(R88:R88)+SUM(R92:R93)+SUM(R97:R100)+SUM(R104:R104)+SUM(R108:R109)+SUM(R113:R113)+SUM(R117:R117)+SUM(R121:R121)+SUM(R125:R125)+SUM(R129:R130)+SUM(R134:R134)+SUM(R138:R139)+SUM(R143:R145)+SUM(R149:R149)+SUM(R153:R153)+SUM(R157:R158)+SUM(R162:R163)+SUM(R167:R167)+SUM(R171:R173)+SUM(R177:R177)+SUM(R181:R181)+SUM(R185:R187)+SUM(R191:R191)+SUM(R195:R195)+SUM(R199:R199)+SUM(R203:R203)+SUM(R207:R207)+SUM(R211:R211)+SUM(R215:R216)+SUM(R220:R220)+SUM(R224:R224)+SUM(R228:R228)+SUM(R232:R233)+SUM(R237:R237)+SUM(R241:R241)+SUM(R245:R245)+SUM(R249:R249)+SUM(R253:R254)+SUM(R258:R260)+SUM(R264:R264)+SUM(R268:R268)+SUM(R272:R272)+SUM(R276:R276)+SUM(R280:R281)+SUM(R285:R286)+SUM(R290:R290)+SUM(R294:R294)+SUM(R298:R298)+SUM(R302:R302)+SUM(R306:R306)+SUM(R310:R310)+SUM(R314:R315)+SUM(R319:R330)+SUM(R334:R334)+SUM(R338:R340)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34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20" customWidth="1" min="3" max="3"/>
    <col width="9" customWidth="1" min="4" max="4"/>
    <col width="9" customWidth="1" min="5" max="5"/>
    <col width="7" customWidth="1" min="6" max="6"/>
    <col width="7" customWidth="1" min="7" max="7"/>
    <col width="8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12" customWidth="1" min="16" max="16"/>
    <col width="13" customWidth="1" min="17" max="17"/>
    <col width="14" customWidth="1" min="18" max="18"/>
  </cols>
  <sheetData>
    <row r="1">
      <c r="A1" s="1" t="inlineStr">
        <is>
          <t>HOT COST</t>
        </is>
      </c>
      <c r="C1" t="inlineStr">
        <is>
          <t>Tuesday 17 Oct 2017</t>
        </is>
      </c>
      <c r="F1" s="2" t="inlineStr">
        <is>
          <t>DAY #2</t>
        </is>
      </c>
    </row>
    <row r="2">
      <c r="A2" s="3" t="inlineStr">
        <is>
          <t>enter CALL, LUNCH, WRAP as decimal hours (e.g. 7.5) — everything right of WRAP computes</t>
        </is>
      </c>
    </row>
    <row r="4">
      <c r="A4" s="4" t="inlineStr">
        <is>
          <t>ACCT</t>
        </is>
      </c>
      <c r="B4" s="4" t="inlineStr">
        <is>
          <t>NAME</t>
        </is>
      </c>
      <c r="C4" s="4" t="inlineStr">
        <is>
          <t>POSITION</t>
        </is>
      </c>
      <c r="D4" s="4" t="inlineStr">
        <is>
          <t>UNION</t>
        </is>
      </c>
      <c r="E4" s="4" t="inlineStr">
        <is>
          <t>RATE</t>
        </is>
      </c>
      <c r="F4" s="4" t="inlineStr">
        <is>
          <t>CALL</t>
        </is>
      </c>
      <c r="G4" s="4" t="inlineStr">
        <is>
          <t>LUNCH</t>
        </is>
      </c>
      <c r="H4" s="4" t="inlineStr">
        <is>
          <t>LUNCH 2</t>
        </is>
      </c>
      <c r="I4" s="4" t="inlineStr">
        <is>
          <t>WRAP</t>
        </is>
      </c>
      <c r="J4" s="4" t="inlineStr">
        <is>
          <t>HRS</t>
        </is>
      </c>
      <c r="K4" s="4" t="inlineStr">
        <is>
          <t>MP'S</t>
        </is>
      </c>
      <c r="L4" s="4" t="inlineStr">
        <is>
          <t>ST</t>
        </is>
      </c>
      <c r="M4" s="4" t="inlineStr">
        <is>
          <t>1.5X</t>
        </is>
      </c>
      <c r="N4" s="4" t="inlineStr">
        <is>
          <t>2X</t>
        </is>
      </c>
      <c r="O4" s="4" t="inlineStr">
        <is>
          <t>3X</t>
        </is>
      </c>
      <c r="P4" s="4" t="inlineStr">
        <is>
          <t>TOTAL / DAY</t>
        </is>
      </c>
      <c r="Q4" s="4" t="inlineStr">
        <is>
          <t>BUDGET / DAY</t>
        </is>
      </c>
      <c r="R4" s="4" t="inlineStr">
        <is>
          <t>(OVER) / UNDER</t>
        </is>
      </c>
    </row>
    <row r="5">
      <c r="B5" s="2" t="inlineStr">
        <is>
          <t>LEAD#</t>
        </is>
      </c>
    </row>
    <row r="6">
      <c r="A6" s="5" t="inlineStr">
        <is>
          <t>1401</t>
        </is>
      </c>
      <c r="B6" s="5" t="inlineStr">
        <is>
          <t>Linda Cardellini</t>
        </is>
      </c>
      <c r="C6" s="5" t="inlineStr">
        <is>
          <t>"ANNA"</t>
        </is>
      </c>
      <c r="D6" s="5" t="inlineStr"/>
      <c r="E6" s="6" t="n">
        <v>1211.8</v>
      </c>
      <c r="F6" s="5" t="n"/>
      <c r="G6" s="5" t="n"/>
      <c r="H6" s="5" t="n"/>
      <c r="I6" s="5" t="n"/>
      <c r="J6" s="7">
        <f>IF(AND(N(F6)&gt;0,N(I6)&gt;0),I6-F6-IF(N(G6)&gt;0,0.5,0)-IF(N(H6)&gt;0,0.5,0),0)</f>
        <v/>
      </c>
      <c r="K6" s="5" t="n"/>
      <c r="L6" s="7">
        <f>MIN(J6,8.0)</f>
        <v/>
      </c>
      <c r="M6" s="7">
        <f>MAX(0,MIN(J6,12)-8.0)</f>
        <v/>
      </c>
      <c r="N6" s="7">
        <f>MAX(0,J6-12)</f>
        <v/>
      </c>
      <c r="O6" s="5" t="n"/>
      <c r="P6" s="6">
        <f>E6*(L6+M6*1.5+N6*2+O6*3+N(K6))</f>
        <v/>
      </c>
      <c r="Q6" s="6" t="n">
        <v>1211.8</v>
      </c>
      <c r="R6" s="6">
        <f>Q6-P6</f>
        <v/>
      </c>
    </row>
    <row r="7">
      <c r="P7" s="2" t="inlineStr">
        <is>
          <t>LEAD# LABOR</t>
        </is>
      </c>
      <c r="R7" s="8">
        <f>SUM(R6:R6)</f>
        <v/>
      </c>
    </row>
    <row r="9">
      <c r="B9" s="2" t="inlineStr">
        <is>
          <t>LEAD#2&amp;#</t>
        </is>
      </c>
    </row>
    <row r="10">
      <c r="A10" s="5" t="inlineStr">
        <is>
          <t>1402</t>
        </is>
      </c>
      <c r="B10" s="5" t="inlineStr">
        <is>
          <t>Roman Christou</t>
        </is>
      </c>
      <c r="C10" s="5" t="inlineStr">
        <is>
          <t>"CHRIS"(Minor)</t>
        </is>
      </c>
      <c r="D10" s="5" t="inlineStr"/>
      <c r="E10" s="6" t="n">
        <v>755.4</v>
      </c>
      <c r="F10" s="5" t="n"/>
      <c r="G10" s="5" t="n"/>
      <c r="H10" s="5" t="n"/>
      <c r="I10" s="5" t="n"/>
      <c r="J10" s="7">
        <f>IF(AND(N(F10)&gt;0,N(I10)&gt;0),I10-F10-IF(N(G10)&gt;0,0.5,0)-IF(N(H10)&gt;0,0.5,0),0)</f>
        <v/>
      </c>
      <c r="K10" s="5" t="n"/>
      <c r="L10" s="7">
        <f>MIN(J10,8.0)</f>
        <v/>
      </c>
      <c r="M10" s="7">
        <f>MAX(0,MIN(J10,12)-8.0)</f>
        <v/>
      </c>
      <c r="N10" s="7">
        <f>MAX(0,J10-12)</f>
        <v/>
      </c>
      <c r="O10" s="5" t="n"/>
      <c r="P10" s="6">
        <f>E10*(L10+M10*1.5+N10*2+O10*3+N(K10))</f>
        <v/>
      </c>
      <c r="Q10" s="6" t="n">
        <v>755.4</v>
      </c>
      <c r="R10" s="6">
        <f>Q10-P10</f>
        <v/>
      </c>
    </row>
    <row r="11">
      <c r="A11" s="5" t="inlineStr">
        <is>
          <t>1402</t>
        </is>
      </c>
      <c r="B11" s="5" t="inlineStr">
        <is>
          <t>Jaynee Lynee Kinchen</t>
        </is>
      </c>
      <c r="C11" s="5" t="inlineStr">
        <is>
          <t>"SAMANTHA"(Minor)</t>
        </is>
      </c>
      <c r="D11" s="5" t="inlineStr"/>
      <c r="E11" s="6" t="n">
        <v>755.4</v>
      </c>
      <c r="F11" s="5" t="n"/>
      <c r="G11" s="5" t="n"/>
      <c r="H11" s="5" t="n"/>
      <c r="I11" s="5" t="n"/>
      <c r="J11" s="7">
        <f>IF(AND(N(F11)&gt;0,N(I11)&gt;0),I11-F11-IF(N(G11)&gt;0,0.5,0)-IF(N(H11)&gt;0,0.5,0),0)</f>
        <v/>
      </c>
      <c r="K11" s="5" t="n"/>
      <c r="L11" s="7">
        <f>MIN(J11,8.0)</f>
        <v/>
      </c>
      <c r="M11" s="7">
        <f>MAX(0,MIN(J11,12)-8.0)</f>
        <v/>
      </c>
      <c r="N11" s="7">
        <f>MAX(0,J11-12)</f>
        <v/>
      </c>
      <c r="O11" s="5" t="n"/>
      <c r="P11" s="6">
        <f>E11*(L11+M11*1.5+N11*2+O11*3+N(K11))</f>
        <v/>
      </c>
      <c r="Q11" s="6" t="n">
        <v>755.4</v>
      </c>
      <c r="R11" s="6">
        <f>Q11-P11</f>
        <v/>
      </c>
    </row>
    <row r="12">
      <c r="P12" s="2" t="inlineStr">
        <is>
          <t>LEAD#2&amp;# LABOR</t>
        </is>
      </c>
      <c r="R12" s="8">
        <f>SUM(R10:R11)</f>
        <v/>
      </c>
    </row>
    <row r="14">
      <c r="B14" s="2" t="inlineStr">
        <is>
          <t>OTHERLEADCAST</t>
        </is>
      </c>
    </row>
    <row r="15">
      <c r="A15" s="5" t="inlineStr">
        <is>
          <t>1403</t>
        </is>
      </c>
      <c r="B15" s="5" t="inlineStr">
        <is>
          <t>Raymond Cruz</t>
        </is>
      </c>
      <c r="C15" s="5" t="inlineStr">
        <is>
          <t>"RAFAELOLVERA"</t>
        </is>
      </c>
      <c r="D15" s="5" t="inlineStr"/>
      <c r="E15" s="6" t="n">
        <v>1211.8</v>
      </c>
      <c r="F15" s="5" t="n"/>
      <c r="G15" s="5" t="n"/>
      <c r="H15" s="5" t="n"/>
      <c r="I15" s="5" t="n"/>
      <c r="J15" s="7">
        <f>IF(AND(N(F15)&gt;0,N(I15)&gt;0),I15-F15-IF(N(G15)&gt;0,0.5,0)-IF(N(H15)&gt;0,0.5,0),0)</f>
        <v/>
      </c>
      <c r="K15" s="5" t="n"/>
      <c r="L15" s="7">
        <f>MIN(J15,8.0)</f>
        <v/>
      </c>
      <c r="M15" s="7">
        <f>MAX(0,MIN(J15,12)-8.0)</f>
        <v/>
      </c>
      <c r="N15" s="7">
        <f>MAX(0,J15-12)</f>
        <v/>
      </c>
      <c r="O15" s="5" t="n"/>
      <c r="P15" s="6">
        <f>E15*(L15+M15*1.5+N15*2+O15*3+N(K15))</f>
        <v/>
      </c>
      <c r="Q15" s="6" t="n">
        <v>1211.8</v>
      </c>
      <c r="R15" s="6">
        <f>Q15-P15</f>
        <v/>
      </c>
    </row>
    <row r="16">
      <c r="A16" s="5" t="inlineStr">
        <is>
          <t>1403</t>
        </is>
      </c>
      <c r="B16" s="5" t="inlineStr">
        <is>
          <t>Marisol Ramirez</t>
        </is>
      </c>
      <c r="C16" s="5" t="inlineStr">
        <is>
          <t>"LALLORONA"</t>
        </is>
      </c>
      <c r="D16" s="5" t="inlineStr"/>
      <c r="E16" s="6" t="n">
        <v>1211.8</v>
      </c>
      <c r="F16" s="5" t="n"/>
      <c r="G16" s="5" t="n"/>
      <c r="H16" s="5" t="n"/>
      <c r="I16" s="5" t="n"/>
      <c r="J16" s="7">
        <f>IF(AND(N(F16)&gt;0,N(I16)&gt;0),I16-F16-IF(N(G16)&gt;0,0.5,0)-IF(N(H16)&gt;0,0.5,0),0)</f>
        <v/>
      </c>
      <c r="K16" s="5" t="n"/>
      <c r="L16" s="7">
        <f>MIN(J16,8.0)</f>
        <v/>
      </c>
      <c r="M16" s="7">
        <f>MAX(0,MIN(J16,12)-8.0)</f>
        <v/>
      </c>
      <c r="N16" s="7">
        <f>MAX(0,J16-12)</f>
        <v/>
      </c>
      <c r="O16" s="5" t="n"/>
      <c r="P16" s="6">
        <f>E16*(L16+M16*1.5+N16*2+O16*3+N(K16))</f>
        <v/>
      </c>
      <c r="Q16" s="6" t="n">
        <v>1211.8</v>
      </c>
      <c r="R16" s="6">
        <f>Q16-P16</f>
        <v/>
      </c>
    </row>
    <row r="17">
      <c r="A17" s="5" t="inlineStr">
        <is>
          <t>1403</t>
        </is>
      </c>
      <c r="B17" s="5" t="inlineStr">
        <is>
          <t>Patrica Velasquez</t>
        </is>
      </c>
      <c r="C17" s="5" t="inlineStr">
        <is>
          <t>"PATRICIA"</t>
        </is>
      </c>
      <c r="D17" s="5" t="inlineStr"/>
      <c r="E17" s="6" t="n">
        <v>1972</v>
      </c>
      <c r="F17" s="5" t="n"/>
      <c r="G17" s="5" t="n"/>
      <c r="H17" s="5" t="n"/>
      <c r="I17" s="5" t="n"/>
      <c r="J17" s="7">
        <f>IF(AND(N(F17)&gt;0,N(I17)&gt;0),I17-F17-IF(N(G17)&gt;0,0.5,0)-IF(N(H17)&gt;0,0.5,0),0)</f>
        <v/>
      </c>
      <c r="K17" s="5" t="n"/>
      <c r="L17" s="7">
        <f>MIN(J17,8.0)</f>
        <v/>
      </c>
      <c r="M17" s="7">
        <f>MAX(0,MIN(J17,12)-8.0)</f>
        <v/>
      </c>
      <c r="N17" s="7">
        <f>MAX(0,J17-12)</f>
        <v/>
      </c>
      <c r="O17" s="5" t="n"/>
      <c r="P17" s="6">
        <f>E17*(L17+M17*1.5+N17*2+O17*3+N(K17))</f>
        <v/>
      </c>
      <c r="Q17" s="6" t="n">
        <v>1972</v>
      </c>
      <c r="R17" s="6">
        <f>Q17-P17</f>
        <v/>
      </c>
    </row>
    <row r="18">
      <c r="P18" s="2" t="inlineStr">
        <is>
          <t>OTHERLEADCAST LABOR</t>
        </is>
      </c>
      <c r="R18" s="8">
        <f>SUM(R15:R17)</f>
        <v/>
      </c>
    </row>
    <row r="20">
      <c r="B20" s="2" t="inlineStr">
        <is>
          <t>SUPPORTINGCAST</t>
        </is>
      </c>
    </row>
    <row r="21">
      <c r="A21" s="5" t="inlineStr">
        <is>
          <t>1404</t>
        </is>
      </c>
      <c r="B21" s="5" t="inlineStr">
        <is>
          <t>Sean Patrick Thomas</t>
        </is>
      </c>
      <c r="C21" s="5" t="inlineStr">
        <is>
          <t>DETCOOPER</t>
        </is>
      </c>
      <c r="D21" s="5" t="inlineStr"/>
      <c r="E21" s="6" t="n">
        <v>1211.8</v>
      </c>
      <c r="F21" s="5" t="n"/>
      <c r="G21" s="5" t="n"/>
      <c r="H21" s="5" t="n"/>
      <c r="I21" s="5" t="n"/>
      <c r="J21" s="7">
        <f>IF(AND(N(F21)&gt;0,N(I21)&gt;0),I21-F21-IF(N(G21)&gt;0,0.5,0)-IF(N(H21)&gt;0,0.5,0),0)</f>
        <v/>
      </c>
      <c r="K21" s="5" t="n"/>
      <c r="L21" s="7">
        <f>MIN(J21,8.0)</f>
        <v/>
      </c>
      <c r="M21" s="7">
        <f>MAX(0,MIN(J21,12)-8.0)</f>
        <v/>
      </c>
      <c r="N21" s="7">
        <f>MAX(0,J21-12)</f>
        <v/>
      </c>
      <c r="O21" s="5" t="n"/>
      <c r="P21" s="6">
        <f>E21*(L21+M21*1.5+N21*2+O21*3+N(K21))</f>
        <v/>
      </c>
      <c r="Q21" s="6" t="n">
        <v>1211.8</v>
      </c>
      <c r="R21" s="6">
        <f>Q21-P21</f>
        <v/>
      </c>
    </row>
    <row r="22">
      <c r="A22" s="5" t="inlineStr">
        <is>
          <t>1404</t>
        </is>
      </c>
      <c r="B22" s="5" t="inlineStr">
        <is>
          <t>Tony Amendola</t>
        </is>
      </c>
      <c r="C22" s="5" t="inlineStr">
        <is>
          <t>"FATHERPEREZ"</t>
        </is>
      </c>
      <c r="D22" s="5" t="inlineStr"/>
      <c r="E22" s="6" t="n">
        <v>1972</v>
      </c>
      <c r="F22" s="5" t="n"/>
      <c r="G22" s="5" t="n"/>
      <c r="H22" s="5" t="n"/>
      <c r="I22" s="5" t="n"/>
      <c r="J22" s="7">
        <f>IF(AND(N(F22)&gt;0,N(I22)&gt;0),I22-F22-IF(N(G22)&gt;0,0.5,0)-IF(N(H22)&gt;0,0.5,0),0)</f>
        <v/>
      </c>
      <c r="K22" s="5" t="n"/>
      <c r="L22" s="7">
        <f>MIN(J22,8.0)</f>
        <v/>
      </c>
      <c r="M22" s="7">
        <f>MAX(0,MIN(J22,12)-8.0)</f>
        <v/>
      </c>
      <c r="N22" s="7">
        <f>MAX(0,J22-12)</f>
        <v/>
      </c>
      <c r="O22" s="5" t="n"/>
      <c r="P22" s="6">
        <f>E22*(L22+M22*1.5+N22*2+O22*3+N(K22))</f>
        <v/>
      </c>
      <c r="Q22" s="6" t="n">
        <v>1972</v>
      </c>
      <c r="R22" s="6">
        <f>Q22-P22</f>
        <v/>
      </c>
    </row>
    <row r="23">
      <c r="P23" s="2" t="inlineStr">
        <is>
          <t>SUPPORTINGCAST LABOR</t>
        </is>
      </c>
      <c r="R23" s="8">
        <f>SUM(R21:R22)</f>
        <v/>
      </c>
    </row>
    <row r="25">
      <c r="B25" s="2" t="inlineStr">
        <is>
          <t>DAYPLAYERS</t>
        </is>
      </c>
    </row>
    <row r="26">
      <c r="A26" s="5" t="inlineStr">
        <is>
          <t>1405</t>
        </is>
      </c>
      <c r="B26" s="5" t="inlineStr">
        <is>
          <t>Kristy Keng(Drop/Pickup)</t>
        </is>
      </c>
      <c r="C26" s="5" t="inlineStr">
        <is>
          <t>"DONNA"</t>
        </is>
      </c>
      <c r="D26" s="5" t="inlineStr"/>
      <c r="E26" s="6" t="n">
        <v>1972</v>
      </c>
      <c r="F26" s="5" t="n"/>
      <c r="G26" s="5" t="n"/>
      <c r="H26" s="5" t="n"/>
      <c r="I26" s="5" t="n"/>
      <c r="J26" s="7">
        <f>IF(AND(N(F26)&gt;0,N(I26)&gt;0),I26-F26-IF(N(G26)&gt;0,0.5,0)-IF(N(H26)&gt;0,0.5,0),0)</f>
        <v/>
      </c>
      <c r="K26" s="5" t="n"/>
      <c r="L26" s="7">
        <f>MIN(J26,8.0)</f>
        <v/>
      </c>
      <c r="M26" s="7">
        <f>MAX(0,MIN(J26,12)-8.0)</f>
        <v/>
      </c>
      <c r="N26" s="7">
        <f>MAX(0,J26-12)</f>
        <v/>
      </c>
      <c r="O26" s="5" t="n"/>
      <c r="P26" s="6">
        <f>E26*(L26+M26*1.5+N26*2+O26*3+N(K26))</f>
        <v/>
      </c>
      <c r="Q26" s="6" t="n">
        <v>1972</v>
      </c>
      <c r="R26" s="6">
        <f>Q26-P26</f>
        <v/>
      </c>
    </row>
    <row r="27">
      <c r="A27" s="5" t="inlineStr">
        <is>
          <t>1405</t>
        </is>
      </c>
      <c r="B27" s="5" t="inlineStr">
        <is>
          <t>Oliver Alexander</t>
        </is>
      </c>
      <c r="C27" s="5" t="inlineStr">
        <is>
          <t>"CARLOS"(Minor)</t>
        </is>
      </c>
      <c r="D27" s="5" t="inlineStr"/>
      <c r="E27" s="6" t="n">
        <v>1249</v>
      </c>
      <c r="F27" s="5" t="n"/>
      <c r="G27" s="5" t="n"/>
      <c r="H27" s="5" t="n"/>
      <c r="I27" s="5" t="n"/>
      <c r="J27" s="7">
        <f>IF(AND(N(F27)&gt;0,N(I27)&gt;0),I27-F27-IF(N(G27)&gt;0,0.5,0)-IF(N(H27)&gt;0,0.5,0),0)</f>
        <v/>
      </c>
      <c r="K27" s="5" t="n"/>
      <c r="L27" s="7">
        <f>MIN(J27,8.0)</f>
        <v/>
      </c>
      <c r="M27" s="7">
        <f>MAX(0,MIN(J27,12)-8.0)</f>
        <v/>
      </c>
      <c r="N27" s="7">
        <f>MAX(0,J27-12)</f>
        <v/>
      </c>
      <c r="O27" s="5" t="n"/>
      <c r="P27" s="6">
        <f>E27*(L27+M27*1.5+N27*2+O27*3+N(K27))</f>
        <v/>
      </c>
      <c r="Q27" s="6" t="n">
        <v>1249</v>
      </c>
      <c r="R27" s="6">
        <f>Q27-P27</f>
        <v/>
      </c>
    </row>
    <row r="28">
      <c r="A28" s="5" t="inlineStr">
        <is>
          <t>1405</t>
        </is>
      </c>
      <c r="B28" s="5" t="inlineStr">
        <is>
          <t>Adam Lewandowski</t>
        </is>
      </c>
      <c r="C28" s="5" t="inlineStr">
        <is>
          <t>"TOMAS"(Minor)</t>
        </is>
      </c>
      <c r="D28" s="5" t="inlineStr"/>
      <c r="E28" s="6" t="n">
        <v>1249</v>
      </c>
      <c r="F28" s="5" t="n"/>
      <c r="G28" s="5" t="n"/>
      <c r="H28" s="5" t="n"/>
      <c r="I28" s="5" t="n"/>
      <c r="J28" s="7">
        <f>IF(AND(N(F28)&gt;0,N(I28)&gt;0),I28-F28-IF(N(G28)&gt;0,0.5,0)-IF(N(H28)&gt;0,0.5,0),0)</f>
        <v/>
      </c>
      <c r="K28" s="5" t="n"/>
      <c r="L28" s="7">
        <f>MIN(J28,8.0)</f>
        <v/>
      </c>
      <c r="M28" s="7">
        <f>MAX(0,MIN(J28,12)-8.0)</f>
        <v/>
      </c>
      <c r="N28" s="7">
        <f>MAX(0,J28-12)</f>
        <v/>
      </c>
      <c r="O28" s="5" t="n"/>
      <c r="P28" s="6">
        <f>E28*(L28+M28*1.5+N28*2+O28*3+N(K28))</f>
        <v/>
      </c>
      <c r="Q28" s="6" t="n">
        <v>1249</v>
      </c>
      <c r="R28" s="6">
        <f>Q28-P28</f>
        <v/>
      </c>
    </row>
    <row r="29">
      <c r="A29" s="5" t="inlineStr">
        <is>
          <t>1405</t>
        </is>
      </c>
      <c r="B29" s="5" t="inlineStr">
        <is>
          <t>Paul Rodriquez Jr.</t>
        </is>
      </c>
      <c r="C29" s="5" t="inlineStr">
        <is>
          <t>"OFFICERCLARO"</t>
        </is>
      </c>
      <c r="D29" s="5" t="inlineStr"/>
      <c r="E29" s="6" t="n">
        <v>1972</v>
      </c>
      <c r="F29" s="5" t="n"/>
      <c r="G29" s="5" t="n"/>
      <c r="H29" s="5" t="n"/>
      <c r="I29" s="5" t="n"/>
      <c r="J29" s="7">
        <f>IF(AND(N(F29)&gt;0,N(I29)&gt;0),I29-F29-IF(N(G29)&gt;0,0.5,0)-IF(N(H29)&gt;0,0.5,0),0)</f>
        <v/>
      </c>
      <c r="K29" s="5" t="n"/>
      <c r="L29" s="7">
        <f>MIN(J29,8.0)</f>
        <v/>
      </c>
      <c r="M29" s="7">
        <f>MAX(0,MIN(J29,12)-8.0)</f>
        <v/>
      </c>
      <c r="N29" s="7">
        <f>MAX(0,J29-12)</f>
        <v/>
      </c>
      <c r="O29" s="5" t="n"/>
      <c r="P29" s="6">
        <f>E29*(L29+M29*1.5+N29*2+O29*3+N(K29))</f>
        <v/>
      </c>
      <c r="Q29" s="6" t="n">
        <v>1972</v>
      </c>
      <c r="R29" s="6">
        <f>Q29-P29</f>
        <v/>
      </c>
    </row>
    <row r="30">
      <c r="A30" s="5" t="inlineStr">
        <is>
          <t>1405</t>
        </is>
      </c>
      <c r="B30" s="5" t="inlineStr">
        <is>
          <t>Sophia Santi</t>
        </is>
      </c>
      <c r="C30" s="5" t="inlineStr">
        <is>
          <t>"FEMALECUSTOMER"</t>
        </is>
      </c>
      <c r="D30" s="5" t="inlineStr"/>
      <c r="E30" s="6" t="n">
        <v>1972</v>
      </c>
      <c r="F30" s="5" t="n"/>
      <c r="G30" s="5" t="n"/>
      <c r="H30" s="5" t="n"/>
      <c r="I30" s="5" t="n"/>
      <c r="J30" s="7">
        <f>IF(AND(N(F30)&gt;0,N(I30)&gt;0),I30-F30-IF(N(G30)&gt;0,0.5,0)-IF(N(H30)&gt;0,0.5,0),0)</f>
        <v/>
      </c>
      <c r="K30" s="5" t="n"/>
      <c r="L30" s="7">
        <f>MIN(J30,8.0)</f>
        <v/>
      </c>
      <c r="M30" s="7">
        <f>MAX(0,MIN(J30,12)-8.0)</f>
        <v/>
      </c>
      <c r="N30" s="7">
        <f>MAX(0,J30-12)</f>
        <v/>
      </c>
      <c r="O30" s="5" t="n"/>
      <c r="P30" s="6">
        <f>E30*(L30+M30*1.5+N30*2+O30*3+N(K30))</f>
        <v/>
      </c>
      <c r="Q30" s="6" t="n">
        <v>1972</v>
      </c>
      <c r="R30" s="6">
        <f>Q30-P30</f>
        <v/>
      </c>
    </row>
    <row r="31">
      <c r="A31" s="5" t="inlineStr">
        <is>
          <t>1405</t>
        </is>
      </c>
      <c r="B31" s="5" t="inlineStr">
        <is>
          <t>John Marshall Jones</t>
        </is>
      </c>
      <c r="C31" s="5" t="inlineStr">
        <is>
          <t>"MRHANKINS"</t>
        </is>
      </c>
      <c r="D31" s="5" t="inlineStr"/>
      <c r="E31" s="6" t="n">
        <v>1972</v>
      </c>
      <c r="F31" s="5" t="n"/>
      <c r="G31" s="5" t="n"/>
      <c r="H31" s="5" t="n"/>
      <c r="I31" s="5" t="n"/>
      <c r="J31" s="7">
        <f>IF(AND(N(F31)&gt;0,N(I31)&gt;0),I31-F31-IF(N(G31)&gt;0,0.5,0)-IF(N(H31)&gt;0,0.5,0),0)</f>
        <v/>
      </c>
      <c r="K31" s="5" t="n"/>
      <c r="L31" s="7">
        <f>MIN(J31,8.0)</f>
        <v/>
      </c>
      <c r="M31" s="7">
        <f>MAX(0,MIN(J31,12)-8.0)</f>
        <v/>
      </c>
      <c r="N31" s="7">
        <f>MAX(0,J31-12)</f>
        <v/>
      </c>
      <c r="O31" s="5" t="n"/>
      <c r="P31" s="6">
        <f>E31*(L31+M31*1.5+N31*2+O31*3+N(K31))</f>
        <v/>
      </c>
      <c r="Q31" s="6" t="n">
        <v>1972</v>
      </c>
      <c r="R31" s="6">
        <f>Q31-P31</f>
        <v/>
      </c>
    </row>
    <row r="32">
      <c r="A32" s="5" t="inlineStr">
        <is>
          <t>1405</t>
        </is>
      </c>
      <c r="B32" s="5" t="inlineStr">
        <is>
          <t>Madeleine Mcgraw</t>
        </is>
      </c>
      <c r="C32" s="5" t="inlineStr">
        <is>
          <t>"APRIL"(Minor)</t>
        </is>
      </c>
      <c r="D32" s="5" t="inlineStr"/>
      <c r="E32" s="6" t="n">
        <v>1249</v>
      </c>
      <c r="F32" s="5" t="n"/>
      <c r="G32" s="5" t="n"/>
      <c r="H32" s="5" t="n"/>
      <c r="I32" s="5" t="n"/>
      <c r="J32" s="7">
        <f>IF(AND(N(F32)&gt;0,N(I32)&gt;0),I32-F32-IF(N(G32)&gt;0,0.5,0)-IF(N(H32)&gt;0,0.5,0),0)</f>
        <v/>
      </c>
      <c r="K32" s="5" t="n"/>
      <c r="L32" s="7">
        <f>MIN(J32,8.0)</f>
        <v/>
      </c>
      <c r="M32" s="7">
        <f>MAX(0,MIN(J32,12)-8.0)</f>
        <v/>
      </c>
      <c r="N32" s="7">
        <f>MAX(0,J32-12)</f>
        <v/>
      </c>
      <c r="O32" s="5" t="n"/>
      <c r="P32" s="6">
        <f>E32*(L32+M32*1.5+N32*2+O32*3+N(K32))</f>
        <v/>
      </c>
      <c r="Q32" s="6" t="n">
        <v>1249</v>
      </c>
      <c r="R32" s="6">
        <f>Q32-P32</f>
        <v/>
      </c>
    </row>
    <row r="33">
      <c r="P33" s="2" t="inlineStr">
        <is>
          <t>DAYPLAYERS LABOR</t>
        </is>
      </c>
      <c r="R33" s="8">
        <f>SUM(R26:R32)</f>
        <v/>
      </c>
    </row>
    <row r="35">
      <c r="B35" s="2" t="inlineStr">
        <is>
          <t>STUNTCOORD</t>
        </is>
      </c>
    </row>
    <row r="36">
      <c r="A36" s="5" t="inlineStr">
        <is>
          <t>1406</t>
        </is>
      </c>
      <c r="B36" s="5" t="inlineStr">
        <is>
          <t>Rob King</t>
        </is>
      </c>
      <c r="C36" s="5" t="inlineStr">
        <is>
          <t>STUNTCOORDINATOR</t>
        </is>
      </c>
      <c r="D36" s="5" t="inlineStr"/>
      <c r="E36" s="6" t="n">
        <v>1173</v>
      </c>
      <c r="F36" s="5" t="n"/>
      <c r="G36" s="5" t="n"/>
      <c r="H36" s="5" t="n"/>
      <c r="I36" s="5" t="n"/>
      <c r="J36" s="7">
        <f>IF(AND(N(F36)&gt;0,N(I36)&gt;0),I36-F36-IF(N(G36)&gt;0,0.5,0)-IF(N(H36)&gt;0,0.5,0),0)</f>
        <v/>
      </c>
      <c r="K36" s="5" t="n"/>
      <c r="L36" s="7">
        <f>MIN(J36,8.0)</f>
        <v/>
      </c>
      <c r="M36" s="7">
        <f>MAX(0,MIN(J36,12)-8.0)</f>
        <v/>
      </c>
      <c r="N36" s="7">
        <f>MAX(0,J36-12)</f>
        <v/>
      </c>
      <c r="O36" s="5" t="n"/>
      <c r="P36" s="6">
        <f>E36*(L36+M36*1.5+N36*2+O36*3+N(K36))</f>
        <v/>
      </c>
      <c r="Q36" s="6" t="n">
        <v>1173</v>
      </c>
      <c r="R36" s="6">
        <f>Q36-P36</f>
        <v/>
      </c>
    </row>
    <row r="37">
      <c r="P37" s="2" t="inlineStr">
        <is>
          <t>STUNTCOORD LABOR</t>
        </is>
      </c>
      <c r="R37" s="8">
        <f>SUM(R36:R36)</f>
        <v/>
      </c>
    </row>
    <row r="39">
      <c r="B39" s="2" t="inlineStr">
        <is>
          <t>TEACHER/WELFAREWORKER</t>
        </is>
      </c>
    </row>
    <row r="40">
      <c r="A40" s="5" t="inlineStr">
        <is>
          <t>1412</t>
        </is>
      </c>
      <c r="B40" s="5" t="inlineStr"/>
      <c r="C40" s="5" t="inlineStr">
        <is>
          <t>WELFAREWORKER</t>
        </is>
      </c>
      <c r="D40" s="5" t="inlineStr">
        <is>
          <t>Local884</t>
        </is>
      </c>
      <c r="E40" s="6" t="n">
        <v>25.5</v>
      </c>
      <c r="F40" s="5" t="n"/>
      <c r="G40" s="5" t="n"/>
      <c r="H40" s="5" t="n"/>
      <c r="I40" s="5" t="n"/>
      <c r="J40" s="7">
        <f>IF(AND(N(F40)&gt;0,N(I40)&gt;0),I40-F40-IF(N(G40)&gt;0,0.5,0)-IF(N(H40)&gt;0,0.5,0),0)</f>
        <v/>
      </c>
      <c r="K40" s="5" t="n"/>
      <c r="L40" s="7">
        <f>MIN(J40,8.0)</f>
        <v/>
      </c>
      <c r="M40" s="7">
        <f>MAX(0,MIN(J40,12)-8.0)</f>
        <v/>
      </c>
      <c r="N40" s="7">
        <f>MAX(0,J40-12)</f>
        <v/>
      </c>
      <c r="O40" s="5" t="n"/>
      <c r="P40" s="6">
        <f>E40*(L40+M40*1.5+N40*2+O40*3+N(K40))</f>
        <v/>
      </c>
      <c r="Q40" s="6" t="n">
        <v>280.5</v>
      </c>
      <c r="R40" s="6">
        <f>Q40-P40</f>
        <v/>
      </c>
    </row>
    <row r="41">
      <c r="A41" s="5" t="inlineStr">
        <is>
          <t>1412</t>
        </is>
      </c>
      <c r="B41" s="5" t="inlineStr"/>
      <c r="C41" s="5" t="inlineStr">
        <is>
          <t>ADDLWELFAREWORKER</t>
        </is>
      </c>
      <c r="D41" s="5" t="inlineStr">
        <is>
          <t>Local884</t>
        </is>
      </c>
      <c r="E41" s="6" t="n">
        <v>25.5</v>
      </c>
      <c r="F41" s="5" t="n"/>
      <c r="G41" s="5" t="n"/>
      <c r="H41" s="5" t="n"/>
      <c r="I41" s="5" t="n"/>
      <c r="J41" s="7">
        <f>IF(AND(N(F41)&gt;0,N(I41)&gt;0),I41-F41-IF(N(G41)&gt;0,0.5,0)-IF(N(H41)&gt;0,0.5,0),0)</f>
        <v/>
      </c>
      <c r="K41" s="5" t="n"/>
      <c r="L41" s="7">
        <f>MIN(J41,8.0)</f>
        <v/>
      </c>
      <c r="M41" s="7">
        <f>MAX(0,MIN(J41,12)-8.0)</f>
        <v/>
      </c>
      <c r="N41" s="7">
        <f>MAX(0,J41-12)</f>
        <v/>
      </c>
      <c r="O41" s="5" t="n"/>
      <c r="P41" s="6">
        <f>E41*(L41+M41*1.5+N41*2+O41*3+N(K41))</f>
        <v/>
      </c>
      <c r="Q41" s="6" t="n">
        <v>280.5</v>
      </c>
      <c r="R41" s="6">
        <f>Q41-P41</f>
        <v/>
      </c>
    </row>
    <row r="42">
      <c r="P42" s="2" t="inlineStr">
        <is>
          <t>TEACHER/WELFAREWORKER LABOR</t>
        </is>
      </c>
      <c r="R42" s="8">
        <f>SUM(R40:R41)</f>
        <v/>
      </c>
    </row>
    <row r="44">
      <c r="B44" s="2" t="inlineStr">
        <is>
          <t>CASTINGDIRECTORS</t>
        </is>
      </c>
    </row>
    <row r="45">
      <c r="A45" s="5" t="inlineStr">
        <is>
          <t>1413</t>
        </is>
      </c>
      <c r="B45" s="5" t="inlineStr">
        <is>
          <t>Rich Delia</t>
        </is>
      </c>
      <c r="C45" s="5" t="inlineStr">
        <is>
          <t>CASTINGDIRECTOR</t>
        </is>
      </c>
      <c r="D45" s="5" t="inlineStr"/>
      <c r="E45" s="6" t="n">
        <v>600</v>
      </c>
      <c r="F45" s="5" t="n"/>
      <c r="G45" s="5" t="n"/>
      <c r="H45" s="5" t="n"/>
      <c r="I45" s="5" t="n"/>
      <c r="J45" s="7">
        <f>IF(AND(N(F45)&gt;0,N(I45)&gt;0),I45-F45-IF(N(G45)&gt;0,0.5,0)-IF(N(H45)&gt;0,0.5,0),0)</f>
        <v/>
      </c>
      <c r="K45" s="5" t="n"/>
      <c r="L45" s="7">
        <f>MIN(J45,8.0)</f>
        <v/>
      </c>
      <c r="M45" s="7">
        <f>MAX(0,MIN(J45,12)-8.0)</f>
        <v/>
      </c>
      <c r="N45" s="7">
        <f>MAX(0,J45-12)</f>
        <v/>
      </c>
      <c r="O45" s="5" t="n"/>
      <c r="P45" s="6">
        <f>E45*(L45+M45*1.5+N45*2+O45*3+N(K45))</f>
        <v/>
      </c>
      <c r="Q45" s="5" t="n"/>
      <c r="R45" s="6">
        <f>Q45-P45</f>
        <v/>
      </c>
    </row>
    <row r="46">
      <c r="P46" s="2" t="inlineStr">
        <is>
          <t>CASTINGDIRECTORS LABOR</t>
        </is>
      </c>
      <c r="R46" s="8">
        <f>SUM(R45:R45)</f>
        <v/>
      </c>
    </row>
    <row r="48">
      <c r="B48" s="2" t="inlineStr">
        <is>
          <t>CASTINGASSOCIATES/ASSISTANTS</t>
        </is>
      </c>
    </row>
    <row r="49">
      <c r="A49" s="5" t="inlineStr">
        <is>
          <t>1414</t>
        </is>
      </c>
      <c r="B49" s="5" t="inlineStr">
        <is>
          <t>Adam Richards</t>
        </is>
      </c>
      <c r="C49" s="5" t="inlineStr">
        <is>
          <t>CASTINGASSOCIATE</t>
        </is>
      </c>
      <c r="D49" s="5" t="inlineStr"/>
      <c r="E49" s="6" t="n">
        <v>200</v>
      </c>
      <c r="F49" s="5" t="n"/>
      <c r="G49" s="5" t="n"/>
      <c r="H49" s="5" t="n"/>
      <c r="I49" s="5" t="n"/>
      <c r="J49" s="7">
        <f>IF(AND(N(F49)&gt;0,N(I49)&gt;0),I49-F49-IF(N(G49)&gt;0,0.5,0)-IF(N(H49)&gt;0,0.5,0),0)</f>
        <v/>
      </c>
      <c r="K49" s="5" t="n"/>
      <c r="L49" s="7">
        <f>MIN(J49,8.0)</f>
        <v/>
      </c>
      <c r="M49" s="7">
        <f>MAX(0,MIN(J49,12)-8.0)</f>
        <v/>
      </c>
      <c r="N49" s="7">
        <f>MAX(0,J49-12)</f>
        <v/>
      </c>
      <c r="O49" s="5" t="n"/>
      <c r="P49" s="6">
        <f>E49*(L49+M49*1.5+N49*2+O49*3+N(K49))</f>
        <v/>
      </c>
      <c r="Q49" s="5" t="n"/>
      <c r="R49" s="6">
        <f>Q49-P49</f>
        <v/>
      </c>
    </row>
    <row r="50">
      <c r="P50" s="2" t="inlineStr">
        <is>
          <t>CASTINGASSOCIATES/ASSISTANTS LABOR</t>
        </is>
      </c>
      <c r="R50" s="8">
        <f>SUM(R49:R49)</f>
        <v/>
      </c>
    </row>
    <row r="52">
      <c r="B52" s="2" t="inlineStr">
        <is>
          <t>CASTDRIVERS/VEHICLES</t>
        </is>
      </c>
    </row>
    <row r="53">
      <c r="A53" s="5" t="inlineStr">
        <is>
          <t>1455</t>
        </is>
      </c>
      <c r="B53" s="5" t="inlineStr"/>
      <c r="C53" s="5" t="inlineStr">
        <is>
          <t>CAST 3-RMDRIVER</t>
        </is>
      </c>
      <c r="D53" s="5" t="inlineStr">
        <is>
          <t>Local399</t>
        </is>
      </c>
      <c r="E53" s="6" t="n">
        <v>32.36</v>
      </c>
      <c r="F53" s="5" t="n"/>
      <c r="G53" s="5" t="n"/>
      <c r="H53" s="5" t="n"/>
      <c r="I53" s="5" t="n"/>
      <c r="J53" s="7">
        <f>IF(AND(N(F53)&gt;0,N(I53)&gt;0),I53-F53-IF(N(G53)&gt;0,0.5,0)-IF(N(H53)&gt;0,0.5,0),0)</f>
        <v/>
      </c>
      <c r="K53" s="5" t="n"/>
      <c r="L53" s="7">
        <f>MIN(J53,8.0)</f>
        <v/>
      </c>
      <c r="M53" s="7">
        <f>MAX(0,MIN(J53,12)-8.0)</f>
        <v/>
      </c>
      <c r="N53" s="7">
        <f>MAX(0,J53-12)</f>
        <v/>
      </c>
      <c r="O53" s="5" t="n"/>
      <c r="P53" s="6">
        <f>E53*(L53+M53*1.5+N53*2+O53*3+N(K53))</f>
        <v/>
      </c>
      <c r="Q53" s="6" t="n">
        <v>501.58</v>
      </c>
      <c r="R53" s="6">
        <f>Q53-P53</f>
        <v/>
      </c>
    </row>
    <row r="54">
      <c r="A54" s="5" t="inlineStr">
        <is>
          <t>1455</t>
        </is>
      </c>
      <c r="B54" s="5" t="inlineStr"/>
      <c r="C54" s="5" t="inlineStr">
        <is>
          <t>CASTMINIVANDRIVER</t>
        </is>
      </c>
      <c r="D54" s="5" t="inlineStr">
        <is>
          <t>Local399</t>
        </is>
      </c>
      <c r="E54" s="6" t="n">
        <v>32.36</v>
      </c>
      <c r="F54" s="5" t="n"/>
      <c r="G54" s="5" t="n"/>
      <c r="H54" s="5" t="n"/>
      <c r="I54" s="5" t="n"/>
      <c r="J54" s="7">
        <f>IF(AND(N(F54)&gt;0,N(I54)&gt;0),I54-F54-IF(N(G54)&gt;0,0.5,0)-IF(N(H54)&gt;0,0.5,0),0)</f>
        <v/>
      </c>
      <c r="K54" s="5" t="n"/>
      <c r="L54" s="7">
        <f>MIN(J54,8.0)</f>
        <v/>
      </c>
      <c r="M54" s="7">
        <f>MAX(0,MIN(J54,12)-8.0)</f>
        <v/>
      </c>
      <c r="N54" s="7">
        <f>MAX(0,J54-12)</f>
        <v/>
      </c>
      <c r="O54" s="5" t="n"/>
      <c r="P54" s="6">
        <f>E54*(L54+M54*1.5+N54*2+O54*3+N(K54))</f>
        <v/>
      </c>
      <c r="Q54" s="6" t="n">
        <v>501.58</v>
      </c>
      <c r="R54" s="6">
        <f>Q54-P54</f>
        <v/>
      </c>
    </row>
    <row r="55">
      <c r="P55" s="2" t="inlineStr">
        <is>
          <t>CASTDRIVERS/VEHICLES LABOR</t>
        </is>
      </c>
      <c r="R55" s="8">
        <f>SUM(R53:R54)</f>
        <v/>
      </c>
    </row>
    <row r="57">
      <c r="B57" s="2" t="inlineStr">
        <is>
          <t>PRODUCTIONMANAGER</t>
        </is>
      </c>
    </row>
    <row r="58">
      <c r="A58" s="5" t="inlineStr">
        <is>
          <t>2001</t>
        </is>
      </c>
      <c r="B58" s="5" t="inlineStr">
        <is>
          <t>Carrie Morrow</t>
        </is>
      </c>
      <c r="C58" s="5" t="inlineStr">
        <is>
          <t>UPM</t>
        </is>
      </c>
      <c r="D58" s="5" t="inlineStr">
        <is>
          <t>DGA</t>
        </is>
      </c>
      <c r="E58" s="6" t="n">
        <v>1063.6</v>
      </c>
      <c r="F58" s="5" t="n"/>
      <c r="G58" s="5" t="n"/>
      <c r="H58" s="5" t="n"/>
      <c r="I58" s="5" t="n"/>
      <c r="J58" s="7">
        <f>IF(AND(N(F58)&gt;0,N(I58)&gt;0),I58-F58-IF(N(G58)&gt;0,0.5,0)-IF(N(H58)&gt;0,0.5,0),0)</f>
        <v/>
      </c>
      <c r="K58" s="5" t="n"/>
      <c r="L58" s="7">
        <f>MIN(J58,8.0)</f>
        <v/>
      </c>
      <c r="M58" s="7">
        <f>MAX(0,MIN(J58,12)-8.0)</f>
        <v/>
      </c>
      <c r="N58" s="7">
        <f>MAX(0,J58-12)</f>
        <v/>
      </c>
      <c r="O58" s="5" t="n"/>
      <c r="P58" s="6">
        <f>E58*(L58+M58*1.5+N58*2+O58*3+N(K58))</f>
        <v/>
      </c>
      <c r="Q58" s="6" t="n">
        <v>1063.6</v>
      </c>
      <c r="R58" s="6">
        <f>Q58-P58</f>
        <v/>
      </c>
    </row>
    <row r="59">
      <c r="P59" s="2" t="inlineStr">
        <is>
          <t>PRODUCTIONMANAGER LABOR</t>
        </is>
      </c>
      <c r="R59" s="8">
        <f>SUM(R58:R58)</f>
        <v/>
      </c>
    </row>
    <row r="61">
      <c r="B61" s="2" t="inlineStr">
        <is>
          <t>1STASSTDIRECTOR</t>
        </is>
      </c>
    </row>
    <row r="62">
      <c r="A62" s="5" t="inlineStr">
        <is>
          <t>2002</t>
        </is>
      </c>
      <c r="B62" s="5" t="inlineStr">
        <is>
          <t>James Moran</t>
        </is>
      </c>
      <c r="C62" s="5" t="inlineStr">
        <is>
          <t>1STASSTDIRECTOR</t>
        </is>
      </c>
      <c r="D62" s="5" t="inlineStr">
        <is>
          <t>DGA</t>
        </is>
      </c>
      <c r="E62" s="6" t="n">
        <v>985.6</v>
      </c>
      <c r="F62" s="5" t="n"/>
      <c r="G62" s="5" t="n"/>
      <c r="H62" s="5" t="n"/>
      <c r="I62" s="5" t="n"/>
      <c r="J62" s="7">
        <f>IF(AND(N(F62)&gt;0,N(I62)&gt;0),I62-F62-IF(N(G62)&gt;0,0.5,0)-IF(N(H62)&gt;0,0.5,0),0)</f>
        <v/>
      </c>
      <c r="K62" s="5" t="n"/>
      <c r="L62" s="7">
        <f>MIN(J62,8.0)</f>
        <v/>
      </c>
      <c r="M62" s="7">
        <f>MAX(0,MIN(J62,12)-8.0)</f>
        <v/>
      </c>
      <c r="N62" s="7">
        <f>MAX(0,J62-12)</f>
        <v/>
      </c>
      <c r="O62" s="5" t="n"/>
      <c r="P62" s="6">
        <f>E62*(L62+M62*1.5+N62*2+O62*3+N(K62))</f>
        <v/>
      </c>
      <c r="Q62" s="6" t="n">
        <v>985.6</v>
      </c>
      <c r="R62" s="6">
        <f>Q62-P62</f>
        <v/>
      </c>
    </row>
    <row r="63">
      <c r="P63" s="2" t="inlineStr">
        <is>
          <t>1STASSTDIRECTOR LABOR</t>
        </is>
      </c>
      <c r="R63" s="8">
        <f>SUM(R62:R62)</f>
        <v/>
      </c>
    </row>
    <row r="65">
      <c r="B65" s="2" t="inlineStr">
        <is>
          <t>2NDASSTDIRECTORS</t>
        </is>
      </c>
    </row>
    <row r="66">
      <c r="A66" s="5" t="inlineStr">
        <is>
          <t>2003</t>
        </is>
      </c>
      <c r="B66" s="5" t="inlineStr">
        <is>
          <t>Mark Newland</t>
        </is>
      </c>
      <c r="C66" s="5" t="inlineStr">
        <is>
          <t>KEY 2NDA. D.</t>
        </is>
      </c>
      <c r="D66" s="5" t="inlineStr">
        <is>
          <t>DGA</t>
        </is>
      </c>
      <c r="E66" s="6" t="n">
        <v>674.6</v>
      </c>
      <c r="F66" s="5" t="n"/>
      <c r="G66" s="5" t="n"/>
      <c r="H66" s="5" t="n"/>
      <c r="I66" s="5" t="n"/>
      <c r="J66" s="7">
        <f>IF(AND(N(F66)&gt;0,N(I66)&gt;0),I66-F66-IF(N(G66)&gt;0,0.5,0)-IF(N(H66)&gt;0,0.5,0),0)</f>
        <v/>
      </c>
      <c r="K66" s="5" t="n"/>
      <c r="L66" s="7">
        <f>MIN(J66,8.0)</f>
        <v/>
      </c>
      <c r="M66" s="7">
        <f>MAX(0,MIN(J66,12)-8.0)</f>
        <v/>
      </c>
      <c r="N66" s="7">
        <f>MAX(0,J66-12)</f>
        <v/>
      </c>
      <c r="O66" s="5" t="n"/>
      <c r="P66" s="6">
        <f>E66*(L66+M66*1.5+N66*2+O66*3+N(K66))</f>
        <v/>
      </c>
      <c r="Q66" s="6" t="n">
        <v>674.6</v>
      </c>
      <c r="R66" s="6">
        <f>Q66-P66</f>
        <v/>
      </c>
    </row>
    <row r="67">
      <c r="A67" s="5" t="inlineStr">
        <is>
          <t>2003</t>
        </is>
      </c>
      <c r="B67" s="5" t="inlineStr"/>
      <c r="C67" s="5" t="inlineStr">
        <is>
          <t>2ND 2NDA. D.</t>
        </is>
      </c>
      <c r="D67" s="5" t="inlineStr">
        <is>
          <t>DGA</t>
        </is>
      </c>
      <c r="E67" s="6" t="n">
        <v>526</v>
      </c>
      <c r="F67" s="5" t="n"/>
      <c r="G67" s="5" t="n"/>
      <c r="H67" s="5" t="n"/>
      <c r="I67" s="5" t="n"/>
      <c r="J67" s="7">
        <f>IF(AND(N(F67)&gt;0,N(I67)&gt;0),I67-F67-IF(N(G67)&gt;0,0.5,0)-IF(N(H67)&gt;0,0.5,0),0)</f>
        <v/>
      </c>
      <c r="K67" s="5" t="n"/>
      <c r="L67" s="7">
        <f>MIN(J67,8.0)</f>
        <v/>
      </c>
      <c r="M67" s="7">
        <f>MAX(0,MIN(J67,12)-8.0)</f>
        <v/>
      </c>
      <c r="N67" s="7">
        <f>MAX(0,J67-12)</f>
        <v/>
      </c>
      <c r="O67" s="5" t="n"/>
      <c r="P67" s="6">
        <f>E67*(L67+M67*1.5+N67*2+O67*3+N(K67))</f>
        <v/>
      </c>
      <c r="Q67" s="6" t="n">
        <v>526</v>
      </c>
      <c r="R67" s="6">
        <f>Q67-P67</f>
        <v/>
      </c>
    </row>
    <row r="68">
      <c r="P68" s="2" t="inlineStr">
        <is>
          <t>2NDASSTDIRECTORS LABOR</t>
        </is>
      </c>
      <c r="R68" s="8">
        <f>SUM(R66:R67)</f>
        <v/>
      </c>
    </row>
    <row r="70">
      <c r="B70" s="2" t="inlineStr">
        <is>
          <t>SCRIPTSUPERVISOR</t>
        </is>
      </c>
    </row>
    <row r="71">
      <c r="A71" s="5" t="inlineStr">
        <is>
          <t>2005</t>
        </is>
      </c>
      <c r="B71" s="5" t="inlineStr">
        <is>
          <t>Renata Amador</t>
        </is>
      </c>
      <c r="C71" s="5" t="inlineStr">
        <is>
          <t>SCRIPTSUPERVISOR</t>
        </is>
      </c>
      <c r="D71" s="5" t="inlineStr">
        <is>
          <t>Local871</t>
        </is>
      </c>
      <c r="E71" s="6" t="n">
        <v>25.5</v>
      </c>
      <c r="F71" s="5" t="n"/>
      <c r="G71" s="5" t="n"/>
      <c r="H71" s="5" t="n"/>
      <c r="I71" s="5" t="n"/>
      <c r="J71" s="7">
        <f>IF(AND(N(F71)&gt;0,N(I71)&gt;0),I71-F71-IF(N(G71)&gt;0,0.5,0)-IF(N(H71)&gt;0,0.5,0),0)</f>
        <v/>
      </c>
      <c r="K71" s="5" t="n"/>
      <c r="L71" s="7">
        <f>MIN(J71,10.0)</f>
        <v/>
      </c>
      <c r="M71" s="7">
        <f>MAX(0,MIN(J71,12)-10.0)</f>
        <v/>
      </c>
      <c r="N71" s="7">
        <f>MAX(0,J71-12)</f>
        <v/>
      </c>
      <c r="O71" s="5" t="n"/>
      <c r="P71" s="6">
        <f>E71*(L71+M71*1.5+N71*2+O71*3+N(K71))</f>
        <v/>
      </c>
      <c r="Q71" s="6" t="n">
        <v>439.87</v>
      </c>
      <c r="R71" s="6">
        <f>Q71-P71</f>
        <v/>
      </c>
    </row>
    <row r="72">
      <c r="P72" s="2" t="inlineStr">
        <is>
          <t>SCRIPTSUPERVISOR LABOR</t>
        </is>
      </c>
      <c r="R72" s="8">
        <f>SUM(R71:R71)</f>
        <v/>
      </c>
    </row>
    <row r="74">
      <c r="B74" s="2" t="inlineStr">
        <is>
          <t>LOCATIONMANAGERS</t>
        </is>
      </c>
    </row>
    <row r="75">
      <c r="A75" s="5" t="inlineStr">
        <is>
          <t>2007</t>
        </is>
      </c>
      <c r="B75" s="5" t="inlineStr">
        <is>
          <t>Stacey Brashear-Rodriquez</t>
        </is>
      </c>
      <c r="C75" s="5" t="inlineStr">
        <is>
          <t>LOCATIONMANAGER</t>
        </is>
      </c>
      <c r="D75" s="5" t="inlineStr">
        <is>
          <t>Local399</t>
        </is>
      </c>
      <c r="E75" s="6" t="n">
        <v>557.6</v>
      </c>
      <c r="F75" s="5" t="n"/>
      <c r="G75" s="5" t="n"/>
      <c r="H75" s="5" t="n"/>
      <c r="I75" s="5" t="n"/>
      <c r="J75" s="7">
        <f>IF(AND(N(F75)&gt;0,N(I75)&gt;0),I75-F75-IF(N(G75)&gt;0,0.5,0)-IF(N(H75)&gt;0,0.5,0),0)</f>
        <v/>
      </c>
      <c r="K75" s="5" t="n"/>
      <c r="L75" s="7">
        <f>MIN(J75,8.0)</f>
        <v/>
      </c>
      <c r="M75" s="7">
        <f>MAX(0,MIN(J75,12)-8.0)</f>
        <v/>
      </c>
      <c r="N75" s="7">
        <f>MAX(0,J75-12)</f>
        <v/>
      </c>
      <c r="O75" s="5" t="n"/>
      <c r="P75" s="6">
        <f>E75*(L75+M75*1.5+N75*2+O75*3+N(K75))</f>
        <v/>
      </c>
      <c r="Q75" s="6" t="n">
        <v>557.6</v>
      </c>
      <c r="R75" s="6">
        <f>Q75-P75</f>
        <v/>
      </c>
    </row>
    <row r="76">
      <c r="P76" s="2" t="inlineStr">
        <is>
          <t>LOCATIONMANAGERS LABOR</t>
        </is>
      </c>
      <c r="R76" s="8">
        <f>SUM(R75:R75)</f>
        <v/>
      </c>
    </row>
    <row r="78">
      <c r="B78" s="2" t="inlineStr">
        <is>
          <t>ASSISTANTLOCATIONMANAGERS</t>
        </is>
      </c>
    </row>
    <row r="79">
      <c r="A79" s="5" t="inlineStr">
        <is>
          <t>2008</t>
        </is>
      </c>
      <c r="B79" s="5" t="inlineStr">
        <is>
          <t>Rich Heichel</t>
        </is>
      </c>
      <c r="C79" s="5" t="inlineStr">
        <is>
          <t>KEYASSTLOCATIONMGR#1</t>
        </is>
      </c>
      <c r="D79" s="5" t="inlineStr">
        <is>
          <t>Local399</t>
        </is>
      </c>
      <c r="E79" s="6" t="n">
        <v>334.2</v>
      </c>
      <c r="F79" s="5" t="n"/>
      <c r="G79" s="5" t="n"/>
      <c r="H79" s="5" t="n"/>
      <c r="I79" s="5" t="n"/>
      <c r="J79" s="7">
        <f>IF(AND(N(F79)&gt;0,N(I79)&gt;0),I79-F79-IF(N(G79)&gt;0,0.5,0)-IF(N(H79)&gt;0,0.5,0),0)</f>
        <v/>
      </c>
      <c r="K79" s="5" t="n"/>
      <c r="L79" s="7">
        <f>MIN(J79,8.0)</f>
        <v/>
      </c>
      <c r="M79" s="7">
        <f>MAX(0,MIN(J79,12)-8.0)</f>
        <v/>
      </c>
      <c r="N79" s="7">
        <f>MAX(0,J79-12)</f>
        <v/>
      </c>
      <c r="O79" s="5" t="n"/>
      <c r="P79" s="6">
        <f>E79*(L79+M79*1.5+N79*2+O79*3+N(K79))</f>
        <v/>
      </c>
      <c r="Q79" s="6" t="n">
        <v>334.2</v>
      </c>
      <c r="R79" s="6">
        <f>Q79-P79</f>
        <v/>
      </c>
    </row>
    <row r="80">
      <c r="A80" s="5" t="inlineStr">
        <is>
          <t>2008</t>
        </is>
      </c>
      <c r="B80" s="5" t="inlineStr">
        <is>
          <t>Jason Mc Cauley</t>
        </is>
      </c>
      <c r="C80" s="5" t="inlineStr">
        <is>
          <t>LOCATIONASST</t>
        </is>
      </c>
      <c r="D80" s="5" t="inlineStr">
        <is>
          <t>Local399</t>
        </is>
      </c>
      <c r="E80" s="6" t="n">
        <v>229</v>
      </c>
      <c r="F80" s="5" t="n"/>
      <c r="G80" s="5" t="n"/>
      <c r="H80" s="5" t="n"/>
      <c r="I80" s="5" t="n"/>
      <c r="J80" s="7">
        <f>IF(AND(N(F80)&gt;0,N(I80)&gt;0),I80-F80-IF(N(G80)&gt;0,0.5,0)-IF(N(H80)&gt;0,0.5,0),0)</f>
        <v/>
      </c>
      <c r="K80" s="5" t="n"/>
      <c r="L80" s="7">
        <f>MIN(J80,8.0)</f>
        <v/>
      </c>
      <c r="M80" s="7">
        <f>MAX(0,MIN(J80,12)-8.0)</f>
        <v/>
      </c>
      <c r="N80" s="7">
        <f>MAX(0,J80-12)</f>
        <v/>
      </c>
      <c r="O80" s="5" t="n"/>
      <c r="P80" s="6">
        <f>E80*(L80+M80*1.5+N80*2+O80*3+N(K80))</f>
        <v/>
      </c>
      <c r="Q80" s="6" t="n">
        <v>229</v>
      </c>
      <c r="R80" s="6">
        <f>Q80-P80</f>
        <v/>
      </c>
    </row>
    <row r="81">
      <c r="P81" s="2" t="inlineStr">
        <is>
          <t>ASSISTANTLOCATIONMANAGERS LABOR</t>
        </is>
      </c>
      <c r="R81" s="8">
        <f>SUM(R79:R80)</f>
        <v/>
      </c>
    </row>
    <row r="83">
      <c r="B83" s="2" t="inlineStr">
        <is>
          <t>PRODUCTIONCOORDINATOR</t>
        </is>
      </c>
    </row>
    <row r="84">
      <c r="A84" s="5" t="inlineStr">
        <is>
          <t>2009</t>
        </is>
      </c>
      <c r="B84" s="5" t="inlineStr">
        <is>
          <t>Ali Griffith</t>
        </is>
      </c>
      <c r="C84" s="5" t="inlineStr">
        <is>
          <t>PRODUCTIONOFCCOORD</t>
        </is>
      </c>
      <c r="D84" s="5" t="inlineStr"/>
      <c r="E84" s="6" t="n">
        <v>360</v>
      </c>
      <c r="F84" s="5" t="n"/>
      <c r="G84" s="5" t="n"/>
      <c r="H84" s="5" t="n"/>
      <c r="I84" s="5" t="n"/>
      <c r="J84" s="7">
        <f>IF(AND(N(F84)&gt;0,N(I84)&gt;0),I84-F84-IF(N(G84)&gt;0,0.5,0)-IF(N(H84)&gt;0,0.5,0),0)</f>
        <v/>
      </c>
      <c r="K84" s="5" t="n"/>
      <c r="L84" s="7">
        <f>MIN(J84,8.0)</f>
        <v/>
      </c>
      <c r="M84" s="7">
        <f>MAX(0,MIN(J84,12)-8.0)</f>
        <v/>
      </c>
      <c r="N84" s="7">
        <f>MAX(0,J84-12)</f>
        <v/>
      </c>
      <c r="O84" s="5" t="n"/>
      <c r="P84" s="6">
        <f>E84*(L84+M84*1.5+N84*2+O84*3+N(K84))</f>
        <v/>
      </c>
      <c r="Q84" s="6" t="n">
        <v>360</v>
      </c>
      <c r="R84" s="6">
        <f>Q84-P84</f>
        <v/>
      </c>
    </row>
    <row r="85">
      <c r="P85" s="2" t="inlineStr">
        <is>
          <t>PRODUCTIONCOORDINATOR LABOR</t>
        </is>
      </c>
      <c r="R85" s="8">
        <f>SUM(R84:R84)</f>
        <v/>
      </c>
    </row>
    <row r="87">
      <c r="B87" s="2" t="inlineStr">
        <is>
          <t>ASSTPRODUCTIONCOORDINATOR</t>
        </is>
      </c>
    </row>
    <row r="88">
      <c r="A88" s="5" t="inlineStr">
        <is>
          <t>2010</t>
        </is>
      </c>
      <c r="B88" s="5" t="inlineStr">
        <is>
          <t>Holly Dellocono</t>
        </is>
      </c>
      <c r="C88" s="5" t="inlineStr">
        <is>
          <t>APOC</t>
        </is>
      </c>
      <c r="D88" s="5" t="inlineStr">
        <is>
          <t>Local871</t>
        </is>
      </c>
      <c r="E88" s="6" t="n">
        <v>20.57</v>
      </c>
      <c r="F88" s="5" t="n"/>
      <c r="G88" s="5" t="n"/>
      <c r="H88" s="5" t="n"/>
      <c r="I88" s="5" t="n"/>
      <c r="J88" s="7">
        <f>IF(AND(N(F88)&gt;0,N(I88)&gt;0),I88-F88-IF(N(G88)&gt;0,0.5,0)-IF(N(H88)&gt;0,0.5,0),0)</f>
        <v/>
      </c>
      <c r="K88" s="5" t="n"/>
      <c r="L88" s="7">
        <f>MIN(J88,10.0)</f>
        <v/>
      </c>
      <c r="M88" s="7">
        <f>MAX(0,MIN(J88,12)-10.0)</f>
        <v/>
      </c>
      <c r="N88" s="7">
        <f>MAX(0,J88-12)</f>
        <v/>
      </c>
      <c r="O88" s="5" t="n"/>
      <c r="P88" s="6">
        <f>E88*(L88+M88*1.5+N88*2+O88*3+N(K88))</f>
        <v/>
      </c>
      <c r="Q88" s="6" t="n">
        <v>287.98</v>
      </c>
      <c r="R88" s="6">
        <f>Q88-P88</f>
        <v/>
      </c>
    </row>
    <row r="89">
      <c r="P89" s="2" t="inlineStr">
        <is>
          <t>ASSTPRODUCTIONCOORDINATOR LABOR</t>
        </is>
      </c>
      <c r="R89" s="8">
        <f>SUM(R88:R88)</f>
        <v/>
      </c>
    </row>
    <row r="91">
      <c r="B91" s="2" t="inlineStr">
        <is>
          <t>OFFICESTAFFASSISTANTS</t>
        </is>
      </c>
    </row>
    <row r="92">
      <c r="A92" s="5" t="inlineStr">
        <is>
          <t>2011</t>
        </is>
      </c>
      <c r="B92" s="5" t="inlineStr">
        <is>
          <t>John Humber</t>
        </is>
      </c>
      <c r="C92" s="5" t="inlineStr">
        <is>
          <t>OFFICEPA#1</t>
        </is>
      </c>
      <c r="D92" s="5" t="inlineStr"/>
      <c r="E92" s="6" t="n">
        <v>22.5</v>
      </c>
      <c r="F92" s="5" t="n"/>
      <c r="G92" s="5" t="n"/>
      <c r="H92" s="5" t="n"/>
      <c r="I92" s="5" t="n"/>
      <c r="J92" s="7">
        <f>IF(AND(N(F92)&gt;0,N(I92)&gt;0),I92-F92-IF(N(G92)&gt;0,0.5,0)-IF(N(H92)&gt;0,0.5,0),0)</f>
        <v/>
      </c>
      <c r="K92" s="5" t="n"/>
      <c r="L92" s="7">
        <f>MIN(J92,8.0)</f>
        <v/>
      </c>
      <c r="M92" s="7">
        <f>MAX(0,MIN(J92,12)-8.0)</f>
        <v/>
      </c>
      <c r="N92" s="7">
        <f>MAX(0,J92-12)</f>
        <v/>
      </c>
      <c r="O92" s="5" t="n"/>
      <c r="P92" s="6">
        <f>E92*(L92+M92*1.5+N92*2+O92*3+N(K92))</f>
        <v/>
      </c>
      <c r="Q92" s="6" t="n">
        <v>168</v>
      </c>
      <c r="R92" s="6">
        <f>Q92-P92</f>
        <v/>
      </c>
    </row>
    <row r="93">
      <c r="A93" s="5" t="inlineStr">
        <is>
          <t>2011</t>
        </is>
      </c>
      <c r="B93" s="5" t="inlineStr">
        <is>
          <t>Sarah Semenas</t>
        </is>
      </c>
      <c r="C93" s="5" t="inlineStr">
        <is>
          <t>OFFICEPA#2</t>
        </is>
      </c>
      <c r="D93" s="5" t="inlineStr"/>
      <c r="E93" s="6" t="n">
        <v>22.5</v>
      </c>
      <c r="F93" s="5" t="n"/>
      <c r="G93" s="5" t="n"/>
      <c r="H93" s="5" t="n"/>
      <c r="I93" s="5" t="n"/>
      <c r="J93" s="7">
        <f>IF(AND(N(F93)&gt;0,N(I93)&gt;0),I93-F93-IF(N(G93)&gt;0,0.5,0)-IF(N(H93)&gt;0,0.5,0),0)</f>
        <v/>
      </c>
      <c r="K93" s="5" t="n"/>
      <c r="L93" s="7">
        <f>MIN(J93,8.0)</f>
        <v/>
      </c>
      <c r="M93" s="7">
        <f>MAX(0,MIN(J93,12)-8.0)</f>
        <v/>
      </c>
      <c r="N93" s="7">
        <f>MAX(0,J93-12)</f>
        <v/>
      </c>
      <c r="O93" s="5" t="n"/>
      <c r="P93" s="6">
        <f>E93*(L93+M93*1.5+N93*2+O93*3+N(K93))</f>
        <v/>
      </c>
      <c r="Q93" s="6" t="n">
        <v>168</v>
      </c>
      <c r="R93" s="6">
        <f>Q93-P93</f>
        <v/>
      </c>
    </row>
    <row r="94">
      <c r="P94" s="2" t="inlineStr">
        <is>
          <t>OFFICESTAFFASSISTANTS LABOR</t>
        </is>
      </c>
      <c r="R94" s="8">
        <f>SUM(R92:R93)</f>
        <v/>
      </c>
    </row>
    <row r="96">
      <c r="B96" s="2" t="inlineStr">
        <is>
          <t>SETSTAFFASSISTANTS</t>
        </is>
      </c>
    </row>
    <row r="97">
      <c r="A97" s="5" t="inlineStr">
        <is>
          <t>2012</t>
        </is>
      </c>
      <c r="B97" s="5" t="inlineStr">
        <is>
          <t>Paula Henry</t>
        </is>
      </c>
      <c r="C97" s="5" t="inlineStr">
        <is>
          <t>KEYSETPA</t>
        </is>
      </c>
      <c r="D97" s="5" t="inlineStr"/>
      <c r="E97" s="6" t="n">
        <v>12</v>
      </c>
      <c r="F97" s="5" t="n"/>
      <c r="G97" s="5" t="n"/>
      <c r="H97" s="5" t="n"/>
      <c r="I97" s="5" t="n"/>
      <c r="J97" s="7">
        <f>IF(AND(N(F97)&gt;0,N(I97)&gt;0),I97-F97-IF(N(G97)&gt;0,0.5,0)-IF(N(H97)&gt;0,0.5,0),0)</f>
        <v/>
      </c>
      <c r="K97" s="5" t="n"/>
      <c r="L97" s="7">
        <f>MIN(J97,8.0)</f>
        <v/>
      </c>
      <c r="M97" s="7">
        <f>MAX(0,MIN(J97,12)-8.0)</f>
        <v/>
      </c>
      <c r="N97" s="7">
        <f>MAX(0,J97-12)</f>
        <v/>
      </c>
      <c r="O97" s="5" t="n"/>
      <c r="P97" s="6">
        <f>E97*(L97+M97*1.5+N97*2+O97*3+N(K97))</f>
        <v/>
      </c>
      <c r="Q97" s="6" t="n">
        <v>216</v>
      </c>
      <c r="R97" s="6">
        <f>Q97-P97</f>
        <v/>
      </c>
    </row>
    <row r="98">
      <c r="A98" s="5" t="inlineStr">
        <is>
          <t>2012</t>
        </is>
      </c>
      <c r="B98" s="5" t="inlineStr"/>
      <c r="C98" s="5" t="inlineStr">
        <is>
          <t>SETPA#2</t>
        </is>
      </c>
      <c r="D98" s="5" t="inlineStr"/>
      <c r="E98" s="6" t="n">
        <v>12</v>
      </c>
      <c r="F98" s="5" t="n"/>
      <c r="G98" s="5" t="n"/>
      <c r="H98" s="5" t="n"/>
      <c r="I98" s="5" t="n"/>
      <c r="J98" s="7">
        <f>IF(AND(N(F98)&gt;0,N(I98)&gt;0),I98-F98-IF(N(G98)&gt;0,0.5,0)-IF(N(H98)&gt;0,0.5,0),0)</f>
        <v/>
      </c>
      <c r="K98" s="5" t="n"/>
      <c r="L98" s="7">
        <f>MIN(J98,8.0)</f>
        <v/>
      </c>
      <c r="M98" s="7">
        <f>MAX(0,MIN(J98,12)-8.0)</f>
        <v/>
      </c>
      <c r="N98" s="7">
        <f>MAX(0,J98-12)</f>
        <v/>
      </c>
      <c r="O98" s="5" t="n"/>
      <c r="P98" s="6">
        <f>E98*(L98+M98*1.5+N98*2+O98*3+N(K98))</f>
        <v/>
      </c>
      <c r="Q98" s="6" t="n">
        <v>216</v>
      </c>
      <c r="R98" s="6">
        <f>Q98-P98</f>
        <v/>
      </c>
    </row>
    <row r="99">
      <c r="A99" s="5" t="inlineStr">
        <is>
          <t>2012</t>
        </is>
      </c>
      <c r="B99" s="5" t="inlineStr"/>
      <c r="C99" s="5" t="inlineStr">
        <is>
          <t>SETPA#3</t>
        </is>
      </c>
      <c r="D99" s="5" t="inlineStr"/>
      <c r="E99" s="6" t="n">
        <v>12</v>
      </c>
      <c r="F99" s="5" t="n"/>
      <c r="G99" s="5" t="n"/>
      <c r="H99" s="5" t="n"/>
      <c r="I99" s="5" t="n"/>
      <c r="J99" s="7">
        <f>IF(AND(N(F99)&gt;0,N(I99)&gt;0),I99-F99-IF(N(G99)&gt;0,0.5,0)-IF(N(H99)&gt;0,0.5,0),0)</f>
        <v/>
      </c>
      <c r="K99" s="5" t="n"/>
      <c r="L99" s="7">
        <f>MIN(J99,8.0)</f>
        <v/>
      </c>
      <c r="M99" s="7">
        <f>MAX(0,MIN(J99,12)-8.0)</f>
        <v/>
      </c>
      <c r="N99" s="7">
        <f>MAX(0,J99-12)</f>
        <v/>
      </c>
      <c r="O99" s="5" t="n"/>
      <c r="P99" s="6">
        <f>E99*(L99+M99*1.5+N99*2+O99*3+N(K99))</f>
        <v/>
      </c>
      <c r="Q99" s="6" t="n">
        <v>216</v>
      </c>
      <c r="R99" s="6">
        <f>Q99-P99</f>
        <v/>
      </c>
    </row>
    <row r="100">
      <c r="A100" s="5" t="inlineStr">
        <is>
          <t>2012</t>
        </is>
      </c>
      <c r="B100" s="5" t="inlineStr"/>
      <c r="C100" s="5" t="inlineStr">
        <is>
          <t>SETPA#4</t>
        </is>
      </c>
      <c r="D100" s="5" t="inlineStr"/>
      <c r="E100" s="6" t="n">
        <v>12</v>
      </c>
      <c r="F100" s="5" t="n"/>
      <c r="G100" s="5" t="n"/>
      <c r="H100" s="5" t="n"/>
      <c r="I100" s="5" t="n"/>
      <c r="J100" s="7">
        <f>IF(AND(N(F100)&gt;0,N(I100)&gt;0),I100-F100-IF(N(G100)&gt;0,0.5,0)-IF(N(H100)&gt;0,0.5,0),0)</f>
        <v/>
      </c>
      <c r="K100" s="5" t="n"/>
      <c r="L100" s="7">
        <f>MIN(J100,8.0)</f>
        <v/>
      </c>
      <c r="M100" s="7">
        <f>MAX(0,MIN(J100,12)-8.0)</f>
        <v/>
      </c>
      <c r="N100" s="7">
        <f>MAX(0,J100-12)</f>
        <v/>
      </c>
      <c r="O100" s="5" t="n"/>
      <c r="P100" s="6">
        <f>E100*(L100+M100*1.5+N100*2+O100*3+N(K100))</f>
        <v/>
      </c>
      <c r="Q100" s="6" t="n">
        <v>216</v>
      </c>
      <c r="R100" s="6">
        <f>Q100-P100</f>
        <v/>
      </c>
    </row>
    <row r="101">
      <c r="P101" s="2" t="inlineStr">
        <is>
          <t>SETSTAFFASSISTANTS LABOR</t>
        </is>
      </c>
      <c r="R101" s="8">
        <f>SUM(R97:R100)</f>
        <v/>
      </c>
    </row>
    <row r="103">
      <c r="B103" s="2" t="inlineStr">
        <is>
          <t>PRODUCTIONACCOUNTANT</t>
        </is>
      </c>
    </row>
    <row r="104">
      <c r="A104" s="5" t="inlineStr">
        <is>
          <t>2013</t>
        </is>
      </c>
      <c r="B104" s="5" t="inlineStr">
        <is>
          <t>Joel Tokarsky</t>
        </is>
      </c>
      <c r="C104" s="5" t="inlineStr">
        <is>
          <t>PRODUCTIONACCOUNTANT</t>
        </is>
      </c>
      <c r="D104" s="5" t="inlineStr">
        <is>
          <t>Local871</t>
        </is>
      </c>
      <c r="E104" s="6" t="n">
        <v>740</v>
      </c>
      <c r="F104" s="5" t="n"/>
      <c r="G104" s="5" t="n"/>
      <c r="H104" s="5" t="n"/>
      <c r="I104" s="5" t="n"/>
      <c r="J104" s="7">
        <f>IF(AND(N(F104)&gt;0,N(I104)&gt;0),I104-F104-IF(N(G104)&gt;0,0.5,0)-IF(N(H104)&gt;0,0.5,0),0)</f>
        <v/>
      </c>
      <c r="K104" s="5" t="n"/>
      <c r="L104" s="7">
        <f>MIN(J104,10.0)</f>
        <v/>
      </c>
      <c r="M104" s="7">
        <f>MAX(0,MIN(J104,12)-10.0)</f>
        <v/>
      </c>
      <c r="N104" s="7">
        <f>MAX(0,J104-12)</f>
        <v/>
      </c>
      <c r="O104" s="5" t="n"/>
      <c r="P104" s="6">
        <f>E104*(L104+M104*1.5+N104*2+O104*3+N(K104))</f>
        <v/>
      </c>
      <c r="Q104" s="6" t="n">
        <v>740</v>
      </c>
      <c r="R104" s="6">
        <f>Q104-P104</f>
        <v/>
      </c>
    </row>
    <row r="105">
      <c r="P105" s="2" t="inlineStr">
        <is>
          <t>PRODUCTIONACCOUNTANT LABOR</t>
        </is>
      </c>
      <c r="R105" s="8">
        <f>SUM(R104:R104)</f>
        <v/>
      </c>
    </row>
    <row r="107">
      <c r="B107" s="2" t="inlineStr">
        <is>
          <t>ASSTPRODUCTIONACCOUNTANTS</t>
        </is>
      </c>
    </row>
    <row r="108">
      <c r="A108" s="5" t="inlineStr">
        <is>
          <t>2014</t>
        </is>
      </c>
      <c r="B108" s="5" t="inlineStr">
        <is>
          <t>Co-Co Aiello</t>
        </is>
      </c>
      <c r="C108" s="5" t="inlineStr">
        <is>
          <t>1STASSTACCT</t>
        </is>
      </c>
      <c r="D108" s="5" t="inlineStr">
        <is>
          <t>Local871</t>
        </is>
      </c>
      <c r="E108" s="6" t="n">
        <v>480</v>
      </c>
      <c r="F108" s="5" t="n"/>
      <c r="G108" s="5" t="n"/>
      <c r="H108" s="5" t="n"/>
      <c r="I108" s="5" t="n"/>
      <c r="J108" s="7">
        <f>IF(AND(N(F108)&gt;0,N(I108)&gt;0),I108-F108-IF(N(G108)&gt;0,0.5,0)-IF(N(H108)&gt;0,0.5,0),0)</f>
        <v/>
      </c>
      <c r="K108" s="5" t="n"/>
      <c r="L108" s="7">
        <f>MIN(J108,10.0)</f>
        <v/>
      </c>
      <c r="M108" s="7">
        <f>MAX(0,MIN(J108,12)-10.0)</f>
        <v/>
      </c>
      <c r="N108" s="7">
        <f>MAX(0,J108-12)</f>
        <v/>
      </c>
      <c r="O108" s="5" t="n"/>
      <c r="P108" s="6">
        <f>E108*(L108+M108*1.5+N108*2+O108*3+N(K108))</f>
        <v/>
      </c>
      <c r="Q108" s="6" t="n">
        <v>480</v>
      </c>
      <c r="R108" s="6">
        <f>Q108-P108</f>
        <v/>
      </c>
    </row>
    <row r="109">
      <c r="A109" s="5" t="inlineStr">
        <is>
          <t>2014</t>
        </is>
      </c>
      <c r="B109" s="5" t="inlineStr">
        <is>
          <t>Steve Goldstein</t>
        </is>
      </c>
      <c r="C109" s="5" t="inlineStr">
        <is>
          <t>PAYROLLACCT</t>
        </is>
      </c>
      <c r="D109" s="5" t="inlineStr">
        <is>
          <t>Local871</t>
        </is>
      </c>
      <c r="E109" s="6" t="n">
        <v>420</v>
      </c>
      <c r="F109" s="5" t="n"/>
      <c r="G109" s="5" t="n"/>
      <c r="H109" s="5" t="n"/>
      <c r="I109" s="5" t="n"/>
      <c r="J109" s="7">
        <f>IF(AND(N(F109)&gt;0,N(I109)&gt;0),I109-F109-IF(N(G109)&gt;0,0.5,0)-IF(N(H109)&gt;0,0.5,0),0)</f>
        <v/>
      </c>
      <c r="K109" s="5" t="n"/>
      <c r="L109" s="7">
        <f>MIN(J109,10.0)</f>
        <v/>
      </c>
      <c r="M109" s="7">
        <f>MAX(0,MIN(J109,12)-10.0)</f>
        <v/>
      </c>
      <c r="N109" s="7">
        <f>MAX(0,J109-12)</f>
        <v/>
      </c>
      <c r="O109" s="5" t="n"/>
      <c r="P109" s="6">
        <f>E109*(L109+M109*1.5+N109*2+O109*3+N(K109))</f>
        <v/>
      </c>
      <c r="Q109" s="6" t="n">
        <v>420</v>
      </c>
      <c r="R109" s="6">
        <f>Q109-P109</f>
        <v/>
      </c>
    </row>
    <row r="110">
      <c r="P110" s="2" t="inlineStr">
        <is>
          <t>ASSTPRODUCTIONACCOUNTANTS LABOR</t>
        </is>
      </c>
      <c r="R110" s="8">
        <f>SUM(R108:R109)</f>
        <v/>
      </c>
    </row>
    <row r="112">
      <c r="B112" s="2" t="inlineStr">
        <is>
          <t>CONSTRUCTIONCOORDINATOR</t>
        </is>
      </c>
    </row>
    <row r="113">
      <c r="A113" s="5" t="inlineStr">
        <is>
          <t>2302</t>
        </is>
      </c>
      <c r="B113" s="5" t="inlineStr">
        <is>
          <t>Drew Rebelin</t>
        </is>
      </c>
      <c r="C113" s="5" t="inlineStr">
        <is>
          <t>CONSTCOORDINATOR</t>
        </is>
      </c>
      <c r="D113" s="5" t="inlineStr">
        <is>
          <t>Local44</t>
        </is>
      </c>
      <c r="E113" s="6" t="n">
        <v>400</v>
      </c>
      <c r="F113" s="5" t="n"/>
      <c r="G113" s="5" t="n"/>
      <c r="H113" s="5" t="n"/>
      <c r="I113" s="5" t="n"/>
      <c r="J113" s="7">
        <f>IF(AND(N(F113)&gt;0,N(I113)&gt;0),I113-F113-IF(N(G113)&gt;0,0.5,0)-IF(N(H113)&gt;0,0.5,0),0)</f>
        <v/>
      </c>
      <c r="K113" s="5" t="n"/>
      <c r="L113" s="7">
        <f>MIN(J113,10.0)</f>
        <v/>
      </c>
      <c r="M113" s="7">
        <f>MAX(0,MIN(J113,12)-10.0)</f>
        <v/>
      </c>
      <c r="N113" s="7">
        <f>MAX(0,J113-12)</f>
        <v/>
      </c>
      <c r="O113" s="5" t="n"/>
      <c r="P113" s="6">
        <f>E113*(L113+M113*1.5+N113*2+O113*3+N(K113))</f>
        <v/>
      </c>
      <c r="Q113" s="5" t="n"/>
      <c r="R113" s="6">
        <f>Q113-P113</f>
        <v/>
      </c>
    </row>
    <row r="114">
      <c r="P114" s="2" t="inlineStr">
        <is>
          <t>CONSTRUCTIONCOORDINATOR LABOR</t>
        </is>
      </c>
      <c r="R114" s="8">
        <f>SUM(R113:R113)</f>
        <v/>
      </c>
    </row>
    <row r="116">
      <c r="B116" s="2" t="inlineStr">
        <is>
          <t>PAINTFOREMAN</t>
        </is>
      </c>
    </row>
    <row r="117">
      <c r="A117" s="5" t="inlineStr">
        <is>
          <t>2304</t>
        </is>
      </c>
      <c r="B117" s="5" t="inlineStr">
        <is>
          <t>Kristeen Reimnitz</t>
        </is>
      </c>
      <c r="C117" s="5" t="inlineStr">
        <is>
          <t>PAINTER</t>
        </is>
      </c>
      <c r="D117" s="5" t="inlineStr">
        <is>
          <t>Local729</t>
        </is>
      </c>
      <c r="E117" s="6" t="n">
        <v>23.04</v>
      </c>
      <c r="F117" s="5" t="n"/>
      <c r="G117" s="5" t="n"/>
      <c r="H117" s="5" t="n"/>
      <c r="I117" s="5" t="n"/>
      <c r="J117" s="7">
        <f>IF(AND(N(F117)&gt;0,N(I117)&gt;0),I117-F117-IF(N(G117)&gt;0,0.5,0)-IF(N(H117)&gt;0,0.5,0),0)</f>
        <v/>
      </c>
      <c r="K117" s="5" t="n"/>
      <c r="L117" s="7">
        <f>MIN(J117,10.0)</f>
        <v/>
      </c>
      <c r="M117" s="7">
        <f>MAX(0,MIN(J117,12)-10.0)</f>
        <v/>
      </c>
      <c r="N117" s="7">
        <f>MAX(0,J117-12)</f>
        <v/>
      </c>
      <c r="O117" s="5" t="n"/>
      <c r="P117" s="6">
        <f>E117*(L117+M117*1.5+N117*2+O117*3+N(K117))</f>
        <v/>
      </c>
      <c r="Q117" s="5" t="n"/>
      <c r="R117" s="6">
        <f>Q117-P117</f>
        <v/>
      </c>
    </row>
    <row r="118">
      <c r="P118" s="2" t="inlineStr">
        <is>
          <t>PAINTFOREMAN LABOR</t>
        </is>
      </c>
      <c r="R118" s="8">
        <f>SUM(R117:R117)</f>
        <v/>
      </c>
    </row>
    <row r="120">
      <c r="B120" s="2" t="inlineStr">
        <is>
          <t>FIRSTAIDLABOR</t>
        </is>
      </c>
    </row>
    <row r="121">
      <c r="A121" s="5" t="inlineStr">
        <is>
          <t>2310</t>
        </is>
      </c>
      <c r="B121" s="5" t="inlineStr"/>
      <c r="C121" s="5" t="inlineStr">
        <is>
          <t>CONSTRUCTIONMEDIC</t>
        </is>
      </c>
      <c r="D121" s="5" t="inlineStr">
        <is>
          <t>Local80</t>
        </is>
      </c>
      <c r="E121" s="6" t="n">
        <v>23.04</v>
      </c>
      <c r="F121" s="5" t="n"/>
      <c r="G121" s="5" t="n"/>
      <c r="H121" s="5" t="n"/>
      <c r="I121" s="5" t="n"/>
      <c r="J121" s="7">
        <f>IF(AND(N(F121)&gt;0,N(I121)&gt;0),I121-F121-IF(N(G121)&gt;0,0.5,0)-IF(N(H121)&gt;0,0.5,0),0)</f>
        <v/>
      </c>
      <c r="K121" s="5" t="n"/>
      <c r="L121" s="7">
        <f>MIN(J121,10.0)</f>
        <v/>
      </c>
      <c r="M121" s="7">
        <f>MAX(0,MIN(J121,12)-10.0)</f>
        <v/>
      </c>
      <c r="N121" s="7">
        <f>MAX(0,J121-12)</f>
        <v/>
      </c>
      <c r="O121" s="5" t="n"/>
      <c r="P121" s="6">
        <f>E121*(L121+M121*1.5+N121*2+O121*3+N(K121))</f>
        <v/>
      </c>
      <c r="Q121" s="5" t="n"/>
      <c r="R121" s="6">
        <f>Q121-P121</f>
        <v/>
      </c>
    </row>
    <row r="122">
      <c r="P122" s="2" t="inlineStr">
        <is>
          <t>FIRSTAIDLABOR LABOR</t>
        </is>
      </c>
      <c r="R122" s="8">
        <f>SUM(R121:R121)</f>
        <v/>
      </c>
    </row>
    <row r="124">
      <c r="B124" s="2" t="inlineStr">
        <is>
          <t>KEYGRIP</t>
        </is>
      </c>
    </row>
    <row r="125">
      <c r="A125" s="5" t="inlineStr">
        <is>
          <t>2501</t>
        </is>
      </c>
      <c r="B125" s="5" t="inlineStr">
        <is>
          <t>Pat O'Mara</t>
        </is>
      </c>
      <c r="C125" s="5" t="inlineStr">
        <is>
          <t>KEYGRIP</t>
        </is>
      </c>
      <c r="D125" s="5" t="inlineStr">
        <is>
          <t>Local80</t>
        </is>
      </c>
      <c r="E125" s="6" t="n">
        <v>25.5</v>
      </c>
      <c r="F125" s="5" t="n"/>
      <c r="G125" s="5" t="n"/>
      <c r="H125" s="5" t="n"/>
      <c r="I125" s="5" t="n"/>
      <c r="J125" s="7">
        <f>IF(AND(N(F125)&gt;0,N(I125)&gt;0),I125-F125-IF(N(G125)&gt;0,0.5,0)-IF(N(H125)&gt;0,0.5,0),0)</f>
        <v/>
      </c>
      <c r="K125" s="5" t="n"/>
      <c r="L125" s="7">
        <f>MIN(J125,10.0)</f>
        <v/>
      </c>
      <c r="M125" s="7">
        <f>MAX(0,MIN(J125,12)-10.0)</f>
        <v/>
      </c>
      <c r="N125" s="7">
        <f>MAX(0,J125-12)</f>
        <v/>
      </c>
      <c r="O125" s="5" t="n"/>
      <c r="P125" s="6">
        <f>E125*(L125+M125*1.5+N125*2+O125*3+N(K125))</f>
        <v/>
      </c>
      <c r="Q125" s="6" t="n">
        <v>395.25</v>
      </c>
      <c r="R125" s="6">
        <f>Q125-P125</f>
        <v/>
      </c>
    </row>
    <row r="126">
      <c r="P126" s="2" t="inlineStr">
        <is>
          <t>KEYGRIP LABOR</t>
        </is>
      </c>
      <c r="R126" s="8">
        <f>SUM(R125:R125)</f>
        <v/>
      </c>
    </row>
    <row r="128">
      <c r="B128" s="2" t="inlineStr">
        <is>
          <t>BESTBOYGRIP</t>
        </is>
      </c>
    </row>
    <row r="129">
      <c r="A129" s="5" t="inlineStr">
        <is>
          <t>2502</t>
        </is>
      </c>
      <c r="B129" s="5" t="inlineStr">
        <is>
          <t>Aaron Fairley</t>
        </is>
      </c>
      <c r="C129" s="5" t="inlineStr">
        <is>
          <t>BESTBOYGRIP</t>
        </is>
      </c>
      <c r="D129" s="5" t="inlineStr">
        <is>
          <t>Local80</t>
        </is>
      </c>
      <c r="E129" s="6" t="n">
        <v>23.04</v>
      </c>
      <c r="F129" s="5" t="n"/>
      <c r="G129" s="5" t="n"/>
      <c r="H129" s="5" t="n"/>
      <c r="I129" s="5" t="n"/>
      <c r="J129" s="7">
        <f>IF(AND(N(F129)&gt;0,N(I129)&gt;0),I129-F129-IF(N(G129)&gt;0,0.5,0)-IF(N(H129)&gt;0,0.5,0),0)</f>
        <v/>
      </c>
      <c r="K129" s="5" t="n"/>
      <c r="L129" s="7">
        <f>MIN(J129,10.0)</f>
        <v/>
      </c>
      <c r="M129" s="7">
        <f>MAX(0,MIN(J129,12)-10.0)</f>
        <v/>
      </c>
      <c r="N129" s="7">
        <f>MAX(0,J129-12)</f>
        <v/>
      </c>
      <c r="O129" s="5" t="n"/>
      <c r="P129" s="6">
        <f>E129*(L129+M129*1.5+N129*2+O129*3+N(K129))</f>
        <v/>
      </c>
      <c r="Q129" s="6" t="n">
        <v>357.12</v>
      </c>
      <c r="R129" s="6">
        <f>Q129-P129</f>
        <v/>
      </c>
    </row>
    <row r="130">
      <c r="A130" s="5" t="inlineStr">
        <is>
          <t>2502</t>
        </is>
      </c>
      <c r="B130" s="5" t="inlineStr"/>
      <c r="C130" s="5" t="inlineStr">
        <is>
          <t>STUDIOBESTBOYGRIP</t>
        </is>
      </c>
      <c r="D130" s="5" t="inlineStr">
        <is>
          <t>Local80</t>
        </is>
      </c>
      <c r="E130" s="6" t="n">
        <v>43.05</v>
      </c>
      <c r="F130" s="5" t="n"/>
      <c r="G130" s="5" t="n"/>
      <c r="H130" s="5" t="n"/>
      <c r="I130" s="5" t="n"/>
      <c r="J130" s="7">
        <f>IF(AND(N(F130)&gt;0,N(I130)&gt;0),I130-F130-IF(N(G130)&gt;0,0.5,0)-IF(N(H130)&gt;0,0.5,0),0)</f>
        <v/>
      </c>
      <c r="K130" s="5" t="n"/>
      <c r="L130" s="7">
        <f>MIN(J130,10.0)</f>
        <v/>
      </c>
      <c r="M130" s="7">
        <f>MAX(0,MIN(J130,12)-10.0)</f>
        <v/>
      </c>
      <c r="N130" s="7">
        <f>MAX(0,J130-12)</f>
        <v/>
      </c>
      <c r="O130" s="5" t="n"/>
      <c r="P130" s="6">
        <f>E130*(L130+M130*1.5+N130*2+O130*3+N(K130))</f>
        <v/>
      </c>
      <c r="Q130" s="6" t="n">
        <v>667.27</v>
      </c>
      <c r="R130" s="6">
        <f>Q130-P130</f>
        <v/>
      </c>
    </row>
    <row r="131">
      <c r="P131" s="2" t="inlineStr">
        <is>
          <t>BESTBOYGRIP LABOR</t>
        </is>
      </c>
      <c r="R131" s="8">
        <f>SUM(R129:R130)</f>
        <v/>
      </c>
    </row>
    <row r="133">
      <c r="B133" s="2" t="inlineStr">
        <is>
          <t>DOLLYGRIP</t>
        </is>
      </c>
    </row>
    <row r="134">
      <c r="A134" s="5" t="inlineStr">
        <is>
          <t>2503</t>
        </is>
      </c>
      <c r="B134" s="5" t="inlineStr">
        <is>
          <t>Peter Weidenfeller</t>
        </is>
      </c>
      <c r="C134" s="5" t="inlineStr">
        <is>
          <t>"A"DOLLYGRIP</t>
        </is>
      </c>
      <c r="D134" s="5" t="inlineStr">
        <is>
          <t>Local80</t>
        </is>
      </c>
      <c r="E134" s="6" t="n">
        <v>23.04</v>
      </c>
      <c r="F134" s="5" t="n"/>
      <c r="G134" s="5" t="n"/>
      <c r="H134" s="5" t="n"/>
      <c r="I134" s="5" t="n"/>
      <c r="J134" s="7">
        <f>IF(AND(N(F134)&gt;0,N(I134)&gt;0),I134-F134-IF(N(G134)&gt;0,0.5,0)-IF(N(H134)&gt;0,0.5,0),0)</f>
        <v/>
      </c>
      <c r="K134" s="5" t="n"/>
      <c r="L134" s="7">
        <f>MIN(J134,10.0)</f>
        <v/>
      </c>
      <c r="M134" s="7">
        <f>MAX(0,MIN(J134,12)-10.0)</f>
        <v/>
      </c>
      <c r="N134" s="7">
        <f>MAX(0,J134-12)</f>
        <v/>
      </c>
      <c r="O134" s="5" t="n"/>
      <c r="P134" s="6">
        <f>E134*(L134+M134*1.5+N134*2+O134*3+N(K134))</f>
        <v/>
      </c>
      <c r="Q134" s="6" t="n">
        <v>357.12</v>
      </c>
      <c r="R134" s="6">
        <f>Q134-P134</f>
        <v/>
      </c>
    </row>
    <row r="135">
      <c r="P135" s="2" t="inlineStr">
        <is>
          <t>DOLLYGRIP LABOR</t>
        </is>
      </c>
      <c r="R135" s="8">
        <f>SUM(R134:R134)</f>
        <v/>
      </c>
    </row>
    <row r="137">
      <c r="B137" s="2" t="inlineStr">
        <is>
          <t>CRANEGRIPS</t>
        </is>
      </c>
    </row>
    <row r="138">
      <c r="A138" s="5" t="inlineStr">
        <is>
          <t>2504</t>
        </is>
      </c>
      <c r="B138" s="5" t="inlineStr"/>
      <c r="C138" s="5" t="inlineStr">
        <is>
          <t>CRANEOPERATOR</t>
        </is>
      </c>
      <c r="D138" s="5" t="inlineStr">
        <is>
          <t>Local80</t>
        </is>
      </c>
      <c r="E138" s="6" t="n">
        <v>792</v>
      </c>
      <c r="F138" s="5" t="n"/>
      <c r="G138" s="5" t="n"/>
      <c r="H138" s="5" t="n"/>
      <c r="I138" s="5" t="n"/>
      <c r="J138" s="7">
        <f>IF(AND(N(F138)&gt;0,N(I138)&gt;0),I138-F138-IF(N(G138)&gt;0,0.5,0)-IF(N(H138)&gt;0,0.5,0),0)</f>
        <v/>
      </c>
      <c r="K138" s="5" t="n"/>
      <c r="L138" s="7">
        <f>MIN(J138,10.0)</f>
        <v/>
      </c>
      <c r="M138" s="7">
        <f>MAX(0,MIN(J138,12)-10.0)</f>
        <v/>
      </c>
      <c r="N138" s="7">
        <f>MAX(0,J138-12)</f>
        <v/>
      </c>
      <c r="O138" s="5" t="n"/>
      <c r="P138" s="6">
        <f>E138*(L138+M138*1.5+N138*2+O138*3+N(K138))</f>
        <v/>
      </c>
      <c r="Q138" s="6" t="n">
        <v>924</v>
      </c>
      <c r="R138" s="6">
        <f>Q138-P138</f>
        <v/>
      </c>
    </row>
    <row r="139">
      <c r="A139" s="5" t="inlineStr">
        <is>
          <t>2504</t>
        </is>
      </c>
      <c r="B139" s="5" t="inlineStr"/>
      <c r="C139" s="5" t="inlineStr">
        <is>
          <t>CRANEASSISTANT</t>
        </is>
      </c>
      <c r="D139" s="5" t="inlineStr">
        <is>
          <t>Local80</t>
        </is>
      </c>
      <c r="E139" s="6" t="n">
        <v>660</v>
      </c>
      <c r="F139" s="5" t="n"/>
      <c r="G139" s="5" t="n"/>
      <c r="H139" s="5" t="n"/>
      <c r="I139" s="5" t="n"/>
      <c r="J139" s="7">
        <f>IF(AND(N(F139)&gt;0,N(I139)&gt;0),I139-F139-IF(N(G139)&gt;0,0.5,0)-IF(N(H139)&gt;0,0.5,0),0)</f>
        <v/>
      </c>
      <c r="K139" s="5" t="n"/>
      <c r="L139" s="7">
        <f>MIN(J139,10.0)</f>
        <v/>
      </c>
      <c r="M139" s="7">
        <f>MAX(0,MIN(J139,12)-10.0)</f>
        <v/>
      </c>
      <c r="N139" s="7">
        <f>MAX(0,J139-12)</f>
        <v/>
      </c>
      <c r="O139" s="5" t="n"/>
      <c r="P139" s="6">
        <f>E139*(L139+M139*1.5+N139*2+O139*3+N(K139))</f>
        <v/>
      </c>
      <c r="Q139" s="6" t="n">
        <v>770</v>
      </c>
      <c r="R139" s="6">
        <f>Q139-P139</f>
        <v/>
      </c>
    </row>
    <row r="140">
      <c r="P140" s="2" t="inlineStr">
        <is>
          <t>CRANEGRIPS LABOR</t>
        </is>
      </c>
      <c r="R140" s="8">
        <f>SUM(R138:R139)</f>
        <v/>
      </c>
    </row>
    <row r="142">
      <c r="B142" s="2" t="inlineStr">
        <is>
          <t>COMPANYGRIPS</t>
        </is>
      </c>
    </row>
    <row r="143">
      <c r="A143" s="5" t="inlineStr">
        <is>
          <t>2505</t>
        </is>
      </c>
      <c r="B143" s="5" t="inlineStr"/>
      <c r="C143" s="5" t="inlineStr">
        <is>
          <t>GRIP#1</t>
        </is>
      </c>
      <c r="D143" s="5" t="inlineStr">
        <is>
          <t>Local80</t>
        </is>
      </c>
      <c r="E143" s="6" t="n">
        <v>20.57</v>
      </c>
      <c r="F143" s="5" t="n"/>
      <c r="G143" s="5" t="n"/>
      <c r="H143" s="5" t="n"/>
      <c r="I143" s="5" t="n"/>
      <c r="J143" s="7">
        <f>IF(AND(N(F143)&gt;0,N(I143)&gt;0),I143-F143-IF(N(G143)&gt;0,0.5,0)-IF(N(H143)&gt;0,0.5,0),0)</f>
        <v/>
      </c>
      <c r="K143" s="5" t="n"/>
      <c r="L143" s="7">
        <f>MIN(J143,10.0)</f>
        <v/>
      </c>
      <c r="M143" s="7">
        <f>MAX(0,MIN(J143,12)-10.0)</f>
        <v/>
      </c>
      <c r="N143" s="7">
        <f>MAX(0,J143-12)</f>
        <v/>
      </c>
      <c r="O143" s="5" t="n"/>
      <c r="P143" s="6">
        <f>E143*(L143+M143*1.5+N143*2+O143*3+N(K143))</f>
        <v/>
      </c>
      <c r="Q143" s="6" t="n">
        <v>318.83</v>
      </c>
      <c r="R143" s="6">
        <f>Q143-P143</f>
        <v/>
      </c>
    </row>
    <row r="144">
      <c r="A144" s="5" t="inlineStr">
        <is>
          <t>2505</t>
        </is>
      </c>
      <c r="B144" s="5" t="inlineStr"/>
      <c r="C144" s="5" t="inlineStr">
        <is>
          <t>GRIP#2</t>
        </is>
      </c>
      <c r="D144" s="5" t="inlineStr">
        <is>
          <t>Local80</t>
        </is>
      </c>
      <c r="E144" s="6" t="n">
        <v>20.57</v>
      </c>
      <c r="F144" s="5" t="n"/>
      <c r="G144" s="5" t="n"/>
      <c r="H144" s="5" t="n"/>
      <c r="I144" s="5" t="n"/>
      <c r="J144" s="7">
        <f>IF(AND(N(F144)&gt;0,N(I144)&gt;0),I144-F144-IF(N(G144)&gt;0,0.5,0)-IF(N(H144)&gt;0,0.5,0),0)</f>
        <v/>
      </c>
      <c r="K144" s="5" t="n"/>
      <c r="L144" s="7">
        <f>MIN(J144,10.0)</f>
        <v/>
      </c>
      <c r="M144" s="7">
        <f>MAX(0,MIN(J144,12)-10.0)</f>
        <v/>
      </c>
      <c r="N144" s="7">
        <f>MAX(0,J144-12)</f>
        <v/>
      </c>
      <c r="O144" s="5" t="n"/>
      <c r="P144" s="6">
        <f>E144*(L144+M144*1.5+N144*2+O144*3+N(K144))</f>
        <v/>
      </c>
      <c r="Q144" s="6" t="n">
        <v>318.83</v>
      </c>
      <c r="R144" s="6">
        <f>Q144-P144</f>
        <v/>
      </c>
    </row>
    <row r="145">
      <c r="A145" s="5" t="inlineStr">
        <is>
          <t>2505</t>
        </is>
      </c>
      <c r="B145" s="5" t="inlineStr"/>
      <c r="C145" s="5" t="inlineStr">
        <is>
          <t>GRIP#3</t>
        </is>
      </c>
      <c r="D145" s="5" t="inlineStr">
        <is>
          <t>Local80</t>
        </is>
      </c>
      <c r="E145" s="6" t="n">
        <v>20.57</v>
      </c>
      <c r="F145" s="5" t="n"/>
      <c r="G145" s="5" t="n"/>
      <c r="H145" s="5" t="n"/>
      <c r="I145" s="5" t="n"/>
      <c r="J145" s="7">
        <f>IF(AND(N(F145)&gt;0,N(I145)&gt;0),I145-F145-IF(N(G145)&gt;0,0.5,0)-IF(N(H145)&gt;0,0.5,0),0)</f>
        <v/>
      </c>
      <c r="K145" s="5" t="n"/>
      <c r="L145" s="7">
        <f>MIN(J145,10.0)</f>
        <v/>
      </c>
      <c r="M145" s="7">
        <f>MAX(0,MIN(J145,12)-10.0)</f>
        <v/>
      </c>
      <c r="N145" s="7">
        <f>MAX(0,J145-12)</f>
        <v/>
      </c>
      <c r="O145" s="5" t="n"/>
      <c r="P145" s="6">
        <f>E145*(L145+M145*1.5+N145*2+O145*3+N(K145))</f>
        <v/>
      </c>
      <c r="Q145" s="6" t="n">
        <v>318.83</v>
      </c>
      <c r="R145" s="6">
        <f>Q145-P145</f>
        <v/>
      </c>
    </row>
    <row r="146">
      <c r="P146" s="2" t="inlineStr">
        <is>
          <t>COMPANYGRIPS LABOR</t>
        </is>
      </c>
      <c r="R146" s="8">
        <f>SUM(R143:R145)</f>
        <v/>
      </c>
    </row>
    <row r="148">
      <c r="B148" s="2" t="inlineStr">
        <is>
          <t>OTHERLABOR</t>
        </is>
      </c>
    </row>
    <row r="149">
      <c r="A149" s="5" t="inlineStr">
        <is>
          <t>2506</t>
        </is>
      </c>
      <c r="B149" s="5" t="inlineStr"/>
      <c r="C149" s="5" t="inlineStr">
        <is>
          <t>GRIPMANDAYS&amp;RIGGINGMANDAYS</t>
        </is>
      </c>
      <c r="D149" s="5" t="inlineStr">
        <is>
          <t>Local80</t>
        </is>
      </c>
      <c r="E149" s="6" t="n">
        <v>20.57</v>
      </c>
      <c r="F149" s="5" t="n"/>
      <c r="G149" s="5" t="n"/>
      <c r="H149" s="5" t="n"/>
      <c r="I149" s="5" t="n"/>
      <c r="J149" s="7">
        <f>IF(AND(N(F149)&gt;0,N(I149)&gt;0),I149-F149-IF(N(G149)&gt;0,0.5,0)-IF(N(H149)&gt;0,0.5,0),0)</f>
        <v/>
      </c>
      <c r="K149" s="5" t="n"/>
      <c r="L149" s="7">
        <f>MIN(J149,10.0)</f>
        <v/>
      </c>
      <c r="M149" s="7">
        <f>MAX(0,MIN(J149,12)-10.0)</f>
        <v/>
      </c>
      <c r="N149" s="7">
        <f>MAX(0,J149-12)</f>
        <v/>
      </c>
      <c r="O149" s="5" t="n"/>
      <c r="P149" s="6">
        <f>E149*(L149+M149*1.5+N149*2+O149*3+N(K149))</f>
        <v/>
      </c>
      <c r="Q149" s="6" t="n">
        <v>318.83</v>
      </c>
      <c r="R149" s="6">
        <f>Q149-P149</f>
        <v/>
      </c>
    </row>
    <row r="150">
      <c r="P150" s="2" t="inlineStr">
        <is>
          <t>OTHERLABOR LABOR</t>
        </is>
      </c>
      <c r="R150" s="8">
        <f>SUM(R149:R149)</f>
        <v/>
      </c>
    </row>
    <row r="152">
      <c r="B152" s="2" t="inlineStr">
        <is>
          <t>STANDBYLABOR</t>
        </is>
      </c>
    </row>
    <row r="153">
      <c r="A153" s="5" t="inlineStr">
        <is>
          <t>2510</t>
        </is>
      </c>
      <c r="B153" s="5" t="inlineStr"/>
      <c r="C153" s="5" t="inlineStr">
        <is>
          <t>LAYOUTBOARD</t>
        </is>
      </c>
      <c r="D153" s="5" t="inlineStr">
        <is>
          <t>Local729</t>
        </is>
      </c>
      <c r="E153" s="6" t="n">
        <v>25.5</v>
      </c>
      <c r="F153" s="5" t="n"/>
      <c r="G153" s="5" t="n"/>
      <c r="H153" s="5" t="n"/>
      <c r="I153" s="5" t="n"/>
      <c r="J153" s="7">
        <f>IF(AND(N(F153)&gt;0,N(I153)&gt;0),I153-F153-IF(N(G153)&gt;0,0.5,0)-IF(N(H153)&gt;0,0.5,0),0)</f>
        <v/>
      </c>
      <c r="K153" s="5" t="n"/>
      <c r="L153" s="7">
        <f>MIN(J153,10.0)</f>
        <v/>
      </c>
      <c r="M153" s="7">
        <f>MAX(0,MIN(J153,12)-10.0)</f>
        <v/>
      </c>
      <c r="N153" s="7">
        <f>MAX(0,J153-12)</f>
        <v/>
      </c>
      <c r="O153" s="5" t="n"/>
      <c r="P153" s="6">
        <f>E153*(L153+M153*1.5+N153*2+O153*3+N(K153))</f>
        <v/>
      </c>
      <c r="Q153" s="6" t="n">
        <v>395.25</v>
      </c>
      <c r="R153" s="6">
        <f>Q153-P153</f>
        <v/>
      </c>
    </row>
    <row r="154">
      <c r="P154" s="2" t="inlineStr">
        <is>
          <t>STANDBYLABOR LABOR</t>
        </is>
      </c>
      <c r="R154" s="8">
        <f>SUM(R153:R153)</f>
        <v/>
      </c>
    </row>
    <row r="156">
      <c r="B156" s="2" t="inlineStr">
        <is>
          <t>SETCRAFTSERVICELABOR</t>
        </is>
      </c>
    </row>
    <row r="157">
      <c r="A157" s="5" t="inlineStr">
        <is>
          <t>2511</t>
        </is>
      </c>
      <c r="B157" s="5" t="inlineStr">
        <is>
          <t>Maurico Solis</t>
        </is>
      </c>
      <c r="C157" s="5" t="inlineStr">
        <is>
          <t>KEYCRAFTSERVICE</t>
        </is>
      </c>
      <c r="D157" s="5" t="inlineStr">
        <is>
          <t>Local80</t>
        </is>
      </c>
      <c r="E157" s="6" t="n">
        <v>25.5</v>
      </c>
      <c r="F157" s="5" t="n"/>
      <c r="G157" s="5" t="n"/>
      <c r="H157" s="5" t="n"/>
      <c r="I157" s="5" t="n"/>
      <c r="J157" s="7">
        <f>IF(AND(N(F157)&gt;0,N(I157)&gt;0),I157-F157-IF(N(G157)&gt;0,0.5,0)-IF(N(H157)&gt;0,0.5,0),0)</f>
        <v/>
      </c>
      <c r="K157" s="5" t="n"/>
      <c r="L157" s="7">
        <f>MIN(J157,10.0)</f>
        <v/>
      </c>
      <c r="M157" s="7">
        <f>MAX(0,MIN(J157,12)-10.0)</f>
        <v/>
      </c>
      <c r="N157" s="7">
        <f>MAX(0,J157-12)</f>
        <v/>
      </c>
      <c r="O157" s="5" t="n"/>
      <c r="P157" s="6">
        <f>E157*(L157+M157*1.5+N157*2+O157*3+N(K157))</f>
        <v/>
      </c>
      <c r="Q157" s="6" t="n">
        <v>439.87</v>
      </c>
      <c r="R157" s="6">
        <f>Q157-P157</f>
        <v/>
      </c>
    </row>
    <row r="158">
      <c r="A158" s="5" t="inlineStr">
        <is>
          <t>2511</t>
        </is>
      </c>
      <c r="B158" s="5" t="inlineStr"/>
      <c r="C158" s="5" t="inlineStr">
        <is>
          <t>ASSTCRAFTSERVICE</t>
        </is>
      </c>
      <c r="D158" s="5" t="inlineStr">
        <is>
          <t>Local80</t>
        </is>
      </c>
      <c r="E158" s="6" t="n">
        <v>23.04</v>
      </c>
      <c r="F158" s="5" t="n"/>
      <c r="G158" s="5" t="n"/>
      <c r="H158" s="5" t="n"/>
      <c r="I158" s="5" t="n"/>
      <c r="J158" s="7">
        <f>IF(AND(N(F158)&gt;0,N(I158)&gt;0),I158-F158-IF(N(G158)&gt;0,0.5,0)-IF(N(H158)&gt;0,0.5,0),0)</f>
        <v/>
      </c>
      <c r="K158" s="5" t="n"/>
      <c r="L158" s="7">
        <f>MIN(J158,10.0)</f>
        <v/>
      </c>
      <c r="M158" s="7">
        <f>MAX(0,MIN(J158,12)-10.0)</f>
        <v/>
      </c>
      <c r="N158" s="7">
        <f>MAX(0,J158-12)</f>
        <v/>
      </c>
      <c r="O158" s="5" t="n"/>
      <c r="P158" s="6">
        <f>E158*(L158+M158*1.5+N158*2+O158*3+N(K158))</f>
        <v/>
      </c>
      <c r="Q158" s="6" t="n">
        <v>397.43</v>
      </c>
      <c r="R158" s="6">
        <f>Q158-P158</f>
        <v/>
      </c>
    </row>
    <row r="159">
      <c r="P159" s="2" t="inlineStr">
        <is>
          <t>SETCRAFTSERVICELABOR LABOR</t>
        </is>
      </c>
      <c r="R159" s="8">
        <f>SUM(R157:R158)</f>
        <v/>
      </c>
    </row>
    <row r="161">
      <c r="B161" s="2" t="inlineStr">
        <is>
          <t>SETFIRSTAIDLABOR</t>
        </is>
      </c>
    </row>
    <row r="162">
      <c r="A162" s="5" t="inlineStr">
        <is>
          <t>2514</t>
        </is>
      </c>
      <c r="B162" s="5" t="inlineStr">
        <is>
          <t>Robert Hill</t>
        </is>
      </c>
      <c r="C162" s="5" t="inlineStr">
        <is>
          <t>SETMEDIC</t>
        </is>
      </c>
      <c r="D162" s="5" t="inlineStr">
        <is>
          <t>Local80</t>
        </is>
      </c>
      <c r="E162" s="6" t="n">
        <v>23.04</v>
      </c>
      <c r="F162" s="5" t="n"/>
      <c r="G162" s="5" t="n"/>
      <c r="H162" s="5" t="n"/>
      <c r="I162" s="5" t="n"/>
      <c r="J162" s="7">
        <f>IF(AND(N(F162)&gt;0,N(I162)&gt;0),I162-F162-IF(N(G162)&gt;0,0.5,0)-IF(N(H162)&gt;0,0.5,0),0)</f>
        <v/>
      </c>
      <c r="K162" s="5" t="n"/>
      <c r="L162" s="7">
        <f>MIN(J162,10.0)</f>
        <v/>
      </c>
      <c r="M162" s="7">
        <f>MAX(0,MIN(J162,12)-10.0)</f>
        <v/>
      </c>
      <c r="N162" s="7">
        <f>MAX(0,J162-12)</f>
        <v/>
      </c>
      <c r="O162" s="5" t="n"/>
      <c r="P162" s="6">
        <f>E162*(L162+M162*1.5+N162*2+O162*3+N(K162))</f>
        <v/>
      </c>
      <c r="Q162" s="6" t="n">
        <v>397.43</v>
      </c>
      <c r="R162" s="6">
        <f>Q162-P162</f>
        <v/>
      </c>
    </row>
    <row r="163">
      <c r="A163" s="5" t="inlineStr">
        <is>
          <t>2514</t>
        </is>
      </c>
      <c r="B163" s="5" t="inlineStr"/>
      <c r="C163" s="5" t="inlineStr">
        <is>
          <t>RIGGINGMEDICMANDAYS</t>
        </is>
      </c>
      <c r="D163" s="5" t="inlineStr">
        <is>
          <t>Local80</t>
        </is>
      </c>
      <c r="E163" s="6" t="n">
        <v>23.04</v>
      </c>
      <c r="F163" s="5" t="n"/>
      <c r="G163" s="5" t="n"/>
      <c r="H163" s="5" t="n"/>
      <c r="I163" s="5" t="n"/>
      <c r="J163" s="7">
        <f>IF(AND(N(F163)&gt;0,N(I163)&gt;0),I163-F163-IF(N(G163)&gt;0,0.5,0)-IF(N(H163)&gt;0,0.5,0),0)</f>
        <v/>
      </c>
      <c r="K163" s="5" t="n"/>
      <c r="L163" s="7">
        <f>MIN(J163,10.0)</f>
        <v/>
      </c>
      <c r="M163" s="7">
        <f>MAX(0,MIN(J163,12)-10.0)</f>
        <v/>
      </c>
      <c r="N163" s="7">
        <f>MAX(0,J163-12)</f>
        <v/>
      </c>
      <c r="O163" s="5" t="n"/>
      <c r="P163" s="6">
        <f>E163*(L163+M163*1.5+N163*2+O163*3+N(K163))</f>
        <v/>
      </c>
      <c r="Q163" s="5" t="n"/>
      <c r="R163" s="6">
        <f>Q163-P163</f>
        <v/>
      </c>
    </row>
    <row r="164">
      <c r="P164" s="2" t="inlineStr">
        <is>
          <t>SETFIRSTAIDLABOR LABOR</t>
        </is>
      </c>
      <c r="R164" s="8">
        <f>SUM(R162:R163)</f>
        <v/>
      </c>
    </row>
    <row r="166">
      <c r="B166" s="2" t="inlineStr">
        <is>
          <t>SFXCOORDINATOR</t>
        </is>
      </c>
    </row>
    <row r="167">
      <c r="A167" s="5" t="inlineStr">
        <is>
          <t>2601</t>
        </is>
      </c>
      <c r="B167" s="5" t="inlineStr">
        <is>
          <t>Zak Knight</t>
        </is>
      </c>
      <c r="C167" s="5" t="inlineStr">
        <is>
          <t>SPFXCOORDINATOR</t>
        </is>
      </c>
      <c r="D167" s="5" t="inlineStr">
        <is>
          <t>Local44</t>
        </is>
      </c>
      <c r="E167" s="6" t="n">
        <v>42</v>
      </c>
      <c r="F167" s="5" t="n"/>
      <c r="G167" s="5" t="n"/>
      <c r="H167" s="5" t="n"/>
      <c r="I167" s="5" t="n"/>
      <c r="J167" s="7">
        <f>IF(AND(N(F167)&gt;0,N(I167)&gt;0),I167-F167-IF(N(G167)&gt;0,0.5,0)-IF(N(H167)&gt;0,0.5,0),0)</f>
        <v/>
      </c>
      <c r="K167" s="5" t="n"/>
      <c r="L167" s="7">
        <f>MIN(J167,10.0)</f>
        <v/>
      </c>
      <c r="M167" s="7">
        <f>MAX(0,MIN(J167,12)-10.0)</f>
        <v/>
      </c>
      <c r="N167" s="7">
        <f>MAX(0,J167-12)</f>
        <v/>
      </c>
      <c r="O167" s="5" t="n"/>
      <c r="P167" s="6">
        <f>E167*(L167+M167*1.5+N167*2+O167*3+N(K167))</f>
        <v/>
      </c>
      <c r="Q167" s="6" t="n">
        <v>651</v>
      </c>
      <c r="R167" s="6">
        <f>Q167-P167</f>
        <v/>
      </c>
    </row>
    <row r="168">
      <c r="P168" s="2" t="inlineStr">
        <is>
          <t>SFXCOORDINATOR LABOR</t>
        </is>
      </c>
      <c r="R168" s="8">
        <f>SUM(R167:R167)</f>
        <v/>
      </c>
    </row>
    <row r="170">
      <c r="B170" s="2" t="inlineStr">
        <is>
          <t>SFXTECHMANDAYS</t>
        </is>
      </c>
    </row>
    <row r="171">
      <c r="A171" s="5" t="inlineStr">
        <is>
          <t>2609</t>
        </is>
      </c>
      <c r="B171" s="5" t="inlineStr"/>
      <c r="C171" s="5" t="inlineStr">
        <is>
          <t>SPFXTECHMANDAYS</t>
        </is>
      </c>
      <c r="D171" s="5" t="inlineStr">
        <is>
          <t>Local44</t>
        </is>
      </c>
      <c r="E171" s="6" t="n">
        <v>40</v>
      </c>
      <c r="F171" s="5" t="n"/>
      <c r="G171" s="5" t="n"/>
      <c r="H171" s="5" t="n"/>
      <c r="I171" s="5" t="n"/>
      <c r="J171" s="7">
        <f>IF(AND(N(F171)&gt;0,N(I171)&gt;0),I171-F171-IF(N(G171)&gt;0,0.5,0)-IF(N(H171)&gt;0,0.5,0),0)</f>
        <v/>
      </c>
      <c r="K171" s="5" t="n"/>
      <c r="L171" s="7">
        <f>MIN(J171,10.0)</f>
        <v/>
      </c>
      <c r="M171" s="7">
        <f>MAX(0,MIN(J171,12)-10.0)</f>
        <v/>
      </c>
      <c r="N171" s="7">
        <f>MAX(0,J171-12)</f>
        <v/>
      </c>
      <c r="O171" s="5" t="n"/>
      <c r="P171" s="6">
        <f>E171*(L171+M171*1.5+N171*2+O171*3+N(K171))</f>
        <v/>
      </c>
      <c r="Q171" s="6" t="n">
        <v>620</v>
      </c>
      <c r="R171" s="6">
        <f>Q171-P171</f>
        <v/>
      </c>
    </row>
    <row r="172">
      <c r="A172" s="5" t="inlineStr">
        <is>
          <t>2609</t>
        </is>
      </c>
      <c r="B172" s="5" t="inlineStr"/>
      <c r="C172" s="5" t="inlineStr">
        <is>
          <t>SPFXASSISTANTMANDAYS</t>
        </is>
      </c>
      <c r="D172" s="5" t="inlineStr">
        <is>
          <t>Local44</t>
        </is>
      </c>
      <c r="E172" s="6" t="n">
        <v>25.5</v>
      </c>
      <c r="F172" s="5" t="n"/>
      <c r="G172" s="5" t="n"/>
      <c r="H172" s="5" t="n"/>
      <c r="I172" s="5" t="n"/>
      <c r="J172" s="7">
        <f>IF(AND(N(F172)&gt;0,N(I172)&gt;0),I172-F172-IF(N(G172)&gt;0,0.5,0)-IF(N(H172)&gt;0,0.5,0),0)</f>
        <v/>
      </c>
      <c r="K172" s="5" t="n"/>
      <c r="L172" s="7">
        <f>MIN(J172,10.0)</f>
        <v/>
      </c>
      <c r="M172" s="7">
        <f>MAX(0,MIN(J172,12)-10.0)</f>
        <v/>
      </c>
      <c r="N172" s="7">
        <f>MAX(0,J172-12)</f>
        <v/>
      </c>
      <c r="O172" s="5" t="n"/>
      <c r="P172" s="6">
        <f>E172*(L172+M172*1.5+N172*2+O172*3+N(K172))</f>
        <v/>
      </c>
      <c r="Q172" s="6" t="n">
        <v>395.25</v>
      </c>
      <c r="R172" s="6">
        <f>Q172-P172</f>
        <v/>
      </c>
    </row>
    <row r="173">
      <c r="A173" s="5" t="inlineStr">
        <is>
          <t>2609</t>
        </is>
      </c>
      <c r="B173" s="5" t="inlineStr"/>
      <c r="C173" s="5" t="inlineStr">
        <is>
          <t>PYROMANDAYS</t>
        </is>
      </c>
      <c r="D173" s="5" t="inlineStr">
        <is>
          <t>Local44</t>
        </is>
      </c>
      <c r="E173" s="6" t="n">
        <v>68.18000000000001</v>
      </c>
      <c r="F173" s="5" t="n"/>
      <c r="G173" s="5" t="n"/>
      <c r="H173" s="5" t="n"/>
      <c r="I173" s="5" t="n"/>
      <c r="J173" s="7">
        <f>IF(AND(N(F173)&gt;0,N(I173)&gt;0),I173-F173-IF(N(G173)&gt;0,0.5,0)-IF(N(H173)&gt;0,0.5,0),0)</f>
        <v/>
      </c>
      <c r="K173" s="5" t="n"/>
      <c r="L173" s="7">
        <f>MIN(J173,10.0)</f>
        <v/>
      </c>
      <c r="M173" s="7">
        <f>MAX(0,MIN(J173,12)-10.0)</f>
        <v/>
      </c>
      <c r="N173" s="7">
        <f>MAX(0,J173-12)</f>
        <v/>
      </c>
      <c r="O173" s="5" t="n"/>
      <c r="P173" s="6">
        <f>E173*(L173+M173*1.5+N173*2+O173*3+N(K173))</f>
        <v/>
      </c>
      <c r="Q173" s="6" t="n">
        <v>749.98</v>
      </c>
      <c r="R173" s="6">
        <f>Q173-P173</f>
        <v/>
      </c>
    </row>
    <row r="174">
      <c r="P174" s="2" t="inlineStr">
        <is>
          <t>SFXTECHMANDAYS LABOR</t>
        </is>
      </c>
      <c r="R174" s="8">
        <f>SUM(R171:R173)</f>
        <v/>
      </c>
    </row>
    <row r="176">
      <c r="B176" s="2" t="inlineStr">
        <is>
          <t>SETDECORATOR</t>
        </is>
      </c>
    </row>
    <row r="177">
      <c r="A177" s="5" t="inlineStr">
        <is>
          <t>2701</t>
        </is>
      </c>
      <c r="B177" s="5" t="inlineStr">
        <is>
          <t>Sandy Skora</t>
        </is>
      </c>
      <c r="C177" s="5" t="inlineStr">
        <is>
          <t>SETDECORATOR</t>
        </is>
      </c>
      <c r="D177" s="5" t="inlineStr">
        <is>
          <t>Local44</t>
        </is>
      </c>
      <c r="E177" s="6" t="n">
        <v>400</v>
      </c>
      <c r="F177" s="5" t="n"/>
      <c r="G177" s="5" t="n"/>
      <c r="H177" s="5" t="n"/>
      <c r="I177" s="5" t="n"/>
      <c r="J177" s="7">
        <f>IF(AND(N(F177)&gt;0,N(I177)&gt;0),I177-F177-IF(N(G177)&gt;0,0.5,0)-IF(N(H177)&gt;0,0.5,0),0)</f>
        <v/>
      </c>
      <c r="K177" s="5" t="n"/>
      <c r="L177" s="7">
        <f>MIN(J177,10.0)</f>
        <v/>
      </c>
      <c r="M177" s="7">
        <f>MAX(0,MIN(J177,12)-10.0)</f>
        <v/>
      </c>
      <c r="N177" s="7">
        <f>MAX(0,J177-12)</f>
        <v/>
      </c>
      <c r="O177" s="5" t="n"/>
      <c r="P177" s="6">
        <f>E177*(L177+M177*1.5+N177*2+O177*3+N(K177))</f>
        <v/>
      </c>
      <c r="Q177" s="6" t="n">
        <v>400</v>
      </c>
      <c r="R177" s="6">
        <f>Q177-P177</f>
        <v/>
      </c>
    </row>
    <row r="178">
      <c r="P178" s="2" t="inlineStr">
        <is>
          <t>SETDECORATOR LABOR</t>
        </is>
      </c>
      <c r="R178" s="8">
        <f>SUM(R177:R177)</f>
        <v/>
      </c>
    </row>
    <row r="180">
      <c r="B180" s="2" t="inlineStr">
        <is>
          <t>LEADPERSON</t>
        </is>
      </c>
    </row>
    <row r="181">
      <c r="A181" s="5" t="inlineStr">
        <is>
          <t>2702</t>
        </is>
      </c>
      <c r="B181" s="5" t="inlineStr">
        <is>
          <t>Josh Richmond</t>
        </is>
      </c>
      <c r="C181" s="5" t="inlineStr">
        <is>
          <t>LEADPERSON</t>
        </is>
      </c>
      <c r="D181" s="5" t="inlineStr">
        <is>
          <t>Local44</t>
        </is>
      </c>
      <c r="E181" s="6" t="n">
        <v>23.04</v>
      </c>
      <c r="F181" s="5" t="n"/>
      <c r="G181" s="5" t="n"/>
      <c r="H181" s="5" t="n"/>
      <c r="I181" s="5" t="n"/>
      <c r="J181" s="7">
        <f>IF(AND(N(F181)&gt;0,N(I181)&gt;0),I181-F181-IF(N(G181)&gt;0,0.5,0)-IF(N(H181)&gt;0,0.5,0),0)</f>
        <v/>
      </c>
      <c r="K181" s="5" t="n"/>
      <c r="L181" s="7">
        <f>MIN(J181,10.0)</f>
        <v/>
      </c>
      <c r="M181" s="7">
        <f>MAX(0,MIN(J181,12)-10.0)</f>
        <v/>
      </c>
      <c r="N181" s="7">
        <f>MAX(0,J181-12)</f>
        <v/>
      </c>
      <c r="O181" s="5" t="n"/>
      <c r="P181" s="6">
        <f>E181*(L181+M181*1.5+N181*2+O181*3+N(K181))</f>
        <v/>
      </c>
      <c r="Q181" s="6" t="n">
        <v>322.56</v>
      </c>
      <c r="R181" s="6">
        <f>Q181-P181</f>
        <v/>
      </c>
    </row>
    <row r="182">
      <c r="P182" s="2" t="inlineStr">
        <is>
          <t>LEADPERSON LABOR</t>
        </is>
      </c>
      <c r="R182" s="8">
        <f>SUM(R181:R181)</f>
        <v/>
      </c>
    </row>
    <row r="184">
      <c r="B184" s="2" t="inlineStr">
        <is>
          <t>SWINGLABOR</t>
        </is>
      </c>
    </row>
    <row r="185">
      <c r="A185" s="5" t="inlineStr">
        <is>
          <t>2703</t>
        </is>
      </c>
      <c r="B185" s="5" t="inlineStr">
        <is>
          <t>Tim Dodge</t>
        </is>
      </c>
      <c r="C185" s="5" t="inlineStr">
        <is>
          <t>SWING#1</t>
        </is>
      </c>
      <c r="D185" s="5" t="inlineStr">
        <is>
          <t>Local44</t>
        </is>
      </c>
      <c r="E185" s="6" t="n">
        <v>20.57</v>
      </c>
      <c r="F185" s="5" t="n"/>
      <c r="G185" s="5" t="n"/>
      <c r="H185" s="5" t="n"/>
      <c r="I185" s="5" t="n"/>
      <c r="J185" s="7">
        <f>IF(AND(N(F185)&gt;0,N(I185)&gt;0),I185-F185-IF(N(G185)&gt;0,0.5,0)-IF(N(H185)&gt;0,0.5,0),0)</f>
        <v/>
      </c>
      <c r="K185" s="5" t="n"/>
      <c r="L185" s="7">
        <f>MIN(J185,10.0)</f>
        <v/>
      </c>
      <c r="M185" s="7">
        <f>MAX(0,MIN(J185,12)-10.0)</f>
        <v/>
      </c>
      <c r="N185" s="7">
        <f>MAX(0,J185-12)</f>
        <v/>
      </c>
      <c r="O185" s="5" t="n"/>
      <c r="P185" s="6">
        <f>E185*(L185+M185*1.5+N185*2+O185*3+N(K185))</f>
        <v/>
      </c>
      <c r="Q185" s="6" t="n">
        <v>287.98</v>
      </c>
      <c r="R185" s="6">
        <f>Q185-P185</f>
        <v/>
      </c>
    </row>
    <row r="186">
      <c r="A186" s="5" t="inlineStr">
        <is>
          <t>2703</t>
        </is>
      </c>
      <c r="B186" s="5" t="inlineStr"/>
      <c r="C186" s="5" t="inlineStr">
        <is>
          <t>SWING#2</t>
        </is>
      </c>
      <c r="D186" s="5" t="inlineStr">
        <is>
          <t>Local44</t>
        </is>
      </c>
      <c r="E186" s="6" t="n">
        <v>20.57</v>
      </c>
      <c r="F186" s="5" t="n"/>
      <c r="G186" s="5" t="n"/>
      <c r="H186" s="5" t="n"/>
      <c r="I186" s="5" t="n"/>
      <c r="J186" s="7">
        <f>IF(AND(N(F186)&gt;0,N(I186)&gt;0),I186-F186-IF(N(G186)&gt;0,0.5,0)-IF(N(H186)&gt;0,0.5,0),0)</f>
        <v/>
      </c>
      <c r="K186" s="5" t="n"/>
      <c r="L186" s="7">
        <f>MIN(J186,10.0)</f>
        <v/>
      </c>
      <c r="M186" s="7">
        <f>MAX(0,MIN(J186,12)-10.0)</f>
        <v/>
      </c>
      <c r="N186" s="7">
        <f>MAX(0,J186-12)</f>
        <v/>
      </c>
      <c r="O186" s="5" t="n"/>
      <c r="P186" s="6">
        <f>E186*(L186+M186*1.5+N186*2+O186*3+N(K186))</f>
        <v/>
      </c>
      <c r="Q186" s="6" t="n">
        <v>287.98</v>
      </c>
      <c r="R186" s="6">
        <f>Q186-P186</f>
        <v/>
      </c>
    </row>
    <row r="187">
      <c r="A187" s="5" t="inlineStr">
        <is>
          <t>2703</t>
        </is>
      </c>
      <c r="B187" s="5" t="inlineStr"/>
      <c r="C187" s="5" t="inlineStr">
        <is>
          <t>ADDITIONALSWINGMANDAYS</t>
        </is>
      </c>
      <c r="D187" s="5" t="inlineStr">
        <is>
          <t>Local44</t>
        </is>
      </c>
      <c r="E187" s="6" t="n">
        <v>20.57</v>
      </c>
      <c r="F187" s="5" t="n"/>
      <c r="G187" s="5" t="n"/>
      <c r="H187" s="5" t="n"/>
      <c r="I187" s="5" t="n"/>
      <c r="J187" s="7">
        <f>IF(AND(N(F187)&gt;0,N(I187)&gt;0),I187-F187-IF(N(G187)&gt;0,0.5,0)-IF(N(H187)&gt;0,0.5,0),0)</f>
        <v/>
      </c>
      <c r="K187" s="5" t="n"/>
      <c r="L187" s="7">
        <f>MIN(J187,10.0)</f>
        <v/>
      </c>
      <c r="M187" s="7">
        <f>MAX(0,MIN(J187,12)-10.0)</f>
        <v/>
      </c>
      <c r="N187" s="7">
        <f>MAX(0,J187-12)</f>
        <v/>
      </c>
      <c r="O187" s="5" t="n"/>
      <c r="P187" s="6">
        <f>E187*(L187+M187*1.5+N187*2+O187*3+N(K187))</f>
        <v/>
      </c>
      <c r="Q187" s="6" t="n">
        <v>287.98</v>
      </c>
      <c r="R187" s="6">
        <f>Q187-P187</f>
        <v/>
      </c>
    </row>
    <row r="188">
      <c r="P188" s="2" t="inlineStr">
        <is>
          <t>SWINGLABOR LABOR</t>
        </is>
      </c>
      <c r="R188" s="8">
        <f>SUM(R185:R187)</f>
        <v/>
      </c>
    </row>
    <row r="190">
      <c r="B190" s="2" t="inlineStr">
        <is>
          <t>ON-SETDRESSER</t>
        </is>
      </c>
    </row>
    <row r="191">
      <c r="A191" s="5" t="inlineStr">
        <is>
          <t>2705</t>
        </is>
      </c>
      <c r="B191" s="5" t="inlineStr">
        <is>
          <t>Khamisi Thurman</t>
        </is>
      </c>
      <c r="C191" s="5" t="inlineStr">
        <is>
          <t>ON-SETDRESSER</t>
        </is>
      </c>
      <c r="D191" s="5" t="inlineStr">
        <is>
          <t>Local44</t>
        </is>
      </c>
      <c r="E191" s="6" t="n">
        <v>20.57</v>
      </c>
      <c r="F191" s="5" t="n"/>
      <c r="G191" s="5" t="n"/>
      <c r="H191" s="5" t="n"/>
      <c r="I191" s="5" t="n"/>
      <c r="J191" s="7">
        <f>IF(AND(N(F191)&gt;0,N(I191)&gt;0),I191-F191-IF(N(G191)&gt;0,0.5,0)-IF(N(H191)&gt;0,0.5,0),0)</f>
        <v/>
      </c>
      <c r="K191" s="5" t="n"/>
      <c r="L191" s="7">
        <f>MIN(J191,10.0)</f>
        <v/>
      </c>
      <c r="M191" s="7">
        <f>MAX(0,MIN(J191,12)-10.0)</f>
        <v/>
      </c>
      <c r="N191" s="7">
        <f>MAX(0,J191-12)</f>
        <v/>
      </c>
      <c r="O191" s="5" t="n"/>
      <c r="P191" s="6">
        <f>E191*(L191+M191*1.5+N191*2+O191*3+N(K191))</f>
        <v/>
      </c>
      <c r="Q191" s="6" t="n">
        <v>318.83</v>
      </c>
      <c r="R191" s="6">
        <f>Q191-P191</f>
        <v/>
      </c>
    </row>
    <row r="192">
      <c r="P192" s="2" t="inlineStr">
        <is>
          <t>ON-SETDRESSER LABOR</t>
        </is>
      </c>
      <c r="R192" s="8">
        <f>SUM(R191:R191)</f>
        <v/>
      </c>
    </row>
    <row r="194">
      <c r="B194" s="2" t="inlineStr">
        <is>
          <t>BUYERS</t>
        </is>
      </c>
    </row>
    <row r="195">
      <c r="A195" s="5" t="inlineStr">
        <is>
          <t>2706</t>
        </is>
      </c>
      <c r="B195" s="5" t="inlineStr">
        <is>
          <t>Sarah Hickman</t>
        </is>
      </c>
      <c r="C195" s="5" t="inlineStr">
        <is>
          <t>BUYER</t>
        </is>
      </c>
      <c r="D195" s="5" t="inlineStr">
        <is>
          <t>Local44</t>
        </is>
      </c>
      <c r="E195" s="6" t="n">
        <v>23.04</v>
      </c>
      <c r="F195" s="5" t="n"/>
      <c r="G195" s="5" t="n"/>
      <c r="H195" s="5" t="n"/>
      <c r="I195" s="5" t="n"/>
      <c r="J195" s="7">
        <f>IF(AND(N(F195)&gt;0,N(I195)&gt;0),I195-F195-IF(N(G195)&gt;0,0.5,0)-IF(N(H195)&gt;0,0.5,0),0)</f>
        <v/>
      </c>
      <c r="K195" s="5" t="n"/>
      <c r="L195" s="7">
        <f>MIN(J195,10.0)</f>
        <v/>
      </c>
      <c r="M195" s="7">
        <f>MAX(0,MIN(J195,12)-10.0)</f>
        <v/>
      </c>
      <c r="N195" s="7">
        <f>MAX(0,J195-12)</f>
        <v/>
      </c>
      <c r="O195" s="5" t="n"/>
      <c r="P195" s="6">
        <f>E195*(L195+M195*1.5+N195*2+O195*3+N(K195))</f>
        <v/>
      </c>
      <c r="Q195" s="5" t="n"/>
      <c r="R195" s="6">
        <f>Q195-P195</f>
        <v/>
      </c>
    </row>
    <row r="196">
      <c r="P196" s="2" t="inlineStr">
        <is>
          <t>BUYERS LABOR</t>
        </is>
      </c>
      <c r="R196" s="8">
        <f>SUM(R195:R195)</f>
        <v/>
      </c>
    </row>
    <row r="198">
      <c r="B198" s="2" t="inlineStr">
        <is>
          <t>PROPMASTER</t>
        </is>
      </c>
    </row>
    <row r="199">
      <c r="A199" s="5" t="inlineStr">
        <is>
          <t>2801</t>
        </is>
      </c>
      <c r="B199" s="5" t="inlineStr">
        <is>
          <t>Annie Brandt</t>
        </is>
      </c>
      <c r="C199" s="5" t="inlineStr">
        <is>
          <t>PROPMASTER</t>
        </is>
      </c>
      <c r="D199" s="5" t="inlineStr">
        <is>
          <t>Local44</t>
        </is>
      </c>
      <c r="E199" s="6" t="n">
        <v>25.5</v>
      </c>
      <c r="F199" s="5" t="n"/>
      <c r="G199" s="5" t="n"/>
      <c r="H199" s="5" t="n"/>
      <c r="I199" s="5" t="n"/>
      <c r="J199" s="7">
        <f>IF(AND(N(F199)&gt;0,N(I199)&gt;0),I199-F199-IF(N(G199)&gt;0,0.5,0)-IF(N(H199)&gt;0,0.5,0),0)</f>
        <v/>
      </c>
      <c r="K199" s="5" t="n"/>
      <c r="L199" s="7">
        <f>MIN(J199,10.0)</f>
        <v/>
      </c>
      <c r="M199" s="7">
        <f>MAX(0,MIN(J199,12)-10.0)</f>
        <v/>
      </c>
      <c r="N199" s="7">
        <f>MAX(0,J199-12)</f>
        <v/>
      </c>
      <c r="O199" s="5" t="n"/>
      <c r="P199" s="6">
        <f>E199*(L199+M199*1.5+N199*2+O199*3+N(K199))</f>
        <v/>
      </c>
      <c r="Q199" s="6" t="n">
        <v>395.25</v>
      </c>
      <c r="R199" s="6">
        <f>Q199-P199</f>
        <v/>
      </c>
    </row>
    <row r="200">
      <c r="P200" s="2" t="inlineStr">
        <is>
          <t>PROPMASTER LABOR</t>
        </is>
      </c>
      <c r="R200" s="8">
        <f>SUM(R199:R199)</f>
        <v/>
      </c>
    </row>
    <row r="202">
      <c r="B202" s="2" t="inlineStr">
        <is>
          <t>ASSTPROPMASTER</t>
        </is>
      </c>
    </row>
    <row r="203">
      <c r="A203" s="5" t="inlineStr">
        <is>
          <t>2802</t>
        </is>
      </c>
      <c r="B203" s="5" t="inlineStr">
        <is>
          <t>Nate Bakes</t>
        </is>
      </c>
      <c r="C203" s="5" t="inlineStr">
        <is>
          <t>ASSTPROPMASTER</t>
        </is>
      </c>
      <c r="D203" s="5" t="inlineStr">
        <is>
          <t>Local44</t>
        </is>
      </c>
      <c r="E203" s="6" t="n">
        <v>23.04</v>
      </c>
      <c r="F203" s="5" t="n"/>
      <c r="G203" s="5" t="n"/>
      <c r="H203" s="5" t="n"/>
      <c r="I203" s="5" t="n"/>
      <c r="J203" s="7">
        <f>IF(AND(N(F203)&gt;0,N(I203)&gt;0),I203-F203-IF(N(G203)&gt;0,0.5,0)-IF(N(H203)&gt;0,0.5,0),0)</f>
        <v/>
      </c>
      <c r="K203" s="5" t="n"/>
      <c r="L203" s="7">
        <f>MIN(J203,10.0)</f>
        <v/>
      </c>
      <c r="M203" s="7">
        <f>MAX(0,MIN(J203,12)-10.0)</f>
        <v/>
      </c>
      <c r="N203" s="7">
        <f>MAX(0,J203-12)</f>
        <v/>
      </c>
      <c r="O203" s="5" t="n"/>
      <c r="P203" s="6">
        <f>E203*(L203+M203*1.5+N203*2+O203*3+N(K203))</f>
        <v/>
      </c>
      <c r="Q203" s="6" t="n">
        <v>357.12</v>
      </c>
      <c r="R203" s="6">
        <f>Q203-P203</f>
        <v/>
      </c>
    </row>
    <row r="204">
      <c r="P204" s="2" t="inlineStr">
        <is>
          <t>ASSTPROPMASTER LABOR</t>
        </is>
      </c>
      <c r="R204" s="8">
        <f>SUM(R203:R203)</f>
        <v/>
      </c>
    </row>
    <row r="206">
      <c r="B206" s="2" t="inlineStr">
        <is>
          <t>COSTUMEDESIGNER</t>
        </is>
      </c>
    </row>
    <row r="207">
      <c r="A207" s="5" t="inlineStr">
        <is>
          <t>2901</t>
        </is>
      </c>
      <c r="B207" s="5" t="inlineStr">
        <is>
          <t>Megan Spatz</t>
        </is>
      </c>
      <c r="C207" s="5" t="inlineStr">
        <is>
          <t>COSTUMEDESIGNER</t>
        </is>
      </c>
      <c r="D207" s="5" t="inlineStr">
        <is>
          <t>Local892</t>
        </is>
      </c>
      <c r="E207" s="6" t="n">
        <v>540</v>
      </c>
      <c r="F207" s="5" t="n"/>
      <c r="G207" s="5" t="n"/>
      <c r="H207" s="5" t="n"/>
      <c r="I207" s="5" t="n"/>
      <c r="J207" s="7">
        <f>IF(AND(N(F207)&gt;0,N(I207)&gt;0),I207-F207-IF(N(G207)&gt;0,0.5,0)-IF(N(H207)&gt;0,0.5,0),0)</f>
        <v/>
      </c>
      <c r="K207" s="5" t="n"/>
      <c r="L207" s="7">
        <f>MIN(J207,8.0)</f>
        <v/>
      </c>
      <c r="M207" s="7">
        <f>MAX(0,MIN(J207,12)-8.0)</f>
        <v/>
      </c>
      <c r="N207" s="7">
        <f>MAX(0,J207-12)</f>
        <v/>
      </c>
      <c r="O207" s="5" t="n"/>
      <c r="P207" s="6">
        <f>E207*(L207+M207*1.5+N207*2+O207*3+N(K207))</f>
        <v/>
      </c>
      <c r="Q207" s="6" t="n">
        <v>540</v>
      </c>
      <c r="R207" s="6">
        <f>Q207-P207</f>
        <v/>
      </c>
    </row>
    <row r="208">
      <c r="P208" s="2" t="inlineStr">
        <is>
          <t>COSTUMEDESIGNER LABOR</t>
        </is>
      </c>
      <c r="R208" s="8">
        <f>SUM(R207:R207)</f>
        <v/>
      </c>
    </row>
    <row r="210">
      <c r="B210" s="2" t="inlineStr">
        <is>
          <t>COSTUMESUPERVISOR</t>
        </is>
      </c>
    </row>
    <row r="211">
      <c r="A211" s="5" t="inlineStr">
        <is>
          <t>2903</t>
        </is>
      </c>
      <c r="B211" s="5" t="inlineStr">
        <is>
          <t>Danielle Schuck</t>
        </is>
      </c>
      <c r="C211" s="5" t="inlineStr">
        <is>
          <t>COSTUMESUPERVISOR</t>
        </is>
      </c>
      <c r="D211" s="5" t="inlineStr">
        <is>
          <t>Local705</t>
        </is>
      </c>
      <c r="E211" s="6" t="n">
        <v>25.5</v>
      </c>
      <c r="F211" s="5" t="n"/>
      <c r="G211" s="5" t="n"/>
      <c r="H211" s="5" t="n"/>
      <c r="I211" s="5" t="n"/>
      <c r="J211" s="7">
        <f>IF(AND(N(F211)&gt;0,N(I211)&gt;0),I211-F211-IF(N(G211)&gt;0,0.5,0)-IF(N(H211)&gt;0,0.5,0),0)</f>
        <v/>
      </c>
      <c r="K211" s="5" t="n"/>
      <c r="L211" s="7">
        <f>MIN(J211,8.0)</f>
        <v/>
      </c>
      <c r="M211" s="7">
        <f>MAX(0,MIN(J211,12)-8.0)</f>
        <v/>
      </c>
      <c r="N211" s="7">
        <f>MAX(0,J211-12)</f>
        <v/>
      </c>
      <c r="O211" s="5" t="n"/>
      <c r="P211" s="6">
        <f>E211*(L211+M211*1.5+N211*2+O211*3+N(K211))</f>
        <v/>
      </c>
      <c r="Q211" s="6" t="n">
        <v>395.25</v>
      </c>
      <c r="R211" s="6">
        <f>Q211-P211</f>
        <v/>
      </c>
    </row>
    <row r="212">
      <c r="P212" s="2" t="inlineStr">
        <is>
          <t>COSTUMESUPERVISOR LABOR</t>
        </is>
      </c>
      <c r="R212" s="8">
        <f>SUM(R211:R211)</f>
        <v/>
      </c>
    </row>
    <row r="214">
      <c r="B214" s="2" t="inlineStr">
        <is>
          <t>SETCOSTUMERS</t>
        </is>
      </c>
    </row>
    <row r="215">
      <c r="A215" s="5" t="inlineStr">
        <is>
          <t>2905</t>
        </is>
      </c>
      <c r="B215" s="5" t="inlineStr">
        <is>
          <t>Monavie Tutop</t>
        </is>
      </c>
      <c r="C215" s="5" t="inlineStr">
        <is>
          <t>COSTUMER#1</t>
        </is>
      </c>
      <c r="D215" s="5" t="inlineStr">
        <is>
          <t>Local705</t>
        </is>
      </c>
      <c r="E215" s="6" t="n">
        <v>23.04</v>
      </c>
      <c r="F215" s="5" t="n"/>
      <c r="G215" s="5" t="n"/>
      <c r="H215" s="5" t="n"/>
      <c r="I215" s="5" t="n"/>
      <c r="J215" s="7">
        <f>IF(AND(N(F215)&gt;0,N(I215)&gt;0),I215-F215-IF(N(G215)&gt;0,0.5,0)-IF(N(H215)&gt;0,0.5,0),0)</f>
        <v/>
      </c>
      <c r="K215" s="5" t="n"/>
      <c r="L215" s="7">
        <f>MIN(J215,8.0)</f>
        <v/>
      </c>
      <c r="M215" s="7">
        <f>MAX(0,MIN(J215,12)-8.0)</f>
        <v/>
      </c>
      <c r="N215" s="7">
        <f>MAX(0,J215-12)</f>
        <v/>
      </c>
      <c r="O215" s="5" t="n"/>
      <c r="P215" s="6">
        <f>E215*(L215+M215*1.5+N215*2+O215*3+N(K215))</f>
        <v/>
      </c>
      <c r="Q215" s="6" t="n">
        <v>397.43</v>
      </c>
      <c r="R215" s="6">
        <f>Q215-P215</f>
        <v/>
      </c>
    </row>
    <row r="216">
      <c r="A216" s="5" t="inlineStr">
        <is>
          <t>2905</t>
        </is>
      </c>
      <c r="B216" s="5" t="inlineStr"/>
      <c r="C216" s="5" t="inlineStr">
        <is>
          <t>COSTUMER#2</t>
        </is>
      </c>
      <c r="D216" s="5" t="inlineStr">
        <is>
          <t>Local705</t>
        </is>
      </c>
      <c r="E216" s="6" t="n">
        <v>20.57</v>
      </c>
      <c r="F216" s="5" t="n"/>
      <c r="G216" s="5" t="n"/>
      <c r="H216" s="5" t="n"/>
      <c r="I216" s="5" t="n"/>
      <c r="J216" s="7">
        <f>IF(AND(N(F216)&gt;0,N(I216)&gt;0),I216-F216-IF(N(G216)&gt;0,0.5,0)-IF(N(H216)&gt;0,0.5,0),0)</f>
        <v/>
      </c>
      <c r="K216" s="5" t="n"/>
      <c r="L216" s="7">
        <f>MIN(J216,8.0)</f>
        <v/>
      </c>
      <c r="M216" s="7">
        <f>MAX(0,MIN(J216,12)-8.0)</f>
        <v/>
      </c>
      <c r="N216" s="7">
        <f>MAX(0,J216-12)</f>
        <v/>
      </c>
      <c r="O216" s="5" t="n"/>
      <c r="P216" s="6">
        <f>E216*(L216+M216*1.5+N216*2+O216*3+N(K216))</f>
        <v/>
      </c>
      <c r="Q216" s="6" t="n">
        <v>354.83</v>
      </c>
      <c r="R216" s="6">
        <f>Q216-P216</f>
        <v/>
      </c>
    </row>
    <row r="217">
      <c r="P217" s="2" t="inlineStr">
        <is>
          <t>SETCOSTUMERS LABOR</t>
        </is>
      </c>
      <c r="R217" s="8">
        <f>SUM(R215:R216)</f>
        <v/>
      </c>
    </row>
    <row r="219">
      <c r="B219" s="2" t="inlineStr">
        <is>
          <t>KEYMAKE-UP</t>
        </is>
      </c>
    </row>
    <row r="220">
      <c r="A220" s="5" t="inlineStr">
        <is>
          <t>3101</t>
        </is>
      </c>
      <c r="B220" s="5" t="inlineStr">
        <is>
          <t>Eleanor Sabaduquia</t>
        </is>
      </c>
      <c r="C220" s="5" t="inlineStr">
        <is>
          <t>KEYMAKEUPARTIST</t>
        </is>
      </c>
      <c r="D220" s="5" t="inlineStr">
        <is>
          <t>Local706</t>
        </is>
      </c>
      <c r="E220" s="6" t="n">
        <v>25.5</v>
      </c>
      <c r="F220" s="5" t="n"/>
      <c r="G220" s="5" t="n"/>
      <c r="H220" s="5" t="n"/>
      <c r="I220" s="5" t="n"/>
      <c r="J220" s="7">
        <f>IF(AND(N(F220)&gt;0,N(I220)&gt;0),I220-F220-IF(N(G220)&gt;0,0.5,0)-IF(N(H220)&gt;0,0.5,0),0)</f>
        <v/>
      </c>
      <c r="K220" s="5" t="n"/>
      <c r="L220" s="7">
        <f>MIN(J220,10.0)</f>
        <v/>
      </c>
      <c r="M220" s="7">
        <f>MAX(0,MIN(J220,12)-10.0)</f>
        <v/>
      </c>
      <c r="N220" s="7">
        <f>MAX(0,J220-12)</f>
        <v/>
      </c>
      <c r="O220" s="5" t="n"/>
      <c r="P220" s="6">
        <f>E220*(L220+M220*1.5+N220*2+O220*3+N(K220))</f>
        <v/>
      </c>
      <c r="Q220" s="6" t="n">
        <v>439.87</v>
      </c>
      <c r="R220" s="6">
        <f>Q220-P220</f>
        <v/>
      </c>
    </row>
    <row r="221">
      <c r="P221" s="2" t="inlineStr">
        <is>
          <t>KEYMAKE-UP LABOR</t>
        </is>
      </c>
      <c r="R221" s="8">
        <f>SUM(R220:R220)</f>
        <v/>
      </c>
    </row>
    <row r="223">
      <c r="B223" s="2" t="inlineStr">
        <is>
          <t>ASSTMAKE-UP</t>
        </is>
      </c>
    </row>
    <row r="224">
      <c r="A224" s="5" t="inlineStr">
        <is>
          <t>3102</t>
        </is>
      </c>
      <c r="B224" s="5" t="inlineStr">
        <is>
          <t>Yoko Nobushi</t>
        </is>
      </c>
      <c r="C224" s="5" t="inlineStr">
        <is>
          <t>ASSTMAKEUPARTIST#1</t>
        </is>
      </c>
      <c r="D224" s="5" t="inlineStr">
        <is>
          <t>Local706</t>
        </is>
      </c>
      <c r="E224" s="6" t="n">
        <v>23.04</v>
      </c>
      <c r="F224" s="5" t="n"/>
      <c r="G224" s="5" t="n"/>
      <c r="H224" s="5" t="n"/>
      <c r="I224" s="5" t="n"/>
      <c r="J224" s="7">
        <f>IF(AND(N(F224)&gt;0,N(I224)&gt;0),I224-F224-IF(N(G224)&gt;0,0.5,0)-IF(N(H224)&gt;0,0.5,0),0)</f>
        <v/>
      </c>
      <c r="K224" s="5" t="n"/>
      <c r="L224" s="7">
        <f>MIN(J224,10.0)</f>
        <v/>
      </c>
      <c r="M224" s="7">
        <f>MAX(0,MIN(J224,12)-10.0)</f>
        <v/>
      </c>
      <c r="N224" s="7">
        <f>MAX(0,J224-12)</f>
        <v/>
      </c>
      <c r="O224" s="5" t="n"/>
      <c r="P224" s="6">
        <f>E224*(L224+M224*1.5+N224*2+O224*3+N(K224))</f>
        <v/>
      </c>
      <c r="Q224" s="6" t="n">
        <v>397.43</v>
      </c>
      <c r="R224" s="6">
        <f>Q224-P224</f>
        <v/>
      </c>
    </row>
    <row r="225">
      <c r="P225" s="2" t="inlineStr">
        <is>
          <t>ASSTMAKE-UP LABOR</t>
        </is>
      </c>
      <c r="R225" s="8">
        <f>SUM(R224:R224)</f>
        <v/>
      </c>
    </row>
    <row r="227">
      <c r="B227" s="2" t="inlineStr">
        <is>
          <t>ADDITIONALMAKE-UPLABOR</t>
        </is>
      </c>
    </row>
    <row r="228">
      <c r="A228" s="5" t="inlineStr">
        <is>
          <t>3103</t>
        </is>
      </c>
      <c r="B228" s="5" t="inlineStr"/>
      <c r="C228" s="5" t="inlineStr">
        <is>
          <t>ADDLMAKEUPARTISTDAYS</t>
        </is>
      </c>
      <c r="D228" s="5" t="inlineStr">
        <is>
          <t>Local706</t>
        </is>
      </c>
      <c r="E228" s="6" t="n">
        <v>23.04</v>
      </c>
      <c r="F228" s="5" t="n"/>
      <c r="G228" s="5" t="n"/>
      <c r="H228" s="5" t="n"/>
      <c r="I228" s="5" t="n"/>
      <c r="J228" s="7">
        <f>IF(AND(N(F228)&gt;0,N(I228)&gt;0),I228-F228-IF(N(G228)&gt;0,0.5,0)-IF(N(H228)&gt;0,0.5,0),0)</f>
        <v/>
      </c>
      <c r="K228" s="5" t="n"/>
      <c r="L228" s="7">
        <f>MIN(J228,10.0)</f>
        <v/>
      </c>
      <c r="M228" s="7">
        <f>MAX(0,MIN(J228,12)-10.0)</f>
        <v/>
      </c>
      <c r="N228" s="7">
        <f>MAX(0,J228-12)</f>
        <v/>
      </c>
      <c r="O228" s="5" t="n"/>
      <c r="P228" s="6">
        <f>E228*(L228+M228*1.5+N228*2+O228*3+N(K228))</f>
        <v/>
      </c>
      <c r="Q228" s="6" t="n">
        <v>397.43</v>
      </c>
      <c r="R228" s="6">
        <f>Q228-P228</f>
        <v/>
      </c>
    </row>
    <row r="229">
      <c r="P229" s="2" t="inlineStr">
        <is>
          <t>ADDITIONALMAKE-UPLABOR LABOR</t>
        </is>
      </c>
      <c r="R229" s="8">
        <f>SUM(R228:R228)</f>
        <v/>
      </c>
    </row>
    <row r="231">
      <c r="B231" s="2" t="inlineStr">
        <is>
          <t>PROSTHETICS</t>
        </is>
      </c>
    </row>
    <row r="232">
      <c r="A232" s="5" t="inlineStr">
        <is>
          <t>3105</t>
        </is>
      </c>
      <c r="B232" s="5" t="inlineStr"/>
      <c r="C232" s="5" t="inlineStr">
        <is>
          <t>PROSTHETICMAKEUPARTIST</t>
        </is>
      </c>
      <c r="D232" s="5" t="inlineStr">
        <is>
          <t>Local706</t>
        </is>
      </c>
      <c r="E232" s="6" t="n">
        <v>25.5</v>
      </c>
      <c r="F232" s="5" t="n"/>
      <c r="G232" s="5" t="n"/>
      <c r="H232" s="5" t="n"/>
      <c r="I232" s="5" t="n"/>
      <c r="J232" s="7">
        <f>IF(AND(N(F232)&gt;0,N(I232)&gt;0),I232-F232-IF(N(G232)&gt;0,0.5,0)-IF(N(H232)&gt;0,0.5,0),0)</f>
        <v/>
      </c>
      <c r="K232" s="5" t="n"/>
      <c r="L232" s="7">
        <f>MIN(J232,10.0)</f>
        <v/>
      </c>
      <c r="M232" s="7">
        <f>MAX(0,MIN(J232,12)-10.0)</f>
        <v/>
      </c>
      <c r="N232" s="7">
        <f>MAX(0,J232-12)</f>
        <v/>
      </c>
      <c r="O232" s="5" t="n"/>
      <c r="P232" s="6">
        <f>E232*(L232+M232*1.5+N232*2+O232*3+N(K232))</f>
        <v/>
      </c>
      <c r="Q232" s="6" t="n">
        <v>439.87</v>
      </c>
      <c r="R232" s="6">
        <f>Q232-P232</f>
        <v/>
      </c>
    </row>
    <row r="233">
      <c r="A233" s="5" t="inlineStr">
        <is>
          <t>3105</t>
        </is>
      </c>
      <c r="B233" s="5" t="inlineStr"/>
      <c r="C233" s="5" t="inlineStr">
        <is>
          <t>LENSCONSULTANT</t>
        </is>
      </c>
      <c r="D233" s="5" t="inlineStr"/>
      <c r="E233" s="6" t="n">
        <v>50</v>
      </c>
      <c r="F233" s="5" t="n"/>
      <c r="G233" s="5" t="n"/>
      <c r="H233" s="5" t="n"/>
      <c r="I233" s="5" t="n"/>
      <c r="J233" s="7">
        <f>IF(AND(N(F233)&gt;0,N(I233)&gt;0),I233-F233-IF(N(G233)&gt;0,0.5,0)-IF(N(H233)&gt;0,0.5,0),0)</f>
        <v/>
      </c>
      <c r="K233" s="5" t="n"/>
      <c r="L233" s="7">
        <f>MIN(J233,8.0)</f>
        <v/>
      </c>
      <c r="M233" s="7">
        <f>MAX(0,MIN(J233,12)-8.0)</f>
        <v/>
      </c>
      <c r="N233" s="7">
        <f>MAX(0,J233-12)</f>
        <v/>
      </c>
      <c r="O233" s="5" t="n"/>
      <c r="P233" s="6">
        <f>E233*(L233+M233*1.5+N233*2+O233*3+N(K233))</f>
        <v/>
      </c>
      <c r="Q233" s="6" t="n">
        <v>862.53</v>
      </c>
      <c r="R233" s="6">
        <f>Q233-P233</f>
        <v/>
      </c>
    </row>
    <row r="234">
      <c r="P234" s="2" t="inlineStr">
        <is>
          <t>PROSTHETICS LABOR</t>
        </is>
      </c>
      <c r="R234" s="8">
        <f>SUM(R232:R233)</f>
        <v/>
      </c>
    </row>
    <row r="236">
      <c r="B236" s="2" t="inlineStr">
        <is>
          <t>KEYHAIR</t>
        </is>
      </c>
    </row>
    <row r="237">
      <c r="A237" s="5" t="inlineStr">
        <is>
          <t>3111</t>
        </is>
      </c>
      <c r="B237" s="5" t="inlineStr">
        <is>
          <t>Traci Smithe</t>
        </is>
      </c>
      <c r="C237" s="5" t="inlineStr">
        <is>
          <t>KEYHAIR</t>
        </is>
      </c>
      <c r="D237" s="5" t="inlineStr">
        <is>
          <t>Local706</t>
        </is>
      </c>
      <c r="E237" s="6" t="n">
        <v>25.5</v>
      </c>
      <c r="F237" s="5" t="n"/>
      <c r="G237" s="5" t="n"/>
      <c r="H237" s="5" t="n"/>
      <c r="I237" s="5" t="n"/>
      <c r="J237" s="7">
        <f>IF(AND(N(F237)&gt;0,N(I237)&gt;0),I237-F237-IF(N(G237)&gt;0,0.5,0)-IF(N(H237)&gt;0,0.5,0),0)</f>
        <v/>
      </c>
      <c r="K237" s="5" t="n"/>
      <c r="L237" s="7">
        <f>MIN(J237,10.0)</f>
        <v/>
      </c>
      <c r="M237" s="7">
        <f>MAX(0,MIN(J237,12)-10.0)</f>
        <v/>
      </c>
      <c r="N237" s="7">
        <f>MAX(0,J237-12)</f>
        <v/>
      </c>
      <c r="O237" s="5" t="n"/>
      <c r="P237" s="6">
        <f>E237*(L237+M237*1.5+N237*2+O237*3+N(K237))</f>
        <v/>
      </c>
      <c r="Q237" s="6" t="n">
        <v>439.87</v>
      </c>
      <c r="R237" s="6">
        <f>Q237-P237</f>
        <v/>
      </c>
    </row>
    <row r="238">
      <c r="P238" s="2" t="inlineStr">
        <is>
          <t>KEYHAIR LABOR</t>
        </is>
      </c>
      <c r="R238" s="8">
        <f>SUM(R237:R237)</f>
        <v/>
      </c>
    </row>
    <row r="240">
      <c r="B240" s="2" t="inlineStr">
        <is>
          <t>ASSTHAIR</t>
        </is>
      </c>
    </row>
    <row r="241">
      <c r="A241" s="5" t="inlineStr">
        <is>
          <t>3112</t>
        </is>
      </c>
      <c r="B241" s="5" t="inlineStr">
        <is>
          <t>Yunea Cruz</t>
        </is>
      </c>
      <c r="C241" s="5" t="inlineStr">
        <is>
          <t>ASSTHAIRSTYLIST#1</t>
        </is>
      </c>
      <c r="D241" s="5" t="inlineStr">
        <is>
          <t>Local706</t>
        </is>
      </c>
      <c r="E241" s="6" t="n">
        <v>23.04</v>
      </c>
      <c r="F241" s="5" t="n"/>
      <c r="G241" s="5" t="n"/>
      <c r="H241" s="5" t="n"/>
      <c r="I241" s="5" t="n"/>
      <c r="J241" s="7">
        <f>IF(AND(N(F241)&gt;0,N(I241)&gt;0),I241-F241-IF(N(G241)&gt;0,0.5,0)-IF(N(H241)&gt;0,0.5,0),0)</f>
        <v/>
      </c>
      <c r="K241" s="5" t="n"/>
      <c r="L241" s="7">
        <f>MIN(J241,10.0)</f>
        <v/>
      </c>
      <c r="M241" s="7">
        <f>MAX(0,MIN(J241,12)-10.0)</f>
        <v/>
      </c>
      <c r="N241" s="7">
        <f>MAX(0,J241-12)</f>
        <v/>
      </c>
      <c r="O241" s="5" t="n"/>
      <c r="P241" s="6">
        <f>E241*(L241+M241*1.5+N241*2+O241*3+N(K241))</f>
        <v/>
      </c>
      <c r="Q241" s="6" t="n">
        <v>397.43</v>
      </c>
      <c r="R241" s="6">
        <f>Q241-P241</f>
        <v/>
      </c>
    </row>
    <row r="242">
      <c r="P242" s="2" t="inlineStr">
        <is>
          <t>ASSTHAIR LABOR</t>
        </is>
      </c>
      <c r="R242" s="8">
        <f>SUM(R241:R241)</f>
        <v/>
      </c>
    </row>
    <row r="244">
      <c r="B244" s="2" t="inlineStr">
        <is>
          <t>ADDITIONALHAIRLABOR</t>
        </is>
      </c>
    </row>
    <row r="245">
      <c r="A245" s="5" t="inlineStr">
        <is>
          <t>3113</t>
        </is>
      </c>
      <c r="B245" s="5" t="inlineStr"/>
      <c r="C245" s="5" t="inlineStr">
        <is>
          <t>ADDLHAIRSTYLISTDAYS</t>
        </is>
      </c>
      <c r="D245" s="5" t="inlineStr">
        <is>
          <t>Local706</t>
        </is>
      </c>
      <c r="E245" s="6" t="n">
        <v>23.04</v>
      </c>
      <c r="F245" s="5" t="n"/>
      <c r="G245" s="5" t="n"/>
      <c r="H245" s="5" t="n"/>
      <c r="I245" s="5" t="n"/>
      <c r="J245" s="7">
        <f>IF(AND(N(F245)&gt;0,N(I245)&gt;0),I245-F245-IF(N(G245)&gt;0,0.5,0)-IF(N(H245)&gt;0,0.5,0),0)</f>
        <v/>
      </c>
      <c r="K245" s="5" t="n"/>
      <c r="L245" s="7">
        <f>MIN(J245,10.0)</f>
        <v/>
      </c>
      <c r="M245" s="7">
        <f>MAX(0,MIN(J245,12)-10.0)</f>
        <v/>
      </c>
      <c r="N245" s="7">
        <f>MAX(0,J245-12)</f>
        <v/>
      </c>
      <c r="O245" s="5" t="n"/>
      <c r="P245" s="6">
        <f>E245*(L245+M245*1.5+N245*2+O245*3+N(K245))</f>
        <v/>
      </c>
      <c r="Q245" s="6" t="n">
        <v>397.43</v>
      </c>
      <c r="R245" s="6">
        <f>Q245-P245</f>
        <v/>
      </c>
    </row>
    <row r="246">
      <c r="P246" s="2" t="inlineStr">
        <is>
          <t>ADDITIONALHAIRLABOR LABOR</t>
        </is>
      </c>
      <c r="R246" s="8">
        <f>SUM(R245:R245)</f>
        <v/>
      </c>
    </row>
    <row r="248">
      <c r="B248" s="2" t="inlineStr">
        <is>
          <t>GAFFER</t>
        </is>
      </c>
    </row>
    <row r="249">
      <c r="A249" s="5" t="inlineStr">
        <is>
          <t>3201</t>
        </is>
      </c>
      <c r="B249" s="5" t="inlineStr">
        <is>
          <t>Nicholas Kaat</t>
        </is>
      </c>
      <c r="C249" s="5" t="inlineStr">
        <is>
          <t>GAFFER</t>
        </is>
      </c>
      <c r="D249" s="5" t="inlineStr">
        <is>
          <t>Local728</t>
        </is>
      </c>
      <c r="E249" s="6" t="n">
        <v>25.5</v>
      </c>
      <c r="F249" s="5" t="n"/>
      <c r="G249" s="5" t="n"/>
      <c r="H249" s="5" t="n"/>
      <c r="I249" s="5" t="n"/>
      <c r="J249" s="7">
        <f>IF(AND(N(F249)&gt;0,N(I249)&gt;0),I249-F249-IF(N(G249)&gt;0,0.5,0)-IF(N(H249)&gt;0,0.5,0),0)</f>
        <v/>
      </c>
      <c r="K249" s="5" t="n"/>
      <c r="L249" s="7">
        <f>MIN(J249,10.0)</f>
        <v/>
      </c>
      <c r="M249" s="7">
        <f>MAX(0,MIN(J249,12)-10.0)</f>
        <v/>
      </c>
      <c r="N249" s="7">
        <f>MAX(0,J249-12)</f>
        <v/>
      </c>
      <c r="O249" s="5" t="n"/>
      <c r="P249" s="6">
        <f>E249*(L249+M249*1.5+N249*2+O249*3+N(K249))</f>
        <v/>
      </c>
      <c r="Q249" s="6" t="n">
        <v>395.25</v>
      </c>
      <c r="R249" s="6">
        <f>Q249-P249</f>
        <v/>
      </c>
    </row>
    <row r="250">
      <c r="P250" s="2" t="inlineStr">
        <is>
          <t>GAFFER LABOR</t>
        </is>
      </c>
      <c r="R250" s="8">
        <f>SUM(R249:R249)</f>
        <v/>
      </c>
    </row>
    <row r="252">
      <c r="B252" s="2" t="inlineStr">
        <is>
          <t>BESTBOYELECTRIC</t>
        </is>
      </c>
    </row>
    <row r="253">
      <c r="A253" s="5" t="inlineStr">
        <is>
          <t>3202</t>
        </is>
      </c>
      <c r="B253" s="5" t="inlineStr">
        <is>
          <t>Nathan Fetzer</t>
        </is>
      </c>
      <c r="C253" s="5" t="inlineStr">
        <is>
          <t>BESTBOYELECTRIC</t>
        </is>
      </c>
      <c r="D253" s="5" t="inlineStr">
        <is>
          <t>Local728</t>
        </is>
      </c>
      <c r="E253" s="6" t="n">
        <v>23.04</v>
      </c>
      <c r="F253" s="5" t="n"/>
      <c r="G253" s="5" t="n"/>
      <c r="H253" s="5" t="n"/>
      <c r="I253" s="5" t="n"/>
      <c r="J253" s="7">
        <f>IF(AND(N(F253)&gt;0,N(I253)&gt;0),I253-F253-IF(N(G253)&gt;0,0.5,0)-IF(N(H253)&gt;0,0.5,0),0)</f>
        <v/>
      </c>
      <c r="K253" s="5" t="n"/>
      <c r="L253" s="7">
        <f>MIN(J253,10.0)</f>
        <v/>
      </c>
      <c r="M253" s="7">
        <f>MAX(0,MIN(J253,12)-10.0)</f>
        <v/>
      </c>
      <c r="N253" s="7">
        <f>MAX(0,J253-12)</f>
        <v/>
      </c>
      <c r="O253" s="5" t="n"/>
      <c r="P253" s="6">
        <f>E253*(L253+M253*1.5+N253*2+O253*3+N(K253))</f>
        <v/>
      </c>
      <c r="Q253" s="6" t="n">
        <v>357.12</v>
      </c>
      <c r="R253" s="6">
        <f>Q253-P253</f>
        <v/>
      </c>
    </row>
    <row r="254">
      <c r="A254" s="5" t="inlineStr">
        <is>
          <t>3202</t>
        </is>
      </c>
      <c r="B254" s="5" t="inlineStr"/>
      <c r="C254" s="5" t="inlineStr">
        <is>
          <t>STUDIOBESTBOYELECTRIC</t>
        </is>
      </c>
      <c r="D254" s="5" t="inlineStr">
        <is>
          <t>Local728</t>
        </is>
      </c>
      <c r="E254" s="6" t="n">
        <v>43.05</v>
      </c>
      <c r="F254" s="5" t="n"/>
      <c r="G254" s="5" t="n"/>
      <c r="H254" s="5" t="n"/>
      <c r="I254" s="5" t="n"/>
      <c r="J254" s="7">
        <f>IF(AND(N(F254)&gt;0,N(I254)&gt;0),I254-F254-IF(N(G254)&gt;0,0.5,0)-IF(N(H254)&gt;0,0.5,0),0)</f>
        <v/>
      </c>
      <c r="K254" s="5" t="n"/>
      <c r="L254" s="7">
        <f>MIN(J254,10.0)</f>
        <v/>
      </c>
      <c r="M254" s="7">
        <f>MAX(0,MIN(J254,12)-10.0)</f>
        <v/>
      </c>
      <c r="N254" s="7">
        <f>MAX(0,J254-12)</f>
        <v/>
      </c>
      <c r="O254" s="5" t="n"/>
      <c r="P254" s="6">
        <f>E254*(L254+M254*1.5+N254*2+O254*3+N(K254))</f>
        <v/>
      </c>
      <c r="Q254" s="6" t="n">
        <v>667.27</v>
      </c>
      <c r="R254" s="6">
        <f>Q254-P254</f>
        <v/>
      </c>
    </row>
    <row r="255">
      <c r="P255" s="2" t="inlineStr">
        <is>
          <t>BESTBOYELECTRIC LABOR</t>
        </is>
      </c>
      <c r="R255" s="8">
        <f>SUM(R253:R254)</f>
        <v/>
      </c>
    </row>
    <row r="257">
      <c r="B257" s="2" t="inlineStr">
        <is>
          <t>ELECTRICIANS</t>
        </is>
      </c>
    </row>
    <row r="258">
      <c r="A258" s="5" t="inlineStr">
        <is>
          <t>3204</t>
        </is>
      </c>
      <c r="B258" s="5" t="inlineStr"/>
      <c r="C258" s="5" t="inlineStr">
        <is>
          <t>ELECTRICIAN#1</t>
        </is>
      </c>
      <c r="D258" s="5" t="inlineStr">
        <is>
          <t>Local728</t>
        </is>
      </c>
      <c r="E258" s="6" t="n">
        <v>20.57</v>
      </c>
      <c r="F258" s="5" t="n"/>
      <c r="G258" s="5" t="n"/>
      <c r="H258" s="5" t="n"/>
      <c r="I258" s="5" t="n"/>
      <c r="J258" s="7">
        <f>IF(AND(N(F258)&gt;0,N(I258)&gt;0),I258-F258-IF(N(G258)&gt;0,0.5,0)-IF(N(H258)&gt;0,0.5,0),0)</f>
        <v/>
      </c>
      <c r="K258" s="5" t="n"/>
      <c r="L258" s="7">
        <f>MIN(J258,10.0)</f>
        <v/>
      </c>
      <c r="M258" s="7">
        <f>MAX(0,MIN(J258,12)-10.0)</f>
        <v/>
      </c>
      <c r="N258" s="7">
        <f>MAX(0,J258-12)</f>
        <v/>
      </c>
      <c r="O258" s="5" t="n"/>
      <c r="P258" s="6">
        <f>E258*(L258+M258*1.5+N258*2+O258*3+N(K258))</f>
        <v/>
      </c>
      <c r="Q258" s="6" t="n">
        <v>318.83</v>
      </c>
      <c r="R258" s="6">
        <f>Q258-P258</f>
        <v/>
      </c>
    </row>
    <row r="259">
      <c r="A259" s="5" t="inlineStr">
        <is>
          <t>3204</t>
        </is>
      </c>
      <c r="B259" s="5" t="inlineStr"/>
      <c r="C259" s="5" t="inlineStr">
        <is>
          <t>ELECTRICIAN#2</t>
        </is>
      </c>
      <c r="D259" s="5" t="inlineStr">
        <is>
          <t>Local728</t>
        </is>
      </c>
      <c r="E259" s="6" t="n">
        <v>20.57</v>
      </c>
      <c r="F259" s="5" t="n"/>
      <c r="G259" s="5" t="n"/>
      <c r="H259" s="5" t="n"/>
      <c r="I259" s="5" t="n"/>
      <c r="J259" s="7">
        <f>IF(AND(N(F259)&gt;0,N(I259)&gt;0),I259-F259-IF(N(G259)&gt;0,0.5,0)-IF(N(H259)&gt;0,0.5,0),0)</f>
        <v/>
      </c>
      <c r="K259" s="5" t="n"/>
      <c r="L259" s="7">
        <f>MIN(J259,10.0)</f>
        <v/>
      </c>
      <c r="M259" s="7">
        <f>MAX(0,MIN(J259,12)-10.0)</f>
        <v/>
      </c>
      <c r="N259" s="7">
        <f>MAX(0,J259-12)</f>
        <v/>
      </c>
      <c r="O259" s="5" t="n"/>
      <c r="P259" s="6">
        <f>E259*(L259+M259*1.5+N259*2+O259*3+N(K259))</f>
        <v/>
      </c>
      <c r="Q259" s="6" t="n">
        <v>318.83</v>
      </c>
      <c r="R259" s="6">
        <f>Q259-P259</f>
        <v/>
      </c>
    </row>
    <row r="260">
      <c r="A260" s="5" t="inlineStr">
        <is>
          <t>3204</t>
        </is>
      </c>
      <c r="B260" s="5" t="inlineStr"/>
      <c r="C260" s="5" t="inlineStr">
        <is>
          <t>ELECTRICIAN#3</t>
        </is>
      </c>
      <c r="D260" s="5" t="inlineStr">
        <is>
          <t>Local728</t>
        </is>
      </c>
      <c r="E260" s="6" t="n">
        <v>20.57</v>
      </c>
      <c r="F260" s="5" t="n"/>
      <c r="G260" s="5" t="n"/>
      <c r="H260" s="5" t="n"/>
      <c r="I260" s="5" t="n"/>
      <c r="J260" s="7">
        <f>IF(AND(N(F260)&gt;0,N(I260)&gt;0),I260-F260-IF(N(G260)&gt;0,0.5,0)-IF(N(H260)&gt;0,0.5,0),0)</f>
        <v/>
      </c>
      <c r="K260" s="5" t="n"/>
      <c r="L260" s="7">
        <f>MIN(J260,10.0)</f>
        <v/>
      </c>
      <c r="M260" s="7">
        <f>MAX(0,MIN(J260,12)-10.0)</f>
        <v/>
      </c>
      <c r="N260" s="7">
        <f>MAX(0,J260-12)</f>
        <v/>
      </c>
      <c r="O260" s="5" t="n"/>
      <c r="P260" s="6">
        <f>E260*(L260+M260*1.5+N260*2+O260*3+N(K260))</f>
        <v/>
      </c>
      <c r="Q260" s="6" t="n">
        <v>318.83</v>
      </c>
      <c r="R260" s="6">
        <f>Q260-P260</f>
        <v/>
      </c>
    </row>
    <row r="261">
      <c r="P261" s="2" t="inlineStr">
        <is>
          <t>ELECTRICIANS LABOR</t>
        </is>
      </c>
      <c r="R261" s="8">
        <f>SUM(R258:R260)</f>
        <v/>
      </c>
    </row>
    <row r="263">
      <c r="B263" s="2" t="inlineStr">
        <is>
          <t>ADDITIONALELECTRICLABOR</t>
        </is>
      </c>
    </row>
    <row r="264">
      <c r="A264" s="5" t="inlineStr">
        <is>
          <t>3206</t>
        </is>
      </c>
      <c r="B264" s="5" t="inlineStr"/>
      <c r="C264" s="5" t="inlineStr">
        <is>
          <t>ELECTRICMANDAYS&amp;RIGGINGMANDAYS</t>
        </is>
      </c>
      <c r="D264" s="5" t="inlineStr">
        <is>
          <t>Local728</t>
        </is>
      </c>
      <c r="E264" s="6" t="n">
        <v>20.57</v>
      </c>
      <c r="F264" s="5" t="n"/>
      <c r="G264" s="5" t="n"/>
      <c r="H264" s="5" t="n"/>
      <c r="I264" s="5" t="n"/>
      <c r="J264" s="7">
        <f>IF(AND(N(F264)&gt;0,N(I264)&gt;0),I264-F264-IF(N(G264)&gt;0,0.5,0)-IF(N(H264)&gt;0,0.5,0),0)</f>
        <v/>
      </c>
      <c r="K264" s="5" t="n"/>
      <c r="L264" s="7">
        <f>MIN(J264,10.0)</f>
        <v/>
      </c>
      <c r="M264" s="7">
        <f>MAX(0,MIN(J264,12)-10.0)</f>
        <v/>
      </c>
      <c r="N264" s="7">
        <f>MAX(0,J264-12)</f>
        <v/>
      </c>
      <c r="O264" s="5" t="n"/>
      <c r="P264" s="6">
        <f>E264*(L264+M264*1.5+N264*2+O264*3+N(K264))</f>
        <v/>
      </c>
      <c r="Q264" s="6" t="n">
        <v>318.83</v>
      </c>
      <c r="R264" s="6">
        <f>Q264-P264</f>
        <v/>
      </c>
    </row>
    <row r="265">
      <c r="P265" s="2" t="inlineStr">
        <is>
          <t>ADDITIONALELECTRICLABOR LABOR</t>
        </is>
      </c>
      <c r="R265" s="8">
        <f>SUM(R264:R264)</f>
        <v/>
      </c>
    </row>
    <row r="267">
      <c r="B267" s="2" t="inlineStr">
        <is>
          <t>DIRECTOROFPHOTOGRAPHY</t>
        </is>
      </c>
    </row>
    <row r="268">
      <c r="A268" s="5" t="inlineStr">
        <is>
          <t>3301</t>
        </is>
      </c>
      <c r="B268" s="5" t="inlineStr">
        <is>
          <t>Michael Burgess</t>
        </is>
      </c>
      <c r="C268" s="5" t="inlineStr">
        <is>
          <t>DIRECTOROFPHOTOGRAPHY</t>
        </is>
      </c>
      <c r="D268" s="5" t="inlineStr">
        <is>
          <t>Local600</t>
        </is>
      </c>
      <c r="E268" s="6" t="n">
        <v>700</v>
      </c>
      <c r="F268" s="5" t="n"/>
      <c r="G268" s="5" t="n"/>
      <c r="H268" s="5" t="n"/>
      <c r="I268" s="5" t="n"/>
      <c r="J268" s="7">
        <f>IF(AND(N(F268)&gt;0,N(I268)&gt;0),I268-F268-IF(N(G268)&gt;0,0.5,0)-IF(N(H268)&gt;0,0.5,0),0)</f>
        <v/>
      </c>
      <c r="K268" s="5" t="n"/>
      <c r="L268" s="7">
        <f>MIN(J268,8.0)</f>
        <v/>
      </c>
      <c r="M268" s="7">
        <f>MAX(0,MIN(J268,12)-8.0)</f>
        <v/>
      </c>
      <c r="N268" s="7">
        <f>MAX(0,J268-12)</f>
        <v/>
      </c>
      <c r="O268" s="5" t="n"/>
      <c r="P268" s="6">
        <f>E268*(L268+M268*1.5+N268*2+O268*3+N(K268))</f>
        <v/>
      </c>
      <c r="Q268" s="6" t="n">
        <v>700</v>
      </c>
      <c r="R268" s="6">
        <f>Q268-P268</f>
        <v/>
      </c>
    </row>
    <row r="269">
      <c r="P269" s="2" t="inlineStr">
        <is>
          <t>DIRECTOROFPHOTOGRAPHY LABOR</t>
        </is>
      </c>
      <c r="R269" s="8">
        <f>SUM(R268:R268)</f>
        <v/>
      </c>
    </row>
    <row r="271">
      <c r="B271" s="2" t="inlineStr">
        <is>
          <t>CAMERAOPERATORS</t>
        </is>
      </c>
    </row>
    <row r="272">
      <c r="A272" s="5" t="inlineStr">
        <is>
          <t>3302</t>
        </is>
      </c>
      <c r="B272" s="5" t="inlineStr">
        <is>
          <t>Craig Bauer</t>
        </is>
      </c>
      <c r="C272" s="5" t="inlineStr">
        <is>
          <t>"B"CAMERAOP</t>
        </is>
      </c>
      <c r="D272" s="5" t="inlineStr">
        <is>
          <t>Local600</t>
        </is>
      </c>
      <c r="E272" s="6" t="n">
        <v>45</v>
      </c>
      <c r="F272" s="5" t="n"/>
      <c r="G272" s="5" t="n"/>
      <c r="H272" s="5" t="n"/>
      <c r="I272" s="5" t="n"/>
      <c r="J272" s="7">
        <f>IF(AND(N(F272)&gt;0,N(I272)&gt;0),I272-F272-IF(N(G272)&gt;0,0.5,0)-IF(N(H272)&gt;0,0.5,0),0)</f>
        <v/>
      </c>
      <c r="K272" s="5" t="n"/>
      <c r="L272" s="7">
        <f>MIN(J272,8.0)</f>
        <v/>
      </c>
      <c r="M272" s="7">
        <f>MAX(0,MIN(J272,12)-8.0)</f>
        <v/>
      </c>
      <c r="N272" s="7">
        <f>MAX(0,J272-12)</f>
        <v/>
      </c>
      <c r="O272" s="5" t="n"/>
      <c r="P272" s="6">
        <f>E272*(L272+M272*1.5+N272*2+O272*3+N(K272))</f>
        <v/>
      </c>
      <c r="Q272" s="6" t="n">
        <v>630</v>
      </c>
      <c r="R272" s="6">
        <f>Q272-P272</f>
        <v/>
      </c>
    </row>
    <row r="273">
      <c r="P273" s="2" t="inlineStr">
        <is>
          <t>CAMERAOPERATORS LABOR</t>
        </is>
      </c>
      <c r="R273" s="8">
        <f>SUM(R272:R272)</f>
        <v/>
      </c>
    </row>
    <row r="275">
      <c r="B275" s="2" t="inlineStr">
        <is>
          <t>DIGITALIMAGINGTECHS</t>
        </is>
      </c>
    </row>
    <row r="276">
      <c r="A276" s="5" t="inlineStr">
        <is>
          <t>3304</t>
        </is>
      </c>
      <c r="B276" s="5" t="inlineStr">
        <is>
          <t>Oliver Mancebo</t>
        </is>
      </c>
      <c r="C276" s="5" t="inlineStr">
        <is>
          <t>DIT</t>
        </is>
      </c>
      <c r="D276" s="5" t="inlineStr">
        <is>
          <t>Local600</t>
        </is>
      </c>
      <c r="E276" s="6" t="n">
        <v>35</v>
      </c>
      <c r="F276" s="5" t="n"/>
      <c r="G276" s="5" t="n"/>
      <c r="H276" s="5" t="n"/>
      <c r="I276" s="5" t="n"/>
      <c r="J276" s="7">
        <f>IF(AND(N(F276)&gt;0,N(I276)&gt;0),I276-F276-IF(N(G276)&gt;0,0.5,0)-IF(N(H276)&gt;0,0.5,0),0)</f>
        <v/>
      </c>
      <c r="K276" s="5" t="n"/>
      <c r="L276" s="7">
        <f>MIN(J276,8.0)</f>
        <v/>
      </c>
      <c r="M276" s="7">
        <f>MAX(0,MIN(J276,12)-8.0)</f>
        <v/>
      </c>
      <c r="N276" s="7">
        <f>MAX(0,J276-12)</f>
        <v/>
      </c>
      <c r="O276" s="5" t="n"/>
      <c r="P276" s="6">
        <f>E276*(L276+M276*1.5+N276*2+O276*3+N(K276))</f>
        <v/>
      </c>
      <c r="Q276" s="6" t="n">
        <v>542.5</v>
      </c>
      <c r="R276" s="6">
        <f>Q276-P276</f>
        <v/>
      </c>
    </row>
    <row r="277">
      <c r="P277" s="2" t="inlineStr">
        <is>
          <t>DIGITALIMAGINGTECHS LABOR</t>
        </is>
      </c>
      <c r="R277" s="8">
        <f>SUM(R276:R276)</f>
        <v/>
      </c>
    </row>
    <row r="279">
      <c r="B279" s="2" t="inlineStr">
        <is>
          <t>1STASSTCAMERA</t>
        </is>
      </c>
    </row>
    <row r="280">
      <c r="A280" s="5" t="inlineStr">
        <is>
          <t>3305</t>
        </is>
      </c>
      <c r="B280" s="5" t="inlineStr">
        <is>
          <t>Steve Cueva</t>
        </is>
      </c>
      <c r="C280" s="5" t="inlineStr">
        <is>
          <t>"A"CAMERA 1STAC</t>
        </is>
      </c>
      <c r="D280" s="5" t="inlineStr">
        <is>
          <t>Local600</t>
        </is>
      </c>
      <c r="E280" s="6" t="n">
        <v>25.5</v>
      </c>
      <c r="F280" s="5" t="n"/>
      <c r="G280" s="5" t="n"/>
      <c r="H280" s="5" t="n"/>
      <c r="I280" s="5" t="n"/>
      <c r="J280" s="7">
        <f>IF(AND(N(F280)&gt;0,N(I280)&gt;0),I280-F280-IF(N(G280)&gt;0,0.5,0)-IF(N(H280)&gt;0,0.5,0),0)</f>
        <v/>
      </c>
      <c r="K280" s="5" t="n"/>
      <c r="L280" s="7">
        <f>MIN(J280,8.0)</f>
        <v/>
      </c>
      <c r="M280" s="7">
        <f>MAX(0,MIN(J280,12)-8.0)</f>
        <v/>
      </c>
      <c r="N280" s="7">
        <f>MAX(0,J280-12)</f>
        <v/>
      </c>
      <c r="O280" s="5" t="n"/>
      <c r="P280" s="6">
        <f>E280*(L280+M280*1.5+N280*2+O280*3+N(K280))</f>
        <v/>
      </c>
      <c r="Q280" s="6" t="n">
        <v>395.25</v>
      </c>
      <c r="R280" s="6">
        <f>Q280-P280</f>
        <v/>
      </c>
    </row>
    <row r="281">
      <c r="A281" s="5" t="inlineStr">
        <is>
          <t>3305</t>
        </is>
      </c>
      <c r="B281" s="5" t="inlineStr">
        <is>
          <t>Chris Garcia</t>
        </is>
      </c>
      <c r="C281" s="5" t="inlineStr">
        <is>
          <t>"B"CAMERA 1STAC</t>
        </is>
      </c>
      <c r="D281" s="5" t="inlineStr">
        <is>
          <t>Local600</t>
        </is>
      </c>
      <c r="E281" s="6" t="n">
        <v>25.5</v>
      </c>
      <c r="F281" s="5" t="n"/>
      <c r="G281" s="5" t="n"/>
      <c r="H281" s="5" t="n"/>
      <c r="I281" s="5" t="n"/>
      <c r="J281" s="7">
        <f>IF(AND(N(F281)&gt;0,N(I281)&gt;0),I281-F281-IF(N(G281)&gt;0,0.5,0)-IF(N(H281)&gt;0,0.5,0),0)</f>
        <v/>
      </c>
      <c r="K281" s="5" t="n"/>
      <c r="L281" s="7">
        <f>MIN(J281,8.0)</f>
        <v/>
      </c>
      <c r="M281" s="7">
        <f>MAX(0,MIN(J281,12)-8.0)</f>
        <v/>
      </c>
      <c r="N281" s="7">
        <f>MAX(0,J281-12)</f>
        <v/>
      </c>
      <c r="O281" s="5" t="n"/>
      <c r="P281" s="6">
        <f>E281*(L281+M281*1.5+N281*2+O281*3+N(K281))</f>
        <v/>
      </c>
      <c r="Q281" s="6" t="n">
        <v>395.25</v>
      </c>
      <c r="R281" s="6">
        <f>Q281-P281</f>
        <v/>
      </c>
    </row>
    <row r="282">
      <c r="P282" s="2" t="inlineStr">
        <is>
          <t>1STASSTCAMERA LABOR</t>
        </is>
      </c>
      <c r="R282" s="8">
        <f>SUM(R280:R281)</f>
        <v/>
      </c>
    </row>
    <row r="284">
      <c r="B284" s="2" t="inlineStr">
        <is>
          <t>2NDASSTCAMERA</t>
        </is>
      </c>
    </row>
    <row r="285">
      <c r="A285" s="5" t="inlineStr">
        <is>
          <t>3306</t>
        </is>
      </c>
      <c r="B285" s="5" t="inlineStr">
        <is>
          <t>Manny Serrano</t>
        </is>
      </c>
      <c r="C285" s="5" t="inlineStr">
        <is>
          <t>"A"CAMERA 2NDAC</t>
        </is>
      </c>
      <c r="D285" s="5" t="inlineStr">
        <is>
          <t>Local600</t>
        </is>
      </c>
      <c r="E285" s="6" t="n">
        <v>23.04</v>
      </c>
      <c r="F285" s="5" t="n"/>
      <c r="G285" s="5" t="n"/>
      <c r="H285" s="5" t="n"/>
      <c r="I285" s="5" t="n"/>
      <c r="J285" s="7">
        <f>IF(AND(N(F285)&gt;0,N(I285)&gt;0),I285-F285-IF(N(G285)&gt;0,0.5,0)-IF(N(H285)&gt;0,0.5,0),0)</f>
        <v/>
      </c>
      <c r="K285" s="5" t="n"/>
      <c r="L285" s="7">
        <f>MIN(J285,8.0)</f>
        <v/>
      </c>
      <c r="M285" s="7">
        <f>MAX(0,MIN(J285,12)-8.0)</f>
        <v/>
      </c>
      <c r="N285" s="7">
        <f>MAX(0,J285-12)</f>
        <v/>
      </c>
      <c r="O285" s="5" t="n"/>
      <c r="P285" s="6">
        <f>E285*(L285+M285*1.5+N285*2+O285*3+N(K285))</f>
        <v/>
      </c>
      <c r="Q285" s="6" t="n">
        <v>357.12</v>
      </c>
      <c r="R285" s="6">
        <f>Q285-P285</f>
        <v/>
      </c>
    </row>
    <row r="286">
      <c r="A286" s="5" t="inlineStr">
        <is>
          <t>3306</t>
        </is>
      </c>
      <c r="B286" s="5" t="inlineStr"/>
      <c r="C286" s="5" t="inlineStr">
        <is>
          <t>"B"CAMERA 2NDAC</t>
        </is>
      </c>
      <c r="D286" s="5" t="inlineStr">
        <is>
          <t>Local600</t>
        </is>
      </c>
      <c r="E286" s="6" t="n">
        <v>23.04</v>
      </c>
      <c r="F286" s="5" t="n"/>
      <c r="G286" s="5" t="n"/>
      <c r="H286" s="5" t="n"/>
      <c r="I286" s="5" t="n"/>
      <c r="J286" s="7">
        <f>IF(AND(N(F286)&gt;0,N(I286)&gt;0),I286-F286-IF(N(G286)&gt;0,0.5,0)-IF(N(H286)&gt;0,0.5,0),0)</f>
        <v/>
      </c>
      <c r="K286" s="5" t="n"/>
      <c r="L286" s="7">
        <f>MIN(J286,8.0)</f>
        <v/>
      </c>
      <c r="M286" s="7">
        <f>MAX(0,MIN(J286,12)-8.0)</f>
        <v/>
      </c>
      <c r="N286" s="7">
        <f>MAX(0,J286-12)</f>
        <v/>
      </c>
      <c r="O286" s="5" t="n"/>
      <c r="P286" s="6">
        <f>E286*(L286+M286*1.5+N286*2+O286*3+N(K286))</f>
        <v/>
      </c>
      <c r="Q286" s="6" t="n">
        <v>357.12</v>
      </c>
      <c r="R286" s="6">
        <f>Q286-P286</f>
        <v/>
      </c>
    </row>
    <row r="287">
      <c r="P287" s="2" t="inlineStr">
        <is>
          <t>2NDASSTCAMERA LABOR</t>
        </is>
      </c>
      <c r="R287" s="8">
        <f>SUM(R285:R286)</f>
        <v/>
      </c>
    </row>
    <row r="289">
      <c r="B289" s="2" t="inlineStr">
        <is>
          <t>STILLPHOTOGRAPHER</t>
        </is>
      </c>
    </row>
    <row r="290">
      <c r="A290" s="5" t="inlineStr">
        <is>
          <t>3308</t>
        </is>
      </c>
      <c r="B290" s="5" t="inlineStr">
        <is>
          <t>Scott Patrick Green</t>
        </is>
      </c>
      <c r="C290" s="5" t="inlineStr">
        <is>
          <t>STILLPHOTOGRAPHER</t>
        </is>
      </c>
      <c r="D290" s="5" t="inlineStr">
        <is>
          <t>Local600</t>
        </is>
      </c>
      <c r="E290" s="6" t="n">
        <v>26.5</v>
      </c>
      <c r="F290" s="5" t="n"/>
      <c r="G290" s="5" t="n"/>
      <c r="H290" s="5" t="n"/>
      <c r="I290" s="5" t="n"/>
      <c r="J290" s="7">
        <f>IF(AND(N(F290)&gt;0,N(I290)&gt;0),I290-F290-IF(N(G290)&gt;0,0.5,0)-IF(N(H290)&gt;0,0.5,0),0)</f>
        <v/>
      </c>
      <c r="K290" s="5" t="n"/>
      <c r="L290" s="7">
        <f>MIN(J290,8.0)</f>
        <v/>
      </c>
      <c r="M290" s="7">
        <f>MAX(0,MIN(J290,12)-8.0)</f>
        <v/>
      </c>
      <c r="N290" s="7">
        <f>MAX(0,J290-12)</f>
        <v/>
      </c>
      <c r="O290" s="5" t="n"/>
      <c r="P290" s="6">
        <f>E290*(L290+M290*1.5+N290*2+O290*3+N(K290))</f>
        <v/>
      </c>
      <c r="Q290" s="6" t="n">
        <v>291.5</v>
      </c>
      <c r="R290" s="6">
        <f>Q290-P290</f>
        <v/>
      </c>
    </row>
    <row r="291">
      <c r="P291" s="2" t="inlineStr">
        <is>
          <t>STILLPHOTOGRAPHER LABOR</t>
        </is>
      </c>
      <c r="R291" s="8">
        <f>SUM(R290:R290)</f>
        <v/>
      </c>
    </row>
    <row r="293">
      <c r="B293" s="2" t="inlineStr">
        <is>
          <t>AERIAL/UNDERWATERPHOTOGRAPHY</t>
        </is>
      </c>
    </row>
    <row r="294">
      <c r="A294" s="5" t="inlineStr">
        <is>
          <t>3385</t>
        </is>
      </c>
      <c r="B294" s="5" t="inlineStr"/>
      <c r="C294" s="5" t="inlineStr">
        <is>
          <t>UNDERWATEROPERATOR</t>
        </is>
      </c>
      <c r="D294" s="5" t="inlineStr">
        <is>
          <t>Local600</t>
        </is>
      </c>
      <c r="E294" s="6" t="n">
        <v>65</v>
      </c>
      <c r="F294" s="5" t="n"/>
      <c r="G294" s="5" t="n"/>
      <c r="H294" s="5" t="n"/>
      <c r="I294" s="5" t="n"/>
      <c r="J294" s="7">
        <f>IF(AND(N(F294)&gt;0,N(I294)&gt;0),I294-F294-IF(N(G294)&gt;0,0.5,0)-IF(N(H294)&gt;0,0.5,0),0)</f>
        <v/>
      </c>
      <c r="K294" s="5" t="n"/>
      <c r="L294" s="7">
        <f>MIN(J294,8.0)</f>
        <v/>
      </c>
      <c r="M294" s="7">
        <f>MAX(0,MIN(J294,12)-8.0)</f>
        <v/>
      </c>
      <c r="N294" s="7">
        <f>MAX(0,J294-12)</f>
        <v/>
      </c>
      <c r="O294" s="5" t="n"/>
      <c r="P294" s="6">
        <f>E294*(L294+M294*1.5+N294*2+O294*3+N(K294))</f>
        <v/>
      </c>
      <c r="Q294" s="6" t="n">
        <v>910</v>
      </c>
      <c r="R294" s="6">
        <f>Q294-P294</f>
        <v/>
      </c>
    </row>
    <row r="295">
      <c r="P295" s="2" t="inlineStr">
        <is>
          <t>AERIAL/UNDERWATERPHOTOGRAPHY LABOR</t>
        </is>
      </c>
      <c r="R295" s="8">
        <f>SUM(R294:R294)</f>
        <v/>
      </c>
    </row>
    <row r="297">
      <c r="B297" s="2" t="inlineStr">
        <is>
          <t>SOUNDMIXER</t>
        </is>
      </c>
    </row>
    <row r="298">
      <c r="A298" s="5" t="inlineStr">
        <is>
          <t>3401</t>
        </is>
      </c>
      <c r="B298" s="5" t="inlineStr">
        <is>
          <t>Julian Howarth</t>
        </is>
      </c>
      <c r="C298" s="5" t="inlineStr">
        <is>
          <t>SOUNDMIXER</t>
        </is>
      </c>
      <c r="D298" s="5" t="inlineStr">
        <is>
          <t>Local695</t>
        </is>
      </c>
      <c r="E298" s="6" t="n">
        <v>26.5</v>
      </c>
      <c r="F298" s="5" t="n"/>
      <c r="G298" s="5" t="n"/>
      <c r="H298" s="5" t="n"/>
      <c r="I298" s="5" t="n"/>
      <c r="J298" s="7">
        <f>IF(AND(N(F298)&gt;0,N(I298)&gt;0),I298-F298-IF(N(G298)&gt;0,0.5,0)-IF(N(H298)&gt;0,0.5,0),0)</f>
        <v/>
      </c>
      <c r="K298" s="5" t="n"/>
      <c r="L298" s="7">
        <f>MIN(J298,10.0)</f>
        <v/>
      </c>
      <c r="M298" s="7">
        <f>MAX(0,MIN(J298,12)-10.0)</f>
        <v/>
      </c>
      <c r="N298" s="7">
        <f>MAX(0,J298-12)</f>
        <v/>
      </c>
      <c r="O298" s="5" t="n"/>
      <c r="P298" s="6">
        <f>E298*(L298+M298*1.5+N298*2+O298*3+N(K298))</f>
        <v/>
      </c>
      <c r="Q298" s="6" t="n">
        <v>410.75</v>
      </c>
      <c r="R298" s="6">
        <f>Q298-P298</f>
        <v/>
      </c>
    </row>
    <row r="299">
      <c r="P299" s="2" t="inlineStr">
        <is>
          <t>SOUNDMIXER LABOR</t>
        </is>
      </c>
      <c r="R299" s="8">
        <f>SUM(R298:R298)</f>
        <v/>
      </c>
    </row>
    <row r="301">
      <c r="B301" s="2" t="inlineStr">
        <is>
          <t>BOOMOPERATOR</t>
        </is>
      </c>
    </row>
    <row r="302">
      <c r="A302" s="5" t="inlineStr">
        <is>
          <t>3402</t>
        </is>
      </c>
      <c r="B302" s="5" t="inlineStr">
        <is>
          <t>Tim Song Jones</t>
        </is>
      </c>
      <c r="C302" s="5" t="inlineStr">
        <is>
          <t>BOOMOPERATOR</t>
        </is>
      </c>
      <c r="D302" s="5" t="inlineStr">
        <is>
          <t>Local695</t>
        </is>
      </c>
      <c r="E302" s="6" t="n">
        <v>23.04</v>
      </c>
      <c r="F302" s="5" t="n"/>
      <c r="G302" s="5" t="n"/>
      <c r="H302" s="5" t="n"/>
      <c r="I302" s="5" t="n"/>
      <c r="J302" s="7">
        <f>IF(AND(N(F302)&gt;0,N(I302)&gt;0),I302-F302-IF(N(G302)&gt;0,0.5,0)-IF(N(H302)&gt;0,0.5,0),0)</f>
        <v/>
      </c>
      <c r="K302" s="5" t="n"/>
      <c r="L302" s="7">
        <f>MIN(J302,10.0)</f>
        <v/>
      </c>
      <c r="M302" s="7">
        <f>MAX(0,MIN(J302,12)-10.0)</f>
        <v/>
      </c>
      <c r="N302" s="7">
        <f>MAX(0,J302-12)</f>
        <v/>
      </c>
      <c r="O302" s="5" t="n"/>
      <c r="P302" s="6">
        <f>E302*(L302+M302*1.5+N302*2+O302*3+N(K302))</f>
        <v/>
      </c>
      <c r="Q302" s="6" t="n">
        <v>357.12</v>
      </c>
      <c r="R302" s="6">
        <f>Q302-P302</f>
        <v/>
      </c>
    </row>
    <row r="303">
      <c r="P303" s="2" t="inlineStr">
        <is>
          <t>BOOMOPERATOR LABOR</t>
        </is>
      </c>
      <c r="R303" s="8">
        <f>SUM(R302:R302)</f>
        <v/>
      </c>
    </row>
    <row r="305">
      <c r="B305" s="2" t="inlineStr">
        <is>
          <t>CABLEPERSON</t>
        </is>
      </c>
    </row>
    <row r="306">
      <c r="A306" s="5" t="inlineStr">
        <is>
          <t>3403</t>
        </is>
      </c>
      <c r="B306" s="5" t="inlineStr"/>
      <c r="C306" s="5" t="inlineStr">
        <is>
          <t>UTILITYSOUND</t>
        </is>
      </c>
      <c r="D306" s="5" t="inlineStr">
        <is>
          <t>Local695</t>
        </is>
      </c>
      <c r="E306" s="6" t="n">
        <v>20.57</v>
      </c>
      <c r="F306" s="5" t="n"/>
      <c r="G306" s="5" t="n"/>
      <c r="H306" s="5" t="n"/>
      <c r="I306" s="5" t="n"/>
      <c r="J306" s="7">
        <f>IF(AND(N(F306)&gt;0,N(I306)&gt;0),I306-F306-IF(N(G306)&gt;0,0.5,0)-IF(N(H306)&gt;0,0.5,0),0)</f>
        <v/>
      </c>
      <c r="K306" s="5" t="n"/>
      <c r="L306" s="7">
        <f>MIN(J306,10.0)</f>
        <v/>
      </c>
      <c r="M306" s="7">
        <f>MAX(0,MIN(J306,12)-10.0)</f>
        <v/>
      </c>
      <c r="N306" s="7">
        <f>MAX(0,J306-12)</f>
        <v/>
      </c>
      <c r="O306" s="5" t="n"/>
      <c r="P306" s="6">
        <f>E306*(L306+M306*1.5+N306*2+O306*3+N(K306))</f>
        <v/>
      </c>
      <c r="Q306" s="6" t="n">
        <v>318.83</v>
      </c>
      <c r="R306" s="6">
        <f>Q306-P306</f>
        <v/>
      </c>
    </row>
    <row r="307">
      <c r="P307" s="2" t="inlineStr">
        <is>
          <t>CABLEPERSON LABOR</t>
        </is>
      </c>
      <c r="R307" s="8">
        <f>SUM(R306:R306)</f>
        <v/>
      </c>
    </row>
    <row r="309">
      <c r="B309" s="2" t="inlineStr">
        <is>
          <t>VIDEOASSIST</t>
        </is>
      </c>
    </row>
    <row r="310">
      <c r="A310" s="5" t="inlineStr">
        <is>
          <t>3404</t>
        </is>
      </c>
      <c r="B310" s="5" t="inlineStr">
        <is>
          <t>Jeff Snyder</t>
        </is>
      </c>
      <c r="C310" s="5" t="inlineStr">
        <is>
          <t>VIDEOASSISTOPERATOR</t>
        </is>
      </c>
      <c r="D310" s="5" t="inlineStr">
        <is>
          <t>Local695</t>
        </is>
      </c>
      <c r="E310" s="6" t="n">
        <v>23.04</v>
      </c>
      <c r="F310" s="5" t="n"/>
      <c r="G310" s="5" t="n"/>
      <c r="H310" s="5" t="n"/>
      <c r="I310" s="5" t="n"/>
      <c r="J310" s="7">
        <f>IF(AND(N(F310)&gt;0,N(I310)&gt;0),I310-F310-IF(N(G310)&gt;0,0.5,0)-IF(N(H310)&gt;0,0.5,0),0)</f>
        <v/>
      </c>
      <c r="K310" s="5" t="n"/>
      <c r="L310" s="7">
        <f>MIN(J310,10.0)</f>
        <v/>
      </c>
      <c r="M310" s="7">
        <f>MAX(0,MIN(J310,12)-10.0)</f>
        <v/>
      </c>
      <c r="N310" s="7">
        <f>MAX(0,J310-12)</f>
        <v/>
      </c>
      <c r="O310" s="5" t="n"/>
      <c r="P310" s="6">
        <f>E310*(L310+M310*1.5+N310*2+O310*3+N(K310))</f>
        <v/>
      </c>
      <c r="Q310" s="6" t="n">
        <v>357.12</v>
      </c>
      <c r="R310" s="6">
        <f>Q310-P310</f>
        <v/>
      </c>
    </row>
    <row r="311">
      <c r="P311" s="2" t="inlineStr">
        <is>
          <t>VIDEOASSIST LABOR</t>
        </is>
      </c>
      <c r="R311" s="8">
        <f>SUM(R310:R310)</f>
        <v/>
      </c>
    </row>
    <row r="313">
      <c r="B313" s="2" t="inlineStr">
        <is>
          <t>CAPTAIN</t>
        </is>
      </c>
    </row>
    <row r="314">
      <c r="A314" s="5" t="inlineStr">
        <is>
          <t>3502</t>
        </is>
      </c>
      <c r="B314" s="5" t="inlineStr">
        <is>
          <t>Kevin Caira</t>
        </is>
      </c>
      <c r="C314" s="5" t="inlineStr">
        <is>
          <t>TRANSPOCAPTAIN(LA)</t>
        </is>
      </c>
      <c r="D314" s="5" t="inlineStr">
        <is>
          <t>Local399</t>
        </is>
      </c>
      <c r="E314" s="6" t="n">
        <v>37.21</v>
      </c>
      <c r="F314" s="5" t="n"/>
      <c r="G314" s="5" t="n"/>
      <c r="H314" s="5" t="n"/>
      <c r="I314" s="5" t="n"/>
      <c r="J314" s="7">
        <f>IF(AND(N(F314)&gt;0,N(I314)&gt;0),I314-F314-IF(N(G314)&gt;0,0.5,0)-IF(N(H314)&gt;0,0.5,0),0)</f>
        <v/>
      </c>
      <c r="K314" s="5" t="n"/>
      <c r="L314" s="7">
        <f>MIN(J314,8.0)</f>
        <v/>
      </c>
      <c r="M314" s="7">
        <f>MAX(0,MIN(J314,12)-8.0)</f>
        <v/>
      </c>
      <c r="N314" s="7">
        <f>MAX(0,J314-12)</f>
        <v/>
      </c>
      <c r="O314" s="5" t="n"/>
      <c r="P314" s="6">
        <f>E314*(L314+M314*1.5+N314*2+O314*3+N(K314))</f>
        <v/>
      </c>
      <c r="Q314" s="6" t="n">
        <v>651.17</v>
      </c>
      <c r="R314" s="6">
        <f>Q314-P314</f>
        <v/>
      </c>
    </row>
    <row r="315">
      <c r="A315" s="5" t="inlineStr">
        <is>
          <t>3502</t>
        </is>
      </c>
      <c r="B315" s="5" t="inlineStr">
        <is>
          <t>Tina Peterson</t>
        </is>
      </c>
      <c r="C315" s="5" t="inlineStr">
        <is>
          <t>CO-CAPTAIN</t>
        </is>
      </c>
      <c r="D315" s="5" t="inlineStr">
        <is>
          <t>Local399</t>
        </is>
      </c>
      <c r="E315" s="6" t="n">
        <v>37.21</v>
      </c>
      <c r="F315" s="5" t="n"/>
      <c r="G315" s="5" t="n"/>
      <c r="H315" s="5" t="n"/>
      <c r="I315" s="5" t="n"/>
      <c r="J315" s="7">
        <f>IF(AND(N(F315)&gt;0,N(I315)&gt;0),I315-F315-IF(N(G315)&gt;0,0.5,0)-IF(N(H315)&gt;0,0.5,0),0)</f>
        <v/>
      </c>
      <c r="K315" s="5" t="n"/>
      <c r="L315" s="7">
        <f>MIN(J315,8.0)</f>
        <v/>
      </c>
      <c r="M315" s="7">
        <f>MAX(0,MIN(J315,12)-8.0)</f>
        <v/>
      </c>
      <c r="N315" s="7">
        <f>MAX(0,J315-12)</f>
        <v/>
      </c>
      <c r="O315" s="5" t="n"/>
      <c r="P315" s="6">
        <f>E315*(L315+M315*1.5+N315*2+O315*3+N(K315))</f>
        <v/>
      </c>
      <c r="Q315" s="6" t="n">
        <v>576.75</v>
      </c>
      <c r="R315" s="6">
        <f>Q315-P315</f>
        <v/>
      </c>
    </row>
    <row r="316">
      <c r="P316" s="2" t="inlineStr">
        <is>
          <t>CAPTAIN LABOR</t>
        </is>
      </c>
      <c r="R316" s="8">
        <f>SUM(R314:R315)</f>
        <v/>
      </c>
    </row>
    <row r="318">
      <c r="B318" s="2" t="inlineStr">
        <is>
          <t>DRIVERS</t>
        </is>
      </c>
    </row>
    <row r="319">
      <c r="A319" s="5" t="inlineStr">
        <is>
          <t>3503</t>
        </is>
      </c>
      <c r="B319" s="5" t="inlineStr"/>
      <c r="C319" s="5" t="inlineStr">
        <is>
          <t>GRIPTRUCK 48'TRACTORTRAILERDRIVER</t>
        </is>
      </c>
      <c r="D319" s="5" t="inlineStr"/>
      <c r="E319" s="6" t="n">
        <v>32.36</v>
      </c>
      <c r="F319" s="5" t="n"/>
      <c r="G319" s="5" t="n"/>
      <c r="H319" s="5" t="n"/>
      <c r="I319" s="5" t="n"/>
      <c r="J319" s="7">
        <f>IF(AND(N(F319)&gt;0,N(I319)&gt;0),I319-F319-IF(N(G319)&gt;0,0.5,0)-IF(N(H319)&gt;0,0.5,0),0)</f>
        <v/>
      </c>
      <c r="K319" s="5" t="n"/>
      <c r="L319" s="7">
        <f>MIN(J319,8.0)</f>
        <v/>
      </c>
      <c r="M319" s="7">
        <f>MAX(0,MIN(J319,12)-8.0)</f>
        <v/>
      </c>
      <c r="N319" s="7">
        <f>MAX(0,J319-12)</f>
        <v/>
      </c>
      <c r="O319" s="5" t="n"/>
      <c r="P319" s="6">
        <f>E319*(L319+M319*1.5+N319*2+O319*3+N(K319))</f>
        <v/>
      </c>
      <c r="Q319" s="6" t="n">
        <v>501.58</v>
      </c>
      <c r="R319" s="6">
        <f>Q319-P319</f>
        <v/>
      </c>
    </row>
    <row r="320">
      <c r="A320" s="5" t="inlineStr">
        <is>
          <t>3503</t>
        </is>
      </c>
      <c r="B320" s="5" t="inlineStr">
        <is>
          <t>Donald Wilson</t>
        </is>
      </c>
      <c r="C320" s="5" t="inlineStr">
        <is>
          <t>PROP 5-TON(ENCLOSED)</t>
        </is>
      </c>
      <c r="D320" s="5" t="inlineStr"/>
      <c r="E320" s="6" t="n">
        <v>32.36</v>
      </c>
      <c r="F320" s="5" t="n"/>
      <c r="G320" s="5" t="n"/>
      <c r="H320" s="5" t="n"/>
      <c r="I320" s="5" t="n"/>
      <c r="J320" s="7">
        <f>IF(AND(N(F320)&gt;0,N(I320)&gt;0),I320-F320-IF(N(G320)&gt;0,0.5,0)-IF(N(H320)&gt;0,0.5,0),0)</f>
        <v/>
      </c>
      <c r="K320" s="5" t="n"/>
      <c r="L320" s="7">
        <f>MIN(J320,8.0)</f>
        <v/>
      </c>
      <c r="M320" s="7">
        <f>MAX(0,MIN(J320,12)-8.0)</f>
        <v/>
      </c>
      <c r="N320" s="7">
        <f>MAX(0,J320-12)</f>
        <v/>
      </c>
      <c r="O320" s="5" t="n"/>
      <c r="P320" s="6">
        <f>E320*(L320+M320*1.5+N320*2+O320*3+N(K320))</f>
        <v/>
      </c>
      <c r="Q320" s="6" t="n">
        <v>501.58</v>
      </c>
      <c r="R320" s="6">
        <f>Q320-P320</f>
        <v/>
      </c>
    </row>
    <row r="321">
      <c r="A321" s="5" t="inlineStr">
        <is>
          <t>3503</t>
        </is>
      </c>
      <c r="B321" s="5" t="inlineStr"/>
      <c r="C321" s="5" t="inlineStr">
        <is>
          <t>WARDROBESTAKEBEDDRIVER#1</t>
        </is>
      </c>
      <c r="D321" s="5" t="inlineStr"/>
      <c r="E321" s="6" t="n">
        <v>37.99</v>
      </c>
      <c r="F321" s="5" t="n"/>
      <c r="G321" s="5" t="n"/>
      <c r="H321" s="5" t="n"/>
      <c r="I321" s="5" t="n"/>
      <c r="J321" s="7">
        <f>IF(AND(N(F321)&gt;0,N(I321)&gt;0),I321-F321-IF(N(G321)&gt;0,0.5,0)-IF(N(H321)&gt;0,0.5,0),0)</f>
        <v/>
      </c>
      <c r="K321" s="5" t="n"/>
      <c r="L321" s="7">
        <f>MIN(J321,8.0)</f>
        <v/>
      </c>
      <c r="M321" s="7">
        <f>MAX(0,MIN(J321,12)-8.0)</f>
        <v/>
      </c>
      <c r="N321" s="7">
        <f>MAX(0,J321-12)</f>
        <v/>
      </c>
      <c r="O321" s="5" t="n"/>
      <c r="P321" s="6">
        <f>E321*(L321+M321*1.5+N321*2+O321*3+N(K321))</f>
        <v/>
      </c>
      <c r="Q321" s="6" t="n">
        <v>588.85</v>
      </c>
      <c r="R321" s="6">
        <f>Q321-P321</f>
        <v/>
      </c>
    </row>
    <row r="322">
      <c r="A322" s="5" t="inlineStr">
        <is>
          <t>3503</t>
        </is>
      </c>
      <c r="B322" s="5" t="inlineStr"/>
      <c r="C322" s="5" t="inlineStr">
        <is>
          <t>MAKEUPHAIRTRAILERDRIVER</t>
        </is>
      </c>
      <c r="D322" s="5" t="inlineStr"/>
      <c r="E322" s="6" t="n">
        <v>32.36</v>
      </c>
      <c r="F322" s="5" t="n"/>
      <c r="G322" s="5" t="n"/>
      <c r="H322" s="5" t="n"/>
      <c r="I322" s="5" t="n"/>
      <c r="J322" s="7">
        <f>IF(AND(N(F322)&gt;0,N(I322)&gt;0),I322-F322-IF(N(G322)&gt;0,0.5,0)-IF(N(H322)&gt;0,0.5,0),0)</f>
        <v/>
      </c>
      <c r="K322" s="5" t="n"/>
      <c r="L322" s="7">
        <f>MIN(J322,8.0)</f>
        <v/>
      </c>
      <c r="M322" s="7">
        <f>MAX(0,MIN(J322,12)-8.0)</f>
        <v/>
      </c>
      <c r="N322" s="7">
        <f>MAX(0,J322-12)</f>
        <v/>
      </c>
      <c r="O322" s="5" t="n"/>
      <c r="P322" s="6">
        <f>E322*(L322+M322*1.5+N322*2+O322*3+N(K322))</f>
        <v/>
      </c>
      <c r="Q322" s="6" t="n">
        <v>501.58</v>
      </c>
      <c r="R322" s="6">
        <f>Q322-P322</f>
        <v/>
      </c>
    </row>
    <row r="323">
      <c r="A323" s="5" t="inlineStr">
        <is>
          <t>3503</t>
        </is>
      </c>
      <c r="B323" s="5" t="inlineStr"/>
      <c r="C323" s="5" t="inlineStr">
        <is>
          <t>ELECTRIC 10TONDRIVER(GENIEOPERATOR)</t>
        </is>
      </c>
      <c r="D323" s="5" t="inlineStr"/>
      <c r="E323" s="6" t="n">
        <v>37.99</v>
      </c>
      <c r="F323" s="5" t="n"/>
      <c r="G323" s="5" t="n"/>
      <c r="H323" s="5" t="n"/>
      <c r="I323" s="5" t="n"/>
      <c r="J323" s="7">
        <f>IF(AND(N(F323)&gt;0,N(I323)&gt;0),I323-F323-IF(N(G323)&gt;0,0.5,0)-IF(N(H323)&gt;0,0.5,0),0)</f>
        <v/>
      </c>
      <c r="K323" s="5" t="n"/>
      <c r="L323" s="7">
        <f>MIN(J323,8.0)</f>
        <v/>
      </c>
      <c r="M323" s="7">
        <f>MAX(0,MIN(J323,12)-8.0)</f>
        <v/>
      </c>
      <c r="N323" s="7">
        <f>MAX(0,J323-12)</f>
        <v/>
      </c>
      <c r="O323" s="5" t="n"/>
      <c r="P323" s="6">
        <f>E323*(L323+M323*1.5+N323*2+O323*3+N(K323))</f>
        <v/>
      </c>
      <c r="Q323" s="6" t="n">
        <v>588.85</v>
      </c>
      <c r="R323" s="6">
        <f>Q323-P323</f>
        <v/>
      </c>
    </row>
    <row r="324">
      <c r="A324" s="5" t="inlineStr">
        <is>
          <t>3503</t>
        </is>
      </c>
      <c r="B324" s="5" t="inlineStr"/>
      <c r="C324" s="5" t="inlineStr">
        <is>
          <t>SOUNDCCSTAKEBEDFUELTRUCKDRIVER</t>
        </is>
      </c>
      <c r="D324" s="5" t="inlineStr"/>
      <c r="E324" s="6" t="n">
        <v>32.36</v>
      </c>
      <c r="F324" s="5" t="n"/>
      <c r="G324" s="5" t="n"/>
      <c r="H324" s="5" t="n"/>
      <c r="I324" s="5" t="n"/>
      <c r="J324" s="7">
        <f>IF(AND(N(F324)&gt;0,N(I324)&gt;0),I324-F324-IF(N(G324)&gt;0,0.5,0)-IF(N(H324)&gt;0,0.5,0),0)</f>
        <v/>
      </c>
      <c r="K324" s="5" t="n"/>
      <c r="L324" s="7">
        <f>MIN(J324,8.0)</f>
        <v/>
      </c>
      <c r="M324" s="7">
        <f>MAX(0,MIN(J324,12)-8.0)</f>
        <v/>
      </c>
      <c r="N324" s="7">
        <f>MAX(0,J324-12)</f>
        <v/>
      </c>
      <c r="O324" s="5" t="n"/>
      <c r="P324" s="6">
        <f>E324*(L324+M324*1.5+N324*2+O324*3+N(K324))</f>
        <v/>
      </c>
      <c r="Q324" s="6" t="n">
        <v>501.58</v>
      </c>
      <c r="R324" s="6">
        <f>Q324-P324</f>
        <v/>
      </c>
    </row>
    <row r="325">
      <c r="A325" s="5" t="inlineStr">
        <is>
          <t>3503</t>
        </is>
      </c>
      <c r="B325" s="5" t="inlineStr"/>
      <c r="C325" s="5" t="inlineStr">
        <is>
          <t>9-ROOMHONEYWAGONTRACTORDRIVER</t>
        </is>
      </c>
      <c r="D325" s="5" t="inlineStr"/>
      <c r="E325" s="6" t="n">
        <v>32.36</v>
      </c>
      <c r="F325" s="5" t="n"/>
      <c r="G325" s="5" t="n"/>
      <c r="H325" s="5" t="n"/>
      <c r="I325" s="5" t="n"/>
      <c r="J325" s="7">
        <f>IF(AND(N(F325)&gt;0,N(I325)&gt;0),I325-F325-IF(N(G325)&gt;0,0.5,0)-IF(N(H325)&gt;0,0.5,0),0)</f>
        <v/>
      </c>
      <c r="K325" s="5" t="n"/>
      <c r="L325" s="7">
        <f>MIN(J325,8.0)</f>
        <v/>
      </c>
      <c r="M325" s="7">
        <f>MAX(0,MIN(J325,12)-8.0)</f>
        <v/>
      </c>
      <c r="N325" s="7">
        <f>MAX(0,J325-12)</f>
        <v/>
      </c>
      <c r="O325" s="5" t="n"/>
      <c r="P325" s="6">
        <f>E325*(L325+M325*1.5+N325*2+O325*3+N(K325))</f>
        <v/>
      </c>
      <c r="Q325" s="6" t="n">
        <v>501.58</v>
      </c>
      <c r="R325" s="6">
        <f>Q325-P325</f>
        <v/>
      </c>
    </row>
    <row r="326">
      <c r="A326" s="5" t="inlineStr">
        <is>
          <t>3503</t>
        </is>
      </c>
      <c r="B326" s="5" t="inlineStr"/>
      <c r="C326" s="5" t="inlineStr">
        <is>
          <t>FORDTRANSITVANDRIVER#1</t>
        </is>
      </c>
      <c r="D326" s="5" t="inlineStr"/>
      <c r="E326" s="6" t="n">
        <v>32.36</v>
      </c>
      <c r="F326" s="5" t="n"/>
      <c r="G326" s="5" t="n"/>
      <c r="H326" s="5" t="n"/>
      <c r="I326" s="5" t="n"/>
      <c r="J326" s="7">
        <f>IF(AND(N(F326)&gt;0,N(I326)&gt;0),I326-F326-IF(N(G326)&gt;0,0.5,0)-IF(N(H326)&gt;0,0.5,0),0)</f>
        <v/>
      </c>
      <c r="K326" s="5" t="n"/>
      <c r="L326" s="7">
        <f>MIN(J326,8.0)</f>
        <v/>
      </c>
      <c r="M326" s="7">
        <f>MAX(0,MIN(J326,12)-8.0)</f>
        <v/>
      </c>
      <c r="N326" s="7">
        <f>MAX(0,J326-12)</f>
        <v/>
      </c>
      <c r="O326" s="5" t="n"/>
      <c r="P326" s="6">
        <f>E326*(L326+M326*1.5+N326*2+O326*3+N(K326))</f>
        <v/>
      </c>
      <c r="Q326" s="6" t="n">
        <v>501.58</v>
      </c>
      <c r="R326" s="6">
        <f>Q326-P326</f>
        <v/>
      </c>
    </row>
    <row r="327">
      <c r="A327" s="5" t="inlineStr">
        <is>
          <t>3503</t>
        </is>
      </c>
      <c r="B327" s="5" t="inlineStr">
        <is>
          <t>Kaiser Clark</t>
        </is>
      </c>
      <c r="C327" s="5" t="inlineStr">
        <is>
          <t>CSETDECTRUCKDRIVER#1</t>
        </is>
      </c>
      <c r="D327" s="5" t="inlineStr"/>
      <c r="E327" s="6" t="n">
        <v>32.36</v>
      </c>
      <c r="F327" s="5" t="n"/>
      <c r="G327" s="5" t="n"/>
      <c r="H327" s="5" t="n"/>
      <c r="I327" s="5" t="n"/>
      <c r="J327" s="7">
        <f>IF(AND(N(F327)&gt;0,N(I327)&gt;0),I327-F327-IF(N(G327)&gt;0,0.5,0)-IF(N(H327)&gt;0,0.5,0),0)</f>
        <v/>
      </c>
      <c r="K327" s="5" t="n"/>
      <c r="L327" s="7">
        <f>MIN(J327,8.0)</f>
        <v/>
      </c>
      <c r="M327" s="7">
        <f>MAX(0,MIN(J327,12)-8.0)</f>
        <v/>
      </c>
      <c r="N327" s="7">
        <f>MAX(0,J327-12)</f>
        <v/>
      </c>
      <c r="O327" s="5" t="n"/>
      <c r="P327" s="6">
        <f>E327*(L327+M327*1.5+N327*2+O327*3+N(K327))</f>
        <v/>
      </c>
      <c r="Q327" s="6" t="n">
        <v>501.58</v>
      </c>
      <c r="R327" s="6">
        <f>Q327-P327</f>
        <v/>
      </c>
    </row>
    <row r="328">
      <c r="A328" s="5" t="inlineStr">
        <is>
          <t>3503</t>
        </is>
      </c>
      <c r="B328" s="5" t="inlineStr"/>
      <c r="C328" s="5" t="inlineStr">
        <is>
          <t>C 5-TONENCLOSEDRIGGINGGRIPDRIVER</t>
        </is>
      </c>
      <c r="D328" s="5" t="inlineStr"/>
      <c r="E328" s="6" t="n">
        <v>32.36</v>
      </c>
      <c r="F328" s="5" t="n"/>
      <c r="G328" s="5" t="n"/>
      <c r="H328" s="5" t="n"/>
      <c r="I328" s="5" t="n"/>
      <c r="J328" s="7">
        <f>IF(AND(N(F328)&gt;0,N(I328)&gt;0),I328-F328-IF(N(G328)&gt;0,0.5,0)-IF(N(H328)&gt;0,0.5,0),0)</f>
        <v/>
      </c>
      <c r="K328" s="5" t="n"/>
      <c r="L328" s="7">
        <f>MIN(J328,8.0)</f>
        <v/>
      </c>
      <c r="M328" s="7">
        <f>MAX(0,MIN(J328,12)-8.0)</f>
        <v/>
      </c>
      <c r="N328" s="7">
        <f>MAX(0,J328-12)</f>
        <v/>
      </c>
      <c r="O328" s="5" t="n"/>
      <c r="P328" s="6">
        <f>E328*(L328+M328*1.5+N328*2+O328*3+N(K328))</f>
        <v/>
      </c>
      <c r="Q328" s="5" t="n"/>
      <c r="R328" s="6">
        <f>Q328-P328</f>
        <v/>
      </c>
    </row>
    <row r="329">
      <c r="A329" s="5" t="inlineStr">
        <is>
          <t>3503</t>
        </is>
      </c>
      <c r="B329" s="5" t="inlineStr"/>
      <c r="C329" s="5" t="inlineStr">
        <is>
          <t>SCOUTBUS</t>
        </is>
      </c>
      <c r="D329" s="5" t="inlineStr"/>
      <c r="E329" s="6" t="n">
        <v>32.36</v>
      </c>
      <c r="F329" s="5" t="n"/>
      <c r="G329" s="5" t="n"/>
      <c r="H329" s="5" t="n"/>
      <c r="I329" s="5" t="n"/>
      <c r="J329" s="7">
        <f>IF(AND(N(F329)&gt;0,N(I329)&gt;0),I329-F329-IF(N(G329)&gt;0,0.5,0)-IF(N(H329)&gt;0,0.5,0),0)</f>
        <v/>
      </c>
      <c r="K329" s="5" t="n"/>
      <c r="L329" s="7">
        <f>MIN(J329,8.0)</f>
        <v/>
      </c>
      <c r="M329" s="7">
        <f>MAX(0,MIN(J329,12)-8.0)</f>
        <v/>
      </c>
      <c r="N329" s="7">
        <f>MAX(0,J329-12)</f>
        <v/>
      </c>
      <c r="O329" s="5" t="n"/>
      <c r="P329" s="6">
        <f>E329*(L329+M329*1.5+N329*2+O329*3+N(K329))</f>
        <v/>
      </c>
      <c r="Q329" s="5" t="n"/>
      <c r="R329" s="6">
        <f>Q329-P329</f>
        <v/>
      </c>
    </row>
    <row r="330">
      <c r="A330" s="5" t="inlineStr">
        <is>
          <t>3503</t>
        </is>
      </c>
      <c r="B330" s="5" t="inlineStr"/>
      <c r="C330" s="5" t="inlineStr">
        <is>
          <t>DRIVERMANDAYS</t>
        </is>
      </c>
      <c r="D330" s="5" t="inlineStr"/>
      <c r="E330" s="6" t="n">
        <v>32.36</v>
      </c>
      <c r="F330" s="5" t="n"/>
      <c r="G330" s="5" t="n"/>
      <c r="H330" s="5" t="n"/>
      <c r="I330" s="5" t="n"/>
      <c r="J330" s="7">
        <f>IF(AND(N(F330)&gt;0,N(I330)&gt;0),I330-F330-IF(N(G330)&gt;0,0.5,0)-IF(N(H330)&gt;0,0.5,0),0)</f>
        <v/>
      </c>
      <c r="K330" s="5" t="n"/>
      <c r="L330" s="7">
        <f>MIN(J330,8.0)</f>
        <v/>
      </c>
      <c r="M330" s="7">
        <f>MAX(0,MIN(J330,12)-8.0)</f>
        <v/>
      </c>
      <c r="N330" s="7">
        <f>MAX(0,J330-12)</f>
        <v/>
      </c>
      <c r="O330" s="5" t="n"/>
      <c r="P330" s="6">
        <f>E330*(L330+M330*1.5+N330*2+O330*3+N(K330))</f>
        <v/>
      </c>
      <c r="Q330" s="5" t="n"/>
      <c r="R330" s="6">
        <f>Q330-P330</f>
        <v/>
      </c>
    </row>
    <row r="331">
      <c r="P331" s="2" t="inlineStr">
        <is>
          <t>DRIVERS LABOR</t>
        </is>
      </c>
      <c r="R331" s="8">
        <f>SUM(R319:R330)</f>
        <v/>
      </c>
    </row>
    <row r="333">
      <c r="B333" s="2" t="inlineStr">
        <is>
          <t>LOCATIONSITEFEES</t>
        </is>
      </c>
    </row>
    <row r="334">
      <c r="A334" s="5" t="inlineStr">
        <is>
          <t>3607</t>
        </is>
      </c>
      <c r="B334" s="5" t="inlineStr"/>
      <c r="C334" s="5" t="inlineStr">
        <is>
          <t>Location#1(Hospital ER, LACountry Childrens Shelter, Shelter Dorm, Dept...</t>
        </is>
      </c>
      <c r="D334" s="5" t="inlineStr">
        <is>
          <t>Local400</t>
        </is>
      </c>
      <c r="E334" s="6" t="n">
        <v>50000</v>
      </c>
      <c r="F334" s="5" t="n"/>
      <c r="G334" s="5" t="n"/>
      <c r="H334" s="5" t="n"/>
      <c r="I334" s="5" t="n"/>
      <c r="J334" s="7">
        <f>IF(AND(N(F334)&gt;0,N(I334)&gt;0),I334-F334-IF(N(G334)&gt;0,0.5,0)-IF(N(H334)&gt;0,0.5,0),0)</f>
        <v/>
      </c>
      <c r="K334" s="5" t="n"/>
      <c r="L334" s="7">
        <f>MIN(J334,8.0)</f>
        <v/>
      </c>
      <c r="M334" s="7">
        <f>MAX(0,MIN(J334,12)-8.0)</f>
        <v/>
      </c>
      <c r="N334" s="7">
        <f>MAX(0,J334-12)</f>
        <v/>
      </c>
      <c r="O334" s="5" t="n"/>
      <c r="P334" s="6">
        <f>E334*(L334+M334*1.5+N334*2+O334*3+N(K334))</f>
        <v/>
      </c>
      <c r="Q334" s="6" t="n">
        <v>50000</v>
      </c>
      <c r="R334" s="6">
        <f>Q334-P334</f>
        <v/>
      </c>
    </row>
    <row r="335">
      <c r="P335" s="2" t="inlineStr">
        <is>
          <t>LOCATIONSITEFEES LABOR</t>
        </is>
      </c>
      <c r="R335" s="8">
        <f>SUM(R334:R334)</f>
        <v/>
      </c>
    </row>
    <row r="337">
      <c r="B337" s="2" t="inlineStr">
        <is>
          <t>CATERINGLABOR</t>
        </is>
      </c>
    </row>
    <row r="338">
      <c r="A338" s="5" t="inlineStr">
        <is>
          <t>3621</t>
        </is>
      </c>
      <c r="B338" s="5" t="inlineStr"/>
      <c r="C338" s="5" t="inlineStr">
        <is>
          <t>COOKDRIVER#1</t>
        </is>
      </c>
      <c r="D338" s="5" t="inlineStr">
        <is>
          <t>Local399</t>
        </is>
      </c>
      <c r="E338" s="6" t="n">
        <v>32.36</v>
      </c>
      <c r="F338" s="5" t="n"/>
      <c r="G338" s="5" t="n"/>
      <c r="H338" s="5" t="n"/>
      <c r="I338" s="5" t="n"/>
      <c r="J338" s="7">
        <f>IF(AND(N(F338)&gt;0,N(I338)&gt;0),I338-F338-IF(N(G338)&gt;0,0.5,0)-IF(N(H338)&gt;0,0.5,0),0)</f>
        <v/>
      </c>
      <c r="K338" s="5" t="n"/>
      <c r="L338" s="7">
        <f>MIN(J338,8.0)</f>
        <v/>
      </c>
      <c r="M338" s="7">
        <f>MAX(0,MIN(J338,12)-8.0)</f>
        <v/>
      </c>
      <c r="N338" s="7">
        <f>MAX(0,J338-12)</f>
        <v/>
      </c>
      <c r="O338" s="5" t="n"/>
      <c r="P338" s="6">
        <f>E338*(L338+M338*1.5+N338*2+O338*3+N(K338))</f>
        <v/>
      </c>
      <c r="Q338" s="6" t="n">
        <v>647.2</v>
      </c>
      <c r="R338" s="6">
        <f>Q338-P338</f>
        <v/>
      </c>
    </row>
    <row r="339">
      <c r="A339" s="5" t="inlineStr">
        <is>
          <t>3621</t>
        </is>
      </c>
      <c r="B339" s="5" t="inlineStr"/>
      <c r="C339" s="5" t="inlineStr">
        <is>
          <t>1STASSTCATERER#1</t>
        </is>
      </c>
      <c r="D339" s="5" t="inlineStr"/>
      <c r="E339" s="6" t="n">
        <v>17</v>
      </c>
      <c r="F339" s="5" t="n"/>
      <c r="G339" s="5" t="n"/>
      <c r="H339" s="5" t="n"/>
      <c r="I339" s="5" t="n"/>
      <c r="J339" s="7">
        <f>IF(AND(N(F339)&gt;0,N(I339)&gt;0),I339-F339-IF(N(G339)&gt;0,0.5,0)-IF(N(H339)&gt;0,0.5,0),0)</f>
        <v/>
      </c>
      <c r="K339" s="5" t="n"/>
      <c r="L339" s="7">
        <f>MIN(J339,8.0)</f>
        <v/>
      </c>
      <c r="M339" s="7">
        <f>MAX(0,MIN(J339,12)-8.0)</f>
        <v/>
      </c>
      <c r="N339" s="7">
        <f>MAX(0,J339-12)</f>
        <v/>
      </c>
      <c r="O339" s="5" t="n"/>
      <c r="P339" s="6">
        <f>E339*(L339+M339*1.5+N339*2+O339*3+N(K339))</f>
        <v/>
      </c>
      <c r="Q339" s="6" t="n">
        <v>340</v>
      </c>
      <c r="R339" s="6">
        <f>Q339-P339</f>
        <v/>
      </c>
    </row>
    <row r="340">
      <c r="A340" s="5" t="inlineStr">
        <is>
          <t>3621</t>
        </is>
      </c>
      <c r="B340" s="5" t="inlineStr"/>
      <c r="C340" s="5" t="inlineStr">
        <is>
          <t>1STASSTCATERER#2</t>
        </is>
      </c>
      <c r="D340" s="5" t="inlineStr"/>
      <c r="E340" s="6" t="n">
        <v>16</v>
      </c>
      <c r="F340" s="5" t="n"/>
      <c r="G340" s="5" t="n"/>
      <c r="H340" s="5" t="n"/>
      <c r="I340" s="5" t="n"/>
      <c r="J340" s="7">
        <f>IF(AND(N(F340)&gt;0,N(I340)&gt;0),I340-F340-IF(N(G340)&gt;0,0.5,0)-IF(N(H340)&gt;0,0.5,0),0)</f>
        <v/>
      </c>
      <c r="K340" s="5" t="n"/>
      <c r="L340" s="7">
        <f>MIN(J340,8.0)</f>
        <v/>
      </c>
      <c r="M340" s="7">
        <f>MAX(0,MIN(J340,12)-8.0)</f>
        <v/>
      </c>
      <c r="N340" s="7">
        <f>MAX(0,J340-12)</f>
        <v/>
      </c>
      <c r="O340" s="5" t="n"/>
      <c r="P340" s="6">
        <f>E340*(L340+M340*1.5+N340*2+O340*3+N(K340))</f>
        <v/>
      </c>
      <c r="Q340" s="6" t="n">
        <v>320</v>
      </c>
      <c r="R340" s="6">
        <f>Q340-P340</f>
        <v/>
      </c>
    </row>
    <row r="341">
      <c r="P341" s="2" t="inlineStr">
        <is>
          <t>CATERINGLABOR LABOR</t>
        </is>
      </c>
      <c r="R341" s="8">
        <f>SUM(R338:R340)</f>
        <v/>
      </c>
    </row>
    <row r="343">
      <c r="K343" s="9" t="inlineStr">
        <is>
          <t>TOTAL</t>
        </is>
      </c>
      <c r="P343" s="9" t="inlineStr">
        <is>
          <t>ACTUAL</t>
        </is>
      </c>
      <c r="Q343" s="9" t="inlineStr">
        <is>
          <t>BUDGET</t>
        </is>
      </c>
      <c r="R343" s="9" t="inlineStr">
        <is>
          <t>TOTAL VAR</t>
        </is>
      </c>
    </row>
    <row r="344">
      <c r="P344" s="9" t="inlineStr">
        <is>
          <t>DAY COST</t>
        </is>
      </c>
      <c r="Q344" s="9" t="inlineStr">
        <is>
          <t>DY COST</t>
        </is>
      </c>
      <c r="R344" s="9" t="inlineStr">
        <is>
          <t>(OVER) / UNDER</t>
        </is>
      </c>
    </row>
    <row r="345">
      <c r="P345" s="10">
        <f>SUM(P6:P6)+SUM(P10:P11)+SUM(P15:P17)+SUM(P21:P22)+SUM(P26:P32)+SUM(P36:P36)+SUM(P40:P41)+SUM(P45:P45)+SUM(P49:P49)+SUM(P53:P54)+SUM(P58:P58)+SUM(P62:P62)+SUM(P66:P67)+SUM(P71:P71)+SUM(P75:P75)+SUM(P79:P80)+SUM(P84:P84)+SUM(P88:P88)+SUM(P92:P93)+SUM(P97:P100)+SUM(P104:P104)+SUM(P108:P109)+SUM(P113:P113)+SUM(P117:P117)+SUM(P121:P121)+SUM(P125:P125)+SUM(P129:P130)+SUM(P134:P134)+SUM(P138:P139)+SUM(P143:P145)+SUM(P149:P149)+SUM(P153:P153)+SUM(P157:P158)+SUM(P162:P163)+SUM(P167:P167)+SUM(P171:P173)+SUM(P177:P177)+SUM(P181:P181)+SUM(P185:P187)+SUM(P191:P191)+SUM(P195:P195)+SUM(P199:P199)+SUM(P203:P203)+SUM(P207:P207)+SUM(P211:P211)+SUM(P215:P216)+SUM(P220:P220)+SUM(P224:P224)+SUM(P228:P228)+SUM(P232:P233)+SUM(P237:P237)+SUM(P241:P241)+SUM(P245:P245)+SUM(P249:P249)+SUM(P253:P254)+SUM(P258:P260)+SUM(P264:P264)+SUM(P268:P268)+SUM(P272:P272)+SUM(P276:P276)+SUM(P280:P281)+SUM(P285:P286)+SUM(P290:P290)+SUM(P294:P294)+SUM(P298:P298)+SUM(P302:P302)+SUM(P306:P306)+SUM(P310:P310)+SUM(P314:P315)+SUM(P319:P330)+SUM(P334:P334)+SUM(P338:P340)</f>
        <v/>
      </c>
      <c r="Q345" s="10">
        <f>SUM(Q6:Q6)+SUM(Q10:Q11)+SUM(Q15:Q17)+SUM(Q21:Q22)+SUM(Q26:Q32)+SUM(Q36:Q36)+SUM(Q40:Q41)+SUM(Q45:Q45)+SUM(Q49:Q49)+SUM(Q53:Q54)+SUM(Q58:Q58)+SUM(Q62:Q62)+SUM(Q66:Q67)+SUM(Q71:Q71)+SUM(Q75:Q75)+SUM(Q79:Q80)+SUM(Q84:Q84)+SUM(Q88:Q88)+SUM(Q92:Q93)+SUM(Q97:Q100)+SUM(Q104:Q104)+SUM(Q108:Q109)+SUM(Q113:Q113)+SUM(Q117:Q117)+SUM(Q121:Q121)+SUM(Q125:Q125)+SUM(Q129:Q130)+SUM(Q134:Q134)+SUM(Q138:Q139)+SUM(Q143:Q145)+SUM(Q149:Q149)+SUM(Q153:Q153)+SUM(Q157:Q158)+SUM(Q162:Q163)+SUM(Q167:Q167)+SUM(Q171:Q173)+SUM(Q177:Q177)+SUM(Q181:Q181)+SUM(Q185:Q187)+SUM(Q191:Q191)+SUM(Q195:Q195)+SUM(Q199:Q199)+SUM(Q203:Q203)+SUM(Q207:Q207)+SUM(Q211:Q211)+SUM(Q215:Q216)+SUM(Q220:Q220)+SUM(Q224:Q224)+SUM(Q228:Q228)+SUM(Q232:Q233)+SUM(Q237:Q237)+SUM(Q241:Q241)+SUM(Q245:Q245)+SUM(Q249:Q249)+SUM(Q253:Q254)+SUM(Q258:Q260)+SUM(Q264:Q264)+SUM(Q268:Q268)+SUM(Q272:Q272)+SUM(Q276:Q276)+SUM(Q280:Q281)+SUM(Q285:Q286)+SUM(Q290:Q290)+SUM(Q294:Q294)+SUM(Q298:Q298)+SUM(Q302:Q302)+SUM(Q306:Q306)+SUM(Q310:Q310)+SUM(Q314:Q315)+SUM(Q319:Q330)+SUM(Q334:Q334)+SUM(Q338:Q340)</f>
        <v/>
      </c>
      <c r="R345" s="10">
        <f>SUM(R6:R6)+SUM(R10:R11)+SUM(R15:R17)+SUM(R21:R22)+SUM(R26:R32)+SUM(R36:R36)+SUM(R40:R41)+SUM(R45:R45)+SUM(R49:R49)+SUM(R53:R54)+SUM(R58:R58)+SUM(R62:R62)+SUM(R66:R67)+SUM(R71:R71)+SUM(R75:R75)+SUM(R79:R80)+SUM(R84:R84)+SUM(R88:R88)+SUM(R92:R93)+SUM(R97:R100)+SUM(R104:R104)+SUM(R108:R109)+SUM(R113:R113)+SUM(R117:R117)+SUM(R121:R121)+SUM(R125:R125)+SUM(R129:R130)+SUM(R134:R134)+SUM(R138:R139)+SUM(R143:R145)+SUM(R149:R149)+SUM(R153:R153)+SUM(R157:R158)+SUM(R162:R163)+SUM(R167:R167)+SUM(R171:R173)+SUM(R177:R177)+SUM(R181:R181)+SUM(R185:R187)+SUM(R191:R191)+SUM(R195:R195)+SUM(R199:R199)+SUM(R203:R203)+SUM(R207:R207)+SUM(R211:R211)+SUM(R215:R216)+SUM(R220:R220)+SUM(R224:R224)+SUM(R228:R228)+SUM(R232:R233)+SUM(R237:R237)+SUM(R241:R241)+SUM(R245:R245)+SUM(R249:R249)+SUM(R253:R254)+SUM(R258:R260)+SUM(R264:R264)+SUM(R268:R268)+SUM(R272:R272)+SUM(R276:R276)+SUM(R280:R281)+SUM(R285:R286)+SUM(R290:R290)+SUM(R294:R294)+SUM(R298:R298)+SUM(R302:R302)+SUM(R306:R306)+SUM(R310:R310)+SUM(R314:R315)+SUM(R319:R330)+SUM(R334:R334)+SUM(R338:R340)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4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20" customWidth="1" min="3" max="3"/>
    <col width="9" customWidth="1" min="4" max="4"/>
    <col width="9" customWidth="1" min="5" max="5"/>
    <col width="7" customWidth="1" min="6" max="6"/>
    <col width="7" customWidth="1" min="7" max="7"/>
    <col width="8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12" customWidth="1" min="16" max="16"/>
    <col width="13" customWidth="1" min="17" max="17"/>
    <col width="14" customWidth="1" min="18" max="18"/>
  </cols>
  <sheetData>
    <row r="1">
      <c r="A1" s="1" t="inlineStr">
        <is>
          <t>HOT COST</t>
        </is>
      </c>
      <c r="C1" t="inlineStr">
        <is>
          <t>Wednesday 18 Oct 2017</t>
        </is>
      </c>
      <c r="F1" s="2" t="inlineStr">
        <is>
          <t>DAY #3</t>
        </is>
      </c>
    </row>
    <row r="2">
      <c r="A2" s="3" t="inlineStr">
        <is>
          <t>enter CALL, LUNCH, WRAP as decimal hours (e.g. 7.5) — everything right of WRAP computes</t>
        </is>
      </c>
    </row>
    <row r="4">
      <c r="A4" s="4" t="inlineStr">
        <is>
          <t>ACCT</t>
        </is>
      </c>
      <c r="B4" s="4" t="inlineStr">
        <is>
          <t>NAME</t>
        </is>
      </c>
      <c r="C4" s="4" t="inlineStr">
        <is>
          <t>POSITION</t>
        </is>
      </c>
      <c r="D4" s="4" t="inlineStr">
        <is>
          <t>UNION</t>
        </is>
      </c>
      <c r="E4" s="4" t="inlineStr">
        <is>
          <t>RATE</t>
        </is>
      </c>
      <c r="F4" s="4" t="inlineStr">
        <is>
          <t>CALL</t>
        </is>
      </c>
      <c r="G4" s="4" t="inlineStr">
        <is>
          <t>LUNCH</t>
        </is>
      </c>
      <c r="H4" s="4" t="inlineStr">
        <is>
          <t>LUNCH 2</t>
        </is>
      </c>
      <c r="I4" s="4" t="inlineStr">
        <is>
          <t>WRAP</t>
        </is>
      </c>
      <c r="J4" s="4" t="inlineStr">
        <is>
          <t>HRS</t>
        </is>
      </c>
      <c r="K4" s="4" t="inlineStr">
        <is>
          <t>MP'S</t>
        </is>
      </c>
      <c r="L4" s="4" t="inlineStr">
        <is>
          <t>ST</t>
        </is>
      </c>
      <c r="M4" s="4" t="inlineStr">
        <is>
          <t>1.5X</t>
        </is>
      </c>
      <c r="N4" s="4" t="inlineStr">
        <is>
          <t>2X</t>
        </is>
      </c>
      <c r="O4" s="4" t="inlineStr">
        <is>
          <t>3X</t>
        </is>
      </c>
      <c r="P4" s="4" t="inlineStr">
        <is>
          <t>TOTAL / DAY</t>
        </is>
      </c>
      <c r="Q4" s="4" t="inlineStr">
        <is>
          <t>BUDGET / DAY</t>
        </is>
      </c>
      <c r="R4" s="4" t="inlineStr">
        <is>
          <t>(OVER) / UNDER</t>
        </is>
      </c>
    </row>
    <row r="5">
      <c r="B5" s="2" t="inlineStr">
        <is>
          <t>LEAD#</t>
        </is>
      </c>
    </row>
    <row r="6">
      <c r="A6" s="5" t="inlineStr">
        <is>
          <t>1401</t>
        </is>
      </c>
      <c r="B6" s="5" t="inlineStr">
        <is>
          <t>Linda Cardellini</t>
        </is>
      </c>
      <c r="C6" s="5" t="inlineStr">
        <is>
          <t>"ANNA"</t>
        </is>
      </c>
      <c r="D6" s="5" t="inlineStr"/>
      <c r="E6" s="6" t="n">
        <v>1211.8</v>
      </c>
      <c r="F6" s="5" t="n"/>
      <c r="G6" s="5" t="n"/>
      <c r="H6" s="5" t="n"/>
      <c r="I6" s="5" t="n"/>
      <c r="J6" s="7">
        <f>IF(AND(N(F6)&gt;0,N(I6)&gt;0),I6-F6-IF(N(G6)&gt;0,0.5,0)-IF(N(H6)&gt;0,0.5,0),0)</f>
        <v/>
      </c>
      <c r="K6" s="5" t="n"/>
      <c r="L6" s="7">
        <f>MIN(J6,8.0)</f>
        <v/>
      </c>
      <c r="M6" s="7">
        <f>MAX(0,MIN(J6,12)-8.0)</f>
        <v/>
      </c>
      <c r="N6" s="7">
        <f>MAX(0,J6-12)</f>
        <v/>
      </c>
      <c r="O6" s="5" t="n"/>
      <c r="P6" s="6">
        <f>E6*(L6+M6*1.5+N6*2+O6*3+N(K6))</f>
        <v/>
      </c>
      <c r="Q6" s="6" t="n">
        <v>1211.8</v>
      </c>
      <c r="R6" s="6">
        <f>Q6-P6</f>
        <v/>
      </c>
    </row>
    <row r="7">
      <c r="P7" s="2" t="inlineStr">
        <is>
          <t>LEAD# LABOR</t>
        </is>
      </c>
      <c r="R7" s="8">
        <f>SUM(R6:R6)</f>
        <v/>
      </c>
    </row>
    <row r="9">
      <c r="B9" s="2" t="inlineStr">
        <is>
          <t>LEAD#2&amp;#</t>
        </is>
      </c>
    </row>
    <row r="10">
      <c r="A10" s="5" t="inlineStr">
        <is>
          <t>1402</t>
        </is>
      </c>
      <c r="B10" s="5" t="inlineStr">
        <is>
          <t>Roman Christou</t>
        </is>
      </c>
      <c r="C10" s="5" t="inlineStr">
        <is>
          <t>"CHRIS"(Minor)</t>
        </is>
      </c>
      <c r="D10" s="5" t="inlineStr"/>
      <c r="E10" s="6" t="n">
        <v>755.4</v>
      </c>
      <c r="F10" s="5" t="n"/>
      <c r="G10" s="5" t="n"/>
      <c r="H10" s="5" t="n"/>
      <c r="I10" s="5" t="n"/>
      <c r="J10" s="7">
        <f>IF(AND(N(F10)&gt;0,N(I10)&gt;0),I10-F10-IF(N(G10)&gt;0,0.5,0)-IF(N(H10)&gt;0,0.5,0),0)</f>
        <v/>
      </c>
      <c r="K10" s="5" t="n"/>
      <c r="L10" s="7">
        <f>MIN(J10,8.0)</f>
        <v/>
      </c>
      <c r="M10" s="7">
        <f>MAX(0,MIN(J10,12)-8.0)</f>
        <v/>
      </c>
      <c r="N10" s="7">
        <f>MAX(0,J10-12)</f>
        <v/>
      </c>
      <c r="O10" s="5" t="n"/>
      <c r="P10" s="6">
        <f>E10*(L10+M10*1.5+N10*2+O10*3+N(K10))</f>
        <v/>
      </c>
      <c r="Q10" s="6" t="n">
        <v>755.4</v>
      </c>
      <c r="R10" s="6">
        <f>Q10-P10</f>
        <v/>
      </c>
    </row>
    <row r="11">
      <c r="A11" s="5" t="inlineStr">
        <is>
          <t>1402</t>
        </is>
      </c>
      <c r="B11" s="5" t="inlineStr">
        <is>
          <t>Jaynee Lynee Kinchen</t>
        </is>
      </c>
      <c r="C11" s="5" t="inlineStr">
        <is>
          <t>"SAMANTHA"(Minor)</t>
        </is>
      </c>
      <c r="D11" s="5" t="inlineStr"/>
      <c r="E11" s="6" t="n">
        <v>755.4</v>
      </c>
      <c r="F11" s="5" t="n"/>
      <c r="G11" s="5" t="n"/>
      <c r="H11" s="5" t="n"/>
      <c r="I11" s="5" t="n"/>
      <c r="J11" s="7">
        <f>IF(AND(N(F11)&gt;0,N(I11)&gt;0),I11-F11-IF(N(G11)&gt;0,0.5,0)-IF(N(H11)&gt;0,0.5,0),0)</f>
        <v/>
      </c>
      <c r="K11" s="5" t="n"/>
      <c r="L11" s="7">
        <f>MIN(J11,8.0)</f>
        <v/>
      </c>
      <c r="M11" s="7">
        <f>MAX(0,MIN(J11,12)-8.0)</f>
        <v/>
      </c>
      <c r="N11" s="7">
        <f>MAX(0,J11-12)</f>
        <v/>
      </c>
      <c r="O11" s="5" t="n"/>
      <c r="P11" s="6">
        <f>E11*(L11+M11*1.5+N11*2+O11*3+N(K11))</f>
        <v/>
      </c>
      <c r="Q11" s="6" t="n">
        <v>755.4</v>
      </c>
      <c r="R11" s="6">
        <f>Q11-P11</f>
        <v/>
      </c>
    </row>
    <row r="12">
      <c r="P12" s="2" t="inlineStr">
        <is>
          <t>LEAD#2&amp;# LABOR</t>
        </is>
      </c>
      <c r="R12" s="8">
        <f>SUM(R10:R11)</f>
        <v/>
      </c>
    </row>
    <row r="14">
      <c r="B14" s="2" t="inlineStr">
        <is>
          <t>OTHERLEADCAST</t>
        </is>
      </c>
    </row>
    <row r="15">
      <c r="A15" s="5" t="inlineStr">
        <is>
          <t>1403</t>
        </is>
      </c>
      <c r="B15" s="5" t="inlineStr">
        <is>
          <t>Raymond Cruz</t>
        </is>
      </c>
      <c r="C15" s="5" t="inlineStr">
        <is>
          <t>"RAFAELOLVERA"</t>
        </is>
      </c>
      <c r="D15" s="5" t="inlineStr"/>
      <c r="E15" s="6" t="n">
        <v>1211.8</v>
      </c>
      <c r="F15" s="5" t="n"/>
      <c r="G15" s="5" t="n"/>
      <c r="H15" s="5" t="n"/>
      <c r="I15" s="5" t="n"/>
      <c r="J15" s="7">
        <f>IF(AND(N(F15)&gt;0,N(I15)&gt;0),I15-F15-IF(N(G15)&gt;0,0.5,0)-IF(N(H15)&gt;0,0.5,0),0)</f>
        <v/>
      </c>
      <c r="K15" s="5" t="n"/>
      <c r="L15" s="7">
        <f>MIN(J15,8.0)</f>
        <v/>
      </c>
      <c r="M15" s="7">
        <f>MAX(0,MIN(J15,12)-8.0)</f>
        <v/>
      </c>
      <c r="N15" s="7">
        <f>MAX(0,J15-12)</f>
        <v/>
      </c>
      <c r="O15" s="5" t="n"/>
      <c r="P15" s="6">
        <f>E15*(L15+M15*1.5+N15*2+O15*3+N(K15))</f>
        <v/>
      </c>
      <c r="Q15" s="6" t="n">
        <v>1211.8</v>
      </c>
      <c r="R15" s="6">
        <f>Q15-P15</f>
        <v/>
      </c>
    </row>
    <row r="16">
      <c r="A16" s="5" t="inlineStr">
        <is>
          <t>1403</t>
        </is>
      </c>
      <c r="B16" s="5" t="inlineStr">
        <is>
          <t>Marisol Ramirez</t>
        </is>
      </c>
      <c r="C16" s="5" t="inlineStr">
        <is>
          <t>"LALLORONA"</t>
        </is>
      </c>
      <c r="D16" s="5" t="inlineStr"/>
      <c r="E16" s="6" t="n">
        <v>1211.8</v>
      </c>
      <c r="F16" s="5" t="n"/>
      <c r="G16" s="5" t="n"/>
      <c r="H16" s="5" t="n"/>
      <c r="I16" s="5" t="n"/>
      <c r="J16" s="7">
        <f>IF(AND(N(F16)&gt;0,N(I16)&gt;0),I16-F16-IF(N(G16)&gt;0,0.5,0)-IF(N(H16)&gt;0,0.5,0),0)</f>
        <v/>
      </c>
      <c r="K16" s="5" t="n"/>
      <c r="L16" s="7">
        <f>MIN(J16,8.0)</f>
        <v/>
      </c>
      <c r="M16" s="7">
        <f>MAX(0,MIN(J16,12)-8.0)</f>
        <v/>
      </c>
      <c r="N16" s="7">
        <f>MAX(0,J16-12)</f>
        <v/>
      </c>
      <c r="O16" s="5" t="n"/>
      <c r="P16" s="6">
        <f>E16*(L16+M16*1.5+N16*2+O16*3+N(K16))</f>
        <v/>
      </c>
      <c r="Q16" s="6" t="n">
        <v>1211.8</v>
      </c>
      <c r="R16" s="6">
        <f>Q16-P16</f>
        <v/>
      </c>
    </row>
    <row r="17">
      <c r="A17" s="5" t="inlineStr">
        <is>
          <t>1403</t>
        </is>
      </c>
      <c r="B17" s="5" t="inlineStr">
        <is>
          <t>Patrica Velasquez</t>
        </is>
      </c>
      <c r="C17" s="5" t="inlineStr">
        <is>
          <t>"PATRICIA"</t>
        </is>
      </c>
      <c r="D17" s="5" t="inlineStr"/>
      <c r="E17" s="6" t="n">
        <v>1972</v>
      </c>
      <c r="F17" s="5" t="n"/>
      <c r="G17" s="5" t="n"/>
      <c r="H17" s="5" t="n"/>
      <c r="I17" s="5" t="n"/>
      <c r="J17" s="7">
        <f>IF(AND(N(F17)&gt;0,N(I17)&gt;0),I17-F17-IF(N(G17)&gt;0,0.5,0)-IF(N(H17)&gt;0,0.5,0),0)</f>
        <v/>
      </c>
      <c r="K17" s="5" t="n"/>
      <c r="L17" s="7">
        <f>MIN(J17,8.0)</f>
        <v/>
      </c>
      <c r="M17" s="7">
        <f>MAX(0,MIN(J17,12)-8.0)</f>
        <v/>
      </c>
      <c r="N17" s="7">
        <f>MAX(0,J17-12)</f>
        <v/>
      </c>
      <c r="O17" s="5" t="n"/>
      <c r="P17" s="6">
        <f>E17*(L17+M17*1.5+N17*2+O17*3+N(K17))</f>
        <v/>
      </c>
      <c r="Q17" s="6" t="n">
        <v>1972</v>
      </c>
      <c r="R17" s="6">
        <f>Q17-P17</f>
        <v/>
      </c>
    </row>
    <row r="18">
      <c r="P18" s="2" t="inlineStr">
        <is>
          <t>OTHERLEADCAST LABOR</t>
        </is>
      </c>
      <c r="R18" s="8">
        <f>SUM(R15:R17)</f>
        <v/>
      </c>
    </row>
    <row r="20">
      <c r="B20" s="2" t="inlineStr">
        <is>
          <t>SUPPORTINGCAST</t>
        </is>
      </c>
    </row>
    <row r="21">
      <c r="A21" s="5" t="inlineStr">
        <is>
          <t>1404</t>
        </is>
      </c>
      <c r="B21" s="5" t="inlineStr">
        <is>
          <t>Sean Patrick Thomas</t>
        </is>
      </c>
      <c r="C21" s="5" t="inlineStr">
        <is>
          <t>DETCOOPER</t>
        </is>
      </c>
      <c r="D21" s="5" t="inlineStr"/>
      <c r="E21" s="6" t="n">
        <v>1211.8</v>
      </c>
      <c r="F21" s="5" t="n"/>
      <c r="G21" s="5" t="n"/>
      <c r="H21" s="5" t="n"/>
      <c r="I21" s="5" t="n"/>
      <c r="J21" s="7">
        <f>IF(AND(N(F21)&gt;0,N(I21)&gt;0),I21-F21-IF(N(G21)&gt;0,0.5,0)-IF(N(H21)&gt;0,0.5,0),0)</f>
        <v/>
      </c>
      <c r="K21" s="5" t="n"/>
      <c r="L21" s="7">
        <f>MIN(J21,8.0)</f>
        <v/>
      </c>
      <c r="M21" s="7">
        <f>MAX(0,MIN(J21,12)-8.0)</f>
        <v/>
      </c>
      <c r="N21" s="7">
        <f>MAX(0,J21-12)</f>
        <v/>
      </c>
      <c r="O21" s="5" t="n"/>
      <c r="P21" s="6">
        <f>E21*(L21+M21*1.5+N21*2+O21*3+N(K21))</f>
        <v/>
      </c>
      <c r="Q21" s="6" t="n">
        <v>1211.8</v>
      </c>
      <c r="R21" s="6">
        <f>Q21-P21</f>
        <v/>
      </c>
    </row>
    <row r="22">
      <c r="A22" s="5" t="inlineStr">
        <is>
          <t>1404</t>
        </is>
      </c>
      <c r="B22" s="5" t="inlineStr">
        <is>
          <t>Tony Amendola</t>
        </is>
      </c>
      <c r="C22" s="5" t="inlineStr">
        <is>
          <t>"FATHERPEREZ"</t>
        </is>
      </c>
      <c r="D22" s="5" t="inlineStr"/>
      <c r="E22" s="6" t="n">
        <v>1972</v>
      </c>
      <c r="F22" s="5" t="n"/>
      <c r="G22" s="5" t="n"/>
      <c r="H22" s="5" t="n"/>
      <c r="I22" s="5" t="n"/>
      <c r="J22" s="7">
        <f>IF(AND(N(F22)&gt;0,N(I22)&gt;0),I22-F22-IF(N(G22)&gt;0,0.5,0)-IF(N(H22)&gt;0,0.5,0),0)</f>
        <v/>
      </c>
      <c r="K22" s="5" t="n"/>
      <c r="L22" s="7">
        <f>MIN(J22,8.0)</f>
        <v/>
      </c>
      <c r="M22" s="7">
        <f>MAX(0,MIN(J22,12)-8.0)</f>
        <v/>
      </c>
      <c r="N22" s="7">
        <f>MAX(0,J22-12)</f>
        <v/>
      </c>
      <c r="O22" s="5" t="n"/>
      <c r="P22" s="6">
        <f>E22*(L22+M22*1.5+N22*2+O22*3+N(K22))</f>
        <v/>
      </c>
      <c r="Q22" s="6" t="n">
        <v>1972</v>
      </c>
      <c r="R22" s="6">
        <f>Q22-P22</f>
        <v/>
      </c>
    </row>
    <row r="23">
      <c r="P23" s="2" t="inlineStr">
        <is>
          <t>SUPPORTINGCAST LABOR</t>
        </is>
      </c>
      <c r="R23" s="8">
        <f>SUM(R21:R22)</f>
        <v/>
      </c>
    </row>
    <row r="25">
      <c r="B25" s="2" t="inlineStr">
        <is>
          <t>DAYPLAYERS</t>
        </is>
      </c>
    </row>
    <row r="26">
      <c r="A26" s="5" t="inlineStr">
        <is>
          <t>1405</t>
        </is>
      </c>
      <c r="B26" s="5" t="inlineStr">
        <is>
          <t>Kristy Keng(Drop/Pickup)</t>
        </is>
      </c>
      <c r="C26" s="5" t="inlineStr">
        <is>
          <t>"DONNA"</t>
        </is>
      </c>
      <c r="D26" s="5" t="inlineStr"/>
      <c r="E26" s="6" t="n">
        <v>1972</v>
      </c>
      <c r="F26" s="5" t="n"/>
      <c r="G26" s="5" t="n"/>
      <c r="H26" s="5" t="n"/>
      <c r="I26" s="5" t="n"/>
      <c r="J26" s="7">
        <f>IF(AND(N(F26)&gt;0,N(I26)&gt;0),I26-F26-IF(N(G26)&gt;0,0.5,0)-IF(N(H26)&gt;0,0.5,0),0)</f>
        <v/>
      </c>
      <c r="K26" s="5" t="n"/>
      <c r="L26" s="7">
        <f>MIN(J26,8.0)</f>
        <v/>
      </c>
      <c r="M26" s="7">
        <f>MAX(0,MIN(J26,12)-8.0)</f>
        <v/>
      </c>
      <c r="N26" s="7">
        <f>MAX(0,J26-12)</f>
        <v/>
      </c>
      <c r="O26" s="5" t="n"/>
      <c r="P26" s="6">
        <f>E26*(L26+M26*1.5+N26*2+O26*3+N(K26))</f>
        <v/>
      </c>
      <c r="Q26" s="6" t="n">
        <v>1972</v>
      </c>
      <c r="R26" s="6">
        <f>Q26-P26</f>
        <v/>
      </c>
    </row>
    <row r="27">
      <c r="A27" s="5" t="inlineStr">
        <is>
          <t>1405</t>
        </is>
      </c>
      <c r="B27" s="5" t="inlineStr">
        <is>
          <t>Oliver Alexander</t>
        </is>
      </c>
      <c r="C27" s="5" t="inlineStr">
        <is>
          <t>"CARLOS"(Minor)</t>
        </is>
      </c>
      <c r="D27" s="5" t="inlineStr"/>
      <c r="E27" s="6" t="n">
        <v>1249</v>
      </c>
      <c r="F27" s="5" t="n"/>
      <c r="G27" s="5" t="n"/>
      <c r="H27" s="5" t="n"/>
      <c r="I27" s="5" t="n"/>
      <c r="J27" s="7">
        <f>IF(AND(N(F27)&gt;0,N(I27)&gt;0),I27-F27-IF(N(G27)&gt;0,0.5,0)-IF(N(H27)&gt;0,0.5,0),0)</f>
        <v/>
      </c>
      <c r="K27" s="5" t="n"/>
      <c r="L27" s="7">
        <f>MIN(J27,8.0)</f>
        <v/>
      </c>
      <c r="M27" s="7">
        <f>MAX(0,MIN(J27,12)-8.0)</f>
        <v/>
      </c>
      <c r="N27" s="7">
        <f>MAX(0,J27-12)</f>
        <v/>
      </c>
      <c r="O27" s="5" t="n"/>
      <c r="P27" s="6">
        <f>E27*(L27+M27*1.5+N27*2+O27*3+N(K27))</f>
        <v/>
      </c>
      <c r="Q27" s="6" t="n">
        <v>1249</v>
      </c>
      <c r="R27" s="6">
        <f>Q27-P27</f>
        <v/>
      </c>
    </row>
    <row r="28">
      <c r="A28" s="5" t="inlineStr">
        <is>
          <t>1405</t>
        </is>
      </c>
      <c r="B28" s="5" t="inlineStr">
        <is>
          <t>Adam Lewandowski</t>
        </is>
      </c>
      <c r="C28" s="5" t="inlineStr">
        <is>
          <t>"TOMAS"(Minor)</t>
        </is>
      </c>
      <c r="D28" s="5" t="inlineStr"/>
      <c r="E28" s="6" t="n">
        <v>1249</v>
      </c>
      <c r="F28" s="5" t="n"/>
      <c r="G28" s="5" t="n"/>
      <c r="H28" s="5" t="n"/>
      <c r="I28" s="5" t="n"/>
      <c r="J28" s="7">
        <f>IF(AND(N(F28)&gt;0,N(I28)&gt;0),I28-F28-IF(N(G28)&gt;0,0.5,0)-IF(N(H28)&gt;0,0.5,0),0)</f>
        <v/>
      </c>
      <c r="K28" s="5" t="n"/>
      <c r="L28" s="7">
        <f>MIN(J28,8.0)</f>
        <v/>
      </c>
      <c r="M28" s="7">
        <f>MAX(0,MIN(J28,12)-8.0)</f>
        <v/>
      </c>
      <c r="N28" s="7">
        <f>MAX(0,J28-12)</f>
        <v/>
      </c>
      <c r="O28" s="5" t="n"/>
      <c r="P28" s="6">
        <f>E28*(L28+M28*1.5+N28*2+O28*3+N(K28))</f>
        <v/>
      </c>
      <c r="Q28" s="6" t="n">
        <v>1249</v>
      </c>
      <c r="R28" s="6">
        <f>Q28-P28</f>
        <v/>
      </c>
    </row>
    <row r="29">
      <c r="A29" s="5" t="inlineStr">
        <is>
          <t>1405</t>
        </is>
      </c>
      <c r="B29" s="5" t="inlineStr">
        <is>
          <t>Paul Rodriquez Jr.</t>
        </is>
      </c>
      <c r="C29" s="5" t="inlineStr">
        <is>
          <t>"OFFICERCLARO"</t>
        </is>
      </c>
      <c r="D29" s="5" t="inlineStr"/>
      <c r="E29" s="6" t="n">
        <v>1972</v>
      </c>
      <c r="F29" s="5" t="n"/>
      <c r="G29" s="5" t="n"/>
      <c r="H29" s="5" t="n"/>
      <c r="I29" s="5" t="n"/>
      <c r="J29" s="7">
        <f>IF(AND(N(F29)&gt;0,N(I29)&gt;0),I29-F29-IF(N(G29)&gt;0,0.5,0)-IF(N(H29)&gt;0,0.5,0),0)</f>
        <v/>
      </c>
      <c r="K29" s="5" t="n"/>
      <c r="L29" s="7">
        <f>MIN(J29,8.0)</f>
        <v/>
      </c>
      <c r="M29" s="7">
        <f>MAX(0,MIN(J29,12)-8.0)</f>
        <v/>
      </c>
      <c r="N29" s="7">
        <f>MAX(0,J29-12)</f>
        <v/>
      </c>
      <c r="O29" s="5" t="n"/>
      <c r="P29" s="6">
        <f>E29*(L29+M29*1.5+N29*2+O29*3+N(K29))</f>
        <v/>
      </c>
      <c r="Q29" s="6" t="n">
        <v>1972</v>
      </c>
      <c r="R29" s="6">
        <f>Q29-P29</f>
        <v/>
      </c>
    </row>
    <row r="30">
      <c r="A30" s="5" t="inlineStr">
        <is>
          <t>1405</t>
        </is>
      </c>
      <c r="B30" s="5" t="inlineStr">
        <is>
          <t>Sophia Santi</t>
        </is>
      </c>
      <c r="C30" s="5" t="inlineStr">
        <is>
          <t>"FEMALECUSTOMER"</t>
        </is>
      </c>
      <c r="D30" s="5" t="inlineStr"/>
      <c r="E30" s="6" t="n">
        <v>1972</v>
      </c>
      <c r="F30" s="5" t="n"/>
      <c r="G30" s="5" t="n"/>
      <c r="H30" s="5" t="n"/>
      <c r="I30" s="5" t="n"/>
      <c r="J30" s="7">
        <f>IF(AND(N(F30)&gt;0,N(I30)&gt;0),I30-F30-IF(N(G30)&gt;0,0.5,0)-IF(N(H30)&gt;0,0.5,0),0)</f>
        <v/>
      </c>
      <c r="K30" s="5" t="n"/>
      <c r="L30" s="7">
        <f>MIN(J30,8.0)</f>
        <v/>
      </c>
      <c r="M30" s="7">
        <f>MAX(0,MIN(J30,12)-8.0)</f>
        <v/>
      </c>
      <c r="N30" s="7">
        <f>MAX(0,J30-12)</f>
        <v/>
      </c>
      <c r="O30" s="5" t="n"/>
      <c r="P30" s="6">
        <f>E30*(L30+M30*1.5+N30*2+O30*3+N(K30))</f>
        <v/>
      </c>
      <c r="Q30" s="6" t="n">
        <v>1972</v>
      </c>
      <c r="R30" s="6">
        <f>Q30-P30</f>
        <v/>
      </c>
    </row>
    <row r="31">
      <c r="A31" s="5" t="inlineStr">
        <is>
          <t>1405</t>
        </is>
      </c>
      <c r="B31" s="5" t="inlineStr">
        <is>
          <t>John Marshall Jones</t>
        </is>
      </c>
      <c r="C31" s="5" t="inlineStr">
        <is>
          <t>"MRHANKINS"</t>
        </is>
      </c>
      <c r="D31" s="5" t="inlineStr"/>
      <c r="E31" s="6" t="n">
        <v>1972</v>
      </c>
      <c r="F31" s="5" t="n"/>
      <c r="G31" s="5" t="n"/>
      <c r="H31" s="5" t="n"/>
      <c r="I31" s="5" t="n"/>
      <c r="J31" s="7">
        <f>IF(AND(N(F31)&gt;0,N(I31)&gt;0),I31-F31-IF(N(G31)&gt;0,0.5,0)-IF(N(H31)&gt;0,0.5,0),0)</f>
        <v/>
      </c>
      <c r="K31" s="5" t="n"/>
      <c r="L31" s="7">
        <f>MIN(J31,8.0)</f>
        <v/>
      </c>
      <c r="M31" s="7">
        <f>MAX(0,MIN(J31,12)-8.0)</f>
        <v/>
      </c>
      <c r="N31" s="7">
        <f>MAX(0,J31-12)</f>
        <v/>
      </c>
      <c r="O31" s="5" t="n"/>
      <c r="P31" s="6">
        <f>E31*(L31+M31*1.5+N31*2+O31*3+N(K31))</f>
        <v/>
      </c>
      <c r="Q31" s="6" t="n">
        <v>1972</v>
      </c>
      <c r="R31" s="6">
        <f>Q31-P31</f>
        <v/>
      </c>
    </row>
    <row r="32">
      <c r="A32" s="5" t="inlineStr">
        <is>
          <t>1405</t>
        </is>
      </c>
      <c r="B32" s="5" t="inlineStr">
        <is>
          <t>Madeleine Mcgraw</t>
        </is>
      </c>
      <c r="C32" s="5" t="inlineStr">
        <is>
          <t>"APRIL"(Minor)</t>
        </is>
      </c>
      <c r="D32" s="5" t="inlineStr"/>
      <c r="E32" s="6" t="n">
        <v>1249</v>
      </c>
      <c r="F32" s="5" t="n"/>
      <c r="G32" s="5" t="n"/>
      <c r="H32" s="5" t="n"/>
      <c r="I32" s="5" t="n"/>
      <c r="J32" s="7">
        <f>IF(AND(N(F32)&gt;0,N(I32)&gt;0),I32-F32-IF(N(G32)&gt;0,0.5,0)-IF(N(H32)&gt;0,0.5,0),0)</f>
        <v/>
      </c>
      <c r="K32" s="5" t="n"/>
      <c r="L32" s="7">
        <f>MIN(J32,8.0)</f>
        <v/>
      </c>
      <c r="M32" s="7">
        <f>MAX(0,MIN(J32,12)-8.0)</f>
        <v/>
      </c>
      <c r="N32" s="7">
        <f>MAX(0,J32-12)</f>
        <v/>
      </c>
      <c r="O32" s="5" t="n"/>
      <c r="P32" s="6">
        <f>E32*(L32+M32*1.5+N32*2+O32*3+N(K32))</f>
        <v/>
      </c>
      <c r="Q32" s="6" t="n">
        <v>1249</v>
      </c>
      <c r="R32" s="6">
        <f>Q32-P32</f>
        <v/>
      </c>
    </row>
    <row r="33">
      <c r="P33" s="2" t="inlineStr">
        <is>
          <t>DAYPLAYERS LABOR</t>
        </is>
      </c>
      <c r="R33" s="8">
        <f>SUM(R26:R32)</f>
        <v/>
      </c>
    </row>
    <row r="35">
      <c r="B35" s="2" t="inlineStr">
        <is>
          <t>STUNTCOORD</t>
        </is>
      </c>
    </row>
    <row r="36">
      <c r="A36" s="5" t="inlineStr">
        <is>
          <t>1406</t>
        </is>
      </c>
      <c r="B36" s="5" t="inlineStr">
        <is>
          <t>Rob King</t>
        </is>
      </c>
      <c r="C36" s="5" t="inlineStr">
        <is>
          <t>STUNTCOORDINATOR</t>
        </is>
      </c>
      <c r="D36" s="5" t="inlineStr"/>
      <c r="E36" s="6" t="n">
        <v>1173</v>
      </c>
      <c r="F36" s="5" t="n"/>
      <c r="G36" s="5" t="n"/>
      <c r="H36" s="5" t="n"/>
      <c r="I36" s="5" t="n"/>
      <c r="J36" s="7">
        <f>IF(AND(N(F36)&gt;0,N(I36)&gt;0),I36-F36-IF(N(G36)&gt;0,0.5,0)-IF(N(H36)&gt;0,0.5,0),0)</f>
        <v/>
      </c>
      <c r="K36" s="5" t="n"/>
      <c r="L36" s="7">
        <f>MIN(J36,8.0)</f>
        <v/>
      </c>
      <c r="M36" s="7">
        <f>MAX(0,MIN(J36,12)-8.0)</f>
        <v/>
      </c>
      <c r="N36" s="7">
        <f>MAX(0,J36-12)</f>
        <v/>
      </c>
      <c r="O36" s="5" t="n"/>
      <c r="P36" s="6">
        <f>E36*(L36+M36*1.5+N36*2+O36*3+N(K36))</f>
        <v/>
      </c>
      <c r="Q36" s="6" t="n">
        <v>1173</v>
      </c>
      <c r="R36" s="6">
        <f>Q36-P36</f>
        <v/>
      </c>
    </row>
    <row r="37">
      <c r="P37" s="2" t="inlineStr">
        <is>
          <t>STUNTCOORD LABOR</t>
        </is>
      </c>
      <c r="R37" s="8">
        <f>SUM(R36:R36)</f>
        <v/>
      </c>
    </row>
    <row r="39">
      <c r="B39" s="2" t="inlineStr">
        <is>
          <t>TEACHER/WELFAREWORKER</t>
        </is>
      </c>
    </row>
    <row r="40">
      <c r="A40" s="5" t="inlineStr">
        <is>
          <t>1412</t>
        </is>
      </c>
      <c r="B40" s="5" t="inlineStr"/>
      <c r="C40" s="5" t="inlineStr">
        <is>
          <t>WELFAREWORKER</t>
        </is>
      </c>
      <c r="D40" s="5" t="inlineStr">
        <is>
          <t>Local884</t>
        </is>
      </c>
      <c r="E40" s="6" t="n">
        <v>25.5</v>
      </c>
      <c r="F40" s="5" t="n"/>
      <c r="G40" s="5" t="n"/>
      <c r="H40" s="5" t="n"/>
      <c r="I40" s="5" t="n"/>
      <c r="J40" s="7">
        <f>IF(AND(N(F40)&gt;0,N(I40)&gt;0),I40-F40-IF(N(G40)&gt;0,0.5,0)-IF(N(H40)&gt;0,0.5,0),0)</f>
        <v/>
      </c>
      <c r="K40" s="5" t="n"/>
      <c r="L40" s="7">
        <f>MIN(J40,8.0)</f>
        <v/>
      </c>
      <c r="M40" s="7">
        <f>MAX(0,MIN(J40,12)-8.0)</f>
        <v/>
      </c>
      <c r="N40" s="7">
        <f>MAX(0,J40-12)</f>
        <v/>
      </c>
      <c r="O40" s="5" t="n"/>
      <c r="P40" s="6">
        <f>E40*(L40+M40*1.5+N40*2+O40*3+N(K40))</f>
        <v/>
      </c>
      <c r="Q40" s="6" t="n">
        <v>280.5</v>
      </c>
      <c r="R40" s="6">
        <f>Q40-P40</f>
        <v/>
      </c>
    </row>
    <row r="41">
      <c r="A41" s="5" t="inlineStr">
        <is>
          <t>1412</t>
        </is>
      </c>
      <c r="B41" s="5" t="inlineStr"/>
      <c r="C41" s="5" t="inlineStr">
        <is>
          <t>ADDLWELFAREWORKER</t>
        </is>
      </c>
      <c r="D41" s="5" t="inlineStr">
        <is>
          <t>Local884</t>
        </is>
      </c>
      <c r="E41" s="6" t="n">
        <v>25.5</v>
      </c>
      <c r="F41" s="5" t="n"/>
      <c r="G41" s="5" t="n"/>
      <c r="H41" s="5" t="n"/>
      <c r="I41" s="5" t="n"/>
      <c r="J41" s="7">
        <f>IF(AND(N(F41)&gt;0,N(I41)&gt;0),I41-F41-IF(N(G41)&gt;0,0.5,0)-IF(N(H41)&gt;0,0.5,0),0)</f>
        <v/>
      </c>
      <c r="K41" s="5" t="n"/>
      <c r="L41" s="7">
        <f>MIN(J41,8.0)</f>
        <v/>
      </c>
      <c r="M41" s="7">
        <f>MAX(0,MIN(J41,12)-8.0)</f>
        <v/>
      </c>
      <c r="N41" s="7">
        <f>MAX(0,J41-12)</f>
        <v/>
      </c>
      <c r="O41" s="5" t="n"/>
      <c r="P41" s="6">
        <f>E41*(L41+M41*1.5+N41*2+O41*3+N(K41))</f>
        <v/>
      </c>
      <c r="Q41" s="6" t="n">
        <v>280.5</v>
      </c>
      <c r="R41" s="6">
        <f>Q41-P41</f>
        <v/>
      </c>
    </row>
    <row r="42">
      <c r="P42" s="2" t="inlineStr">
        <is>
          <t>TEACHER/WELFAREWORKER LABOR</t>
        </is>
      </c>
      <c r="R42" s="8">
        <f>SUM(R40:R41)</f>
        <v/>
      </c>
    </row>
    <row r="44">
      <c r="B44" s="2" t="inlineStr">
        <is>
          <t>CASTINGDIRECTORS</t>
        </is>
      </c>
    </row>
    <row r="45">
      <c r="A45" s="5" t="inlineStr">
        <is>
          <t>1413</t>
        </is>
      </c>
      <c r="B45" s="5" t="inlineStr">
        <is>
          <t>Rich Delia</t>
        </is>
      </c>
      <c r="C45" s="5" t="inlineStr">
        <is>
          <t>CASTINGDIRECTOR</t>
        </is>
      </c>
      <c r="D45" s="5" t="inlineStr"/>
      <c r="E45" s="6" t="n">
        <v>600</v>
      </c>
      <c r="F45" s="5" t="n"/>
      <c r="G45" s="5" t="n"/>
      <c r="H45" s="5" t="n"/>
      <c r="I45" s="5" t="n"/>
      <c r="J45" s="7">
        <f>IF(AND(N(F45)&gt;0,N(I45)&gt;0),I45-F45-IF(N(G45)&gt;0,0.5,0)-IF(N(H45)&gt;0,0.5,0),0)</f>
        <v/>
      </c>
      <c r="K45" s="5" t="n"/>
      <c r="L45" s="7">
        <f>MIN(J45,8.0)</f>
        <v/>
      </c>
      <c r="M45" s="7">
        <f>MAX(0,MIN(J45,12)-8.0)</f>
        <v/>
      </c>
      <c r="N45" s="7">
        <f>MAX(0,J45-12)</f>
        <v/>
      </c>
      <c r="O45" s="5" t="n"/>
      <c r="P45" s="6">
        <f>E45*(L45+M45*1.5+N45*2+O45*3+N(K45))</f>
        <v/>
      </c>
      <c r="Q45" s="5" t="n"/>
      <c r="R45" s="6">
        <f>Q45-P45</f>
        <v/>
      </c>
    </row>
    <row r="46">
      <c r="P46" s="2" t="inlineStr">
        <is>
          <t>CASTINGDIRECTORS LABOR</t>
        </is>
      </c>
      <c r="R46" s="8">
        <f>SUM(R45:R45)</f>
        <v/>
      </c>
    </row>
    <row r="48">
      <c r="B48" s="2" t="inlineStr">
        <is>
          <t>CASTINGASSOCIATES/ASSISTANTS</t>
        </is>
      </c>
    </row>
    <row r="49">
      <c r="A49" s="5" t="inlineStr">
        <is>
          <t>1414</t>
        </is>
      </c>
      <c r="B49" s="5" t="inlineStr">
        <is>
          <t>Adam Richards</t>
        </is>
      </c>
      <c r="C49" s="5" t="inlineStr">
        <is>
          <t>CASTINGASSOCIATE</t>
        </is>
      </c>
      <c r="D49" s="5" t="inlineStr"/>
      <c r="E49" s="6" t="n">
        <v>200</v>
      </c>
      <c r="F49" s="5" t="n"/>
      <c r="G49" s="5" t="n"/>
      <c r="H49" s="5" t="n"/>
      <c r="I49" s="5" t="n"/>
      <c r="J49" s="7">
        <f>IF(AND(N(F49)&gt;0,N(I49)&gt;0),I49-F49-IF(N(G49)&gt;0,0.5,0)-IF(N(H49)&gt;0,0.5,0),0)</f>
        <v/>
      </c>
      <c r="K49" s="5" t="n"/>
      <c r="L49" s="7">
        <f>MIN(J49,8.0)</f>
        <v/>
      </c>
      <c r="M49" s="7">
        <f>MAX(0,MIN(J49,12)-8.0)</f>
        <v/>
      </c>
      <c r="N49" s="7">
        <f>MAX(0,J49-12)</f>
        <v/>
      </c>
      <c r="O49" s="5" t="n"/>
      <c r="P49" s="6">
        <f>E49*(L49+M49*1.5+N49*2+O49*3+N(K49))</f>
        <v/>
      </c>
      <c r="Q49" s="5" t="n"/>
      <c r="R49" s="6">
        <f>Q49-P49</f>
        <v/>
      </c>
    </row>
    <row r="50">
      <c r="P50" s="2" t="inlineStr">
        <is>
          <t>CASTINGASSOCIATES/ASSISTANTS LABOR</t>
        </is>
      </c>
      <c r="R50" s="8">
        <f>SUM(R49:R49)</f>
        <v/>
      </c>
    </row>
    <row r="52">
      <c r="B52" s="2" t="inlineStr">
        <is>
          <t>CASTDRIVERS/VEHICLES</t>
        </is>
      </c>
    </row>
    <row r="53">
      <c r="A53" s="5" t="inlineStr">
        <is>
          <t>1455</t>
        </is>
      </c>
      <c r="B53" s="5" t="inlineStr"/>
      <c r="C53" s="5" t="inlineStr">
        <is>
          <t>CAST 3-RMDRIVER</t>
        </is>
      </c>
      <c r="D53" s="5" t="inlineStr">
        <is>
          <t>Local399</t>
        </is>
      </c>
      <c r="E53" s="6" t="n">
        <v>32.36</v>
      </c>
      <c r="F53" s="5" t="n"/>
      <c r="G53" s="5" t="n"/>
      <c r="H53" s="5" t="n"/>
      <c r="I53" s="5" t="n"/>
      <c r="J53" s="7">
        <f>IF(AND(N(F53)&gt;0,N(I53)&gt;0),I53-F53-IF(N(G53)&gt;0,0.5,0)-IF(N(H53)&gt;0,0.5,0),0)</f>
        <v/>
      </c>
      <c r="K53" s="5" t="n"/>
      <c r="L53" s="7">
        <f>MIN(J53,8.0)</f>
        <v/>
      </c>
      <c r="M53" s="7">
        <f>MAX(0,MIN(J53,12)-8.0)</f>
        <v/>
      </c>
      <c r="N53" s="7">
        <f>MAX(0,J53-12)</f>
        <v/>
      </c>
      <c r="O53" s="5" t="n"/>
      <c r="P53" s="6">
        <f>E53*(L53+M53*1.5+N53*2+O53*3+N(K53))</f>
        <v/>
      </c>
      <c r="Q53" s="6" t="n">
        <v>501.58</v>
      </c>
      <c r="R53" s="6">
        <f>Q53-P53</f>
        <v/>
      </c>
    </row>
    <row r="54">
      <c r="A54" s="5" t="inlineStr">
        <is>
          <t>1455</t>
        </is>
      </c>
      <c r="B54" s="5" t="inlineStr"/>
      <c r="C54" s="5" t="inlineStr">
        <is>
          <t>CASTMINIVANDRIVER</t>
        </is>
      </c>
      <c r="D54" s="5" t="inlineStr">
        <is>
          <t>Local399</t>
        </is>
      </c>
      <c r="E54" s="6" t="n">
        <v>32.36</v>
      </c>
      <c r="F54" s="5" t="n"/>
      <c r="G54" s="5" t="n"/>
      <c r="H54" s="5" t="n"/>
      <c r="I54" s="5" t="n"/>
      <c r="J54" s="7">
        <f>IF(AND(N(F54)&gt;0,N(I54)&gt;0),I54-F54-IF(N(G54)&gt;0,0.5,0)-IF(N(H54)&gt;0,0.5,0),0)</f>
        <v/>
      </c>
      <c r="K54" s="5" t="n"/>
      <c r="L54" s="7">
        <f>MIN(J54,8.0)</f>
        <v/>
      </c>
      <c r="M54" s="7">
        <f>MAX(0,MIN(J54,12)-8.0)</f>
        <v/>
      </c>
      <c r="N54" s="7">
        <f>MAX(0,J54-12)</f>
        <v/>
      </c>
      <c r="O54" s="5" t="n"/>
      <c r="P54" s="6">
        <f>E54*(L54+M54*1.5+N54*2+O54*3+N(K54))</f>
        <v/>
      </c>
      <c r="Q54" s="6" t="n">
        <v>501.58</v>
      </c>
      <c r="R54" s="6">
        <f>Q54-P54</f>
        <v/>
      </c>
    </row>
    <row r="55">
      <c r="P55" s="2" t="inlineStr">
        <is>
          <t>CASTDRIVERS/VEHICLES LABOR</t>
        </is>
      </c>
      <c r="R55" s="8">
        <f>SUM(R53:R54)</f>
        <v/>
      </c>
    </row>
    <row r="57">
      <c r="B57" s="2" t="inlineStr">
        <is>
          <t>PRODUCTIONMANAGER</t>
        </is>
      </c>
    </row>
    <row r="58">
      <c r="A58" s="5" t="inlineStr">
        <is>
          <t>2001</t>
        </is>
      </c>
      <c r="B58" s="5" t="inlineStr">
        <is>
          <t>Carrie Morrow</t>
        </is>
      </c>
      <c r="C58" s="5" t="inlineStr">
        <is>
          <t>UPM</t>
        </is>
      </c>
      <c r="D58" s="5" t="inlineStr">
        <is>
          <t>DGA</t>
        </is>
      </c>
      <c r="E58" s="6" t="n">
        <v>1063.6</v>
      </c>
      <c r="F58" s="5" t="n"/>
      <c r="G58" s="5" t="n"/>
      <c r="H58" s="5" t="n"/>
      <c r="I58" s="5" t="n"/>
      <c r="J58" s="7">
        <f>IF(AND(N(F58)&gt;0,N(I58)&gt;0),I58-F58-IF(N(G58)&gt;0,0.5,0)-IF(N(H58)&gt;0,0.5,0),0)</f>
        <v/>
      </c>
      <c r="K58" s="5" t="n"/>
      <c r="L58" s="7">
        <f>MIN(J58,8.0)</f>
        <v/>
      </c>
      <c r="M58" s="7">
        <f>MAX(0,MIN(J58,12)-8.0)</f>
        <v/>
      </c>
      <c r="N58" s="7">
        <f>MAX(0,J58-12)</f>
        <v/>
      </c>
      <c r="O58" s="5" t="n"/>
      <c r="P58" s="6">
        <f>E58*(L58+M58*1.5+N58*2+O58*3+N(K58))</f>
        <v/>
      </c>
      <c r="Q58" s="6" t="n">
        <v>1063.6</v>
      </c>
      <c r="R58" s="6">
        <f>Q58-P58</f>
        <v/>
      </c>
    </row>
    <row r="59">
      <c r="P59" s="2" t="inlineStr">
        <is>
          <t>PRODUCTIONMANAGER LABOR</t>
        </is>
      </c>
      <c r="R59" s="8">
        <f>SUM(R58:R58)</f>
        <v/>
      </c>
    </row>
    <row r="61">
      <c r="B61" s="2" t="inlineStr">
        <is>
          <t>1STASSTDIRECTOR</t>
        </is>
      </c>
    </row>
    <row r="62">
      <c r="A62" s="5" t="inlineStr">
        <is>
          <t>2002</t>
        </is>
      </c>
      <c r="B62" s="5" t="inlineStr">
        <is>
          <t>James Moran</t>
        </is>
      </c>
      <c r="C62" s="5" t="inlineStr">
        <is>
          <t>1STASSTDIRECTOR</t>
        </is>
      </c>
      <c r="D62" s="5" t="inlineStr">
        <is>
          <t>DGA</t>
        </is>
      </c>
      <c r="E62" s="6" t="n">
        <v>985.6</v>
      </c>
      <c r="F62" s="5" t="n"/>
      <c r="G62" s="5" t="n"/>
      <c r="H62" s="5" t="n"/>
      <c r="I62" s="5" t="n"/>
      <c r="J62" s="7">
        <f>IF(AND(N(F62)&gt;0,N(I62)&gt;0),I62-F62-IF(N(G62)&gt;0,0.5,0)-IF(N(H62)&gt;0,0.5,0),0)</f>
        <v/>
      </c>
      <c r="K62" s="5" t="n"/>
      <c r="L62" s="7">
        <f>MIN(J62,8.0)</f>
        <v/>
      </c>
      <c r="M62" s="7">
        <f>MAX(0,MIN(J62,12)-8.0)</f>
        <v/>
      </c>
      <c r="N62" s="7">
        <f>MAX(0,J62-12)</f>
        <v/>
      </c>
      <c r="O62" s="5" t="n"/>
      <c r="P62" s="6">
        <f>E62*(L62+M62*1.5+N62*2+O62*3+N(K62))</f>
        <v/>
      </c>
      <c r="Q62" s="6" t="n">
        <v>985.6</v>
      </c>
      <c r="R62" s="6">
        <f>Q62-P62</f>
        <v/>
      </c>
    </row>
    <row r="63">
      <c r="P63" s="2" t="inlineStr">
        <is>
          <t>1STASSTDIRECTOR LABOR</t>
        </is>
      </c>
      <c r="R63" s="8">
        <f>SUM(R62:R62)</f>
        <v/>
      </c>
    </row>
    <row r="65">
      <c r="B65" s="2" t="inlineStr">
        <is>
          <t>2NDASSTDIRECTORS</t>
        </is>
      </c>
    </row>
    <row r="66">
      <c r="A66" s="5" t="inlineStr">
        <is>
          <t>2003</t>
        </is>
      </c>
      <c r="B66" s="5" t="inlineStr">
        <is>
          <t>Mark Newland</t>
        </is>
      </c>
      <c r="C66" s="5" t="inlineStr">
        <is>
          <t>KEY 2NDA. D.</t>
        </is>
      </c>
      <c r="D66" s="5" t="inlineStr">
        <is>
          <t>DGA</t>
        </is>
      </c>
      <c r="E66" s="6" t="n">
        <v>674.6</v>
      </c>
      <c r="F66" s="5" t="n"/>
      <c r="G66" s="5" t="n"/>
      <c r="H66" s="5" t="n"/>
      <c r="I66" s="5" t="n"/>
      <c r="J66" s="7">
        <f>IF(AND(N(F66)&gt;0,N(I66)&gt;0),I66-F66-IF(N(G66)&gt;0,0.5,0)-IF(N(H66)&gt;0,0.5,0),0)</f>
        <v/>
      </c>
      <c r="K66" s="5" t="n"/>
      <c r="L66" s="7">
        <f>MIN(J66,8.0)</f>
        <v/>
      </c>
      <c r="M66" s="7">
        <f>MAX(0,MIN(J66,12)-8.0)</f>
        <v/>
      </c>
      <c r="N66" s="7">
        <f>MAX(0,J66-12)</f>
        <v/>
      </c>
      <c r="O66" s="5" t="n"/>
      <c r="P66" s="6">
        <f>E66*(L66+M66*1.5+N66*2+O66*3+N(K66))</f>
        <v/>
      </c>
      <c r="Q66" s="6" t="n">
        <v>674.6</v>
      </c>
      <c r="R66" s="6">
        <f>Q66-P66</f>
        <v/>
      </c>
    </row>
    <row r="67">
      <c r="A67" s="5" t="inlineStr">
        <is>
          <t>2003</t>
        </is>
      </c>
      <c r="B67" s="5" t="inlineStr"/>
      <c r="C67" s="5" t="inlineStr">
        <is>
          <t>2ND 2NDA. D.</t>
        </is>
      </c>
      <c r="D67" s="5" t="inlineStr">
        <is>
          <t>DGA</t>
        </is>
      </c>
      <c r="E67" s="6" t="n">
        <v>526</v>
      </c>
      <c r="F67" s="5" t="n"/>
      <c r="G67" s="5" t="n"/>
      <c r="H67" s="5" t="n"/>
      <c r="I67" s="5" t="n"/>
      <c r="J67" s="7">
        <f>IF(AND(N(F67)&gt;0,N(I67)&gt;0),I67-F67-IF(N(G67)&gt;0,0.5,0)-IF(N(H67)&gt;0,0.5,0),0)</f>
        <v/>
      </c>
      <c r="K67" s="5" t="n"/>
      <c r="L67" s="7">
        <f>MIN(J67,8.0)</f>
        <v/>
      </c>
      <c r="M67" s="7">
        <f>MAX(0,MIN(J67,12)-8.0)</f>
        <v/>
      </c>
      <c r="N67" s="7">
        <f>MAX(0,J67-12)</f>
        <v/>
      </c>
      <c r="O67" s="5" t="n"/>
      <c r="P67" s="6">
        <f>E67*(L67+M67*1.5+N67*2+O67*3+N(K67))</f>
        <v/>
      </c>
      <c r="Q67" s="6" t="n">
        <v>526</v>
      </c>
      <c r="R67" s="6">
        <f>Q67-P67</f>
        <v/>
      </c>
    </row>
    <row r="68">
      <c r="P68" s="2" t="inlineStr">
        <is>
          <t>2NDASSTDIRECTORS LABOR</t>
        </is>
      </c>
      <c r="R68" s="8">
        <f>SUM(R66:R67)</f>
        <v/>
      </c>
    </row>
    <row r="70">
      <c r="B70" s="2" t="inlineStr">
        <is>
          <t>SCRIPTSUPERVISOR</t>
        </is>
      </c>
    </row>
    <row r="71">
      <c r="A71" s="5" t="inlineStr">
        <is>
          <t>2005</t>
        </is>
      </c>
      <c r="B71" s="5" t="inlineStr">
        <is>
          <t>Renata Amador</t>
        </is>
      </c>
      <c r="C71" s="5" t="inlineStr">
        <is>
          <t>SCRIPTSUPERVISOR</t>
        </is>
      </c>
      <c r="D71" s="5" t="inlineStr">
        <is>
          <t>Local871</t>
        </is>
      </c>
      <c r="E71" s="6" t="n">
        <v>25.5</v>
      </c>
      <c r="F71" s="5" t="n"/>
      <c r="G71" s="5" t="n"/>
      <c r="H71" s="5" t="n"/>
      <c r="I71" s="5" t="n"/>
      <c r="J71" s="7">
        <f>IF(AND(N(F71)&gt;0,N(I71)&gt;0),I71-F71-IF(N(G71)&gt;0,0.5,0)-IF(N(H71)&gt;0,0.5,0),0)</f>
        <v/>
      </c>
      <c r="K71" s="5" t="n"/>
      <c r="L71" s="7">
        <f>MIN(J71,10.0)</f>
        <v/>
      </c>
      <c r="M71" s="7">
        <f>MAX(0,MIN(J71,12)-10.0)</f>
        <v/>
      </c>
      <c r="N71" s="7">
        <f>MAX(0,J71-12)</f>
        <v/>
      </c>
      <c r="O71" s="5" t="n"/>
      <c r="P71" s="6">
        <f>E71*(L71+M71*1.5+N71*2+O71*3+N(K71))</f>
        <v/>
      </c>
      <c r="Q71" s="6" t="n">
        <v>439.87</v>
      </c>
      <c r="R71" s="6">
        <f>Q71-P71</f>
        <v/>
      </c>
    </row>
    <row r="72">
      <c r="P72" s="2" t="inlineStr">
        <is>
          <t>SCRIPTSUPERVISOR LABOR</t>
        </is>
      </c>
      <c r="R72" s="8">
        <f>SUM(R71:R71)</f>
        <v/>
      </c>
    </row>
    <row r="74">
      <c r="B74" s="2" t="inlineStr">
        <is>
          <t>LOCATIONMANAGERS</t>
        </is>
      </c>
    </row>
    <row r="75">
      <c r="A75" s="5" t="inlineStr">
        <is>
          <t>2007</t>
        </is>
      </c>
      <c r="B75" s="5" t="inlineStr">
        <is>
          <t>Stacey Brashear-Rodriquez</t>
        </is>
      </c>
      <c r="C75" s="5" t="inlineStr">
        <is>
          <t>LOCATIONMANAGER</t>
        </is>
      </c>
      <c r="D75" s="5" t="inlineStr">
        <is>
          <t>Local399</t>
        </is>
      </c>
      <c r="E75" s="6" t="n">
        <v>557.6</v>
      </c>
      <c r="F75" s="5" t="n"/>
      <c r="G75" s="5" t="n"/>
      <c r="H75" s="5" t="n"/>
      <c r="I75" s="5" t="n"/>
      <c r="J75" s="7">
        <f>IF(AND(N(F75)&gt;0,N(I75)&gt;0),I75-F75-IF(N(G75)&gt;0,0.5,0)-IF(N(H75)&gt;0,0.5,0),0)</f>
        <v/>
      </c>
      <c r="K75" s="5" t="n"/>
      <c r="L75" s="7">
        <f>MIN(J75,8.0)</f>
        <v/>
      </c>
      <c r="M75" s="7">
        <f>MAX(0,MIN(J75,12)-8.0)</f>
        <v/>
      </c>
      <c r="N75" s="7">
        <f>MAX(0,J75-12)</f>
        <v/>
      </c>
      <c r="O75" s="5" t="n"/>
      <c r="P75" s="6">
        <f>E75*(L75+M75*1.5+N75*2+O75*3+N(K75))</f>
        <v/>
      </c>
      <c r="Q75" s="6" t="n">
        <v>557.6</v>
      </c>
      <c r="R75" s="6">
        <f>Q75-P75</f>
        <v/>
      </c>
    </row>
    <row r="76">
      <c r="P76" s="2" t="inlineStr">
        <is>
          <t>LOCATIONMANAGERS LABOR</t>
        </is>
      </c>
      <c r="R76" s="8">
        <f>SUM(R75:R75)</f>
        <v/>
      </c>
    </row>
    <row r="78">
      <c r="B78" s="2" t="inlineStr">
        <is>
          <t>ASSISTANTLOCATIONMANAGERS</t>
        </is>
      </c>
    </row>
    <row r="79">
      <c r="A79" s="5" t="inlineStr">
        <is>
          <t>2008</t>
        </is>
      </c>
      <c r="B79" s="5" t="inlineStr">
        <is>
          <t>Rich Heichel</t>
        </is>
      </c>
      <c r="C79" s="5" t="inlineStr">
        <is>
          <t>KEYASSTLOCATIONMGR#1</t>
        </is>
      </c>
      <c r="D79" s="5" t="inlineStr">
        <is>
          <t>Local399</t>
        </is>
      </c>
      <c r="E79" s="6" t="n">
        <v>334.2</v>
      </c>
      <c r="F79" s="5" t="n"/>
      <c r="G79" s="5" t="n"/>
      <c r="H79" s="5" t="n"/>
      <c r="I79" s="5" t="n"/>
      <c r="J79" s="7">
        <f>IF(AND(N(F79)&gt;0,N(I79)&gt;0),I79-F79-IF(N(G79)&gt;0,0.5,0)-IF(N(H79)&gt;0,0.5,0),0)</f>
        <v/>
      </c>
      <c r="K79" s="5" t="n"/>
      <c r="L79" s="7">
        <f>MIN(J79,8.0)</f>
        <v/>
      </c>
      <c r="M79" s="7">
        <f>MAX(0,MIN(J79,12)-8.0)</f>
        <v/>
      </c>
      <c r="N79" s="7">
        <f>MAX(0,J79-12)</f>
        <v/>
      </c>
      <c r="O79" s="5" t="n"/>
      <c r="P79" s="6">
        <f>E79*(L79+M79*1.5+N79*2+O79*3+N(K79))</f>
        <v/>
      </c>
      <c r="Q79" s="6" t="n">
        <v>334.2</v>
      </c>
      <c r="R79" s="6">
        <f>Q79-P79</f>
        <v/>
      </c>
    </row>
    <row r="80">
      <c r="A80" s="5" t="inlineStr">
        <is>
          <t>2008</t>
        </is>
      </c>
      <c r="B80" s="5" t="inlineStr">
        <is>
          <t>Jason Mc Cauley</t>
        </is>
      </c>
      <c r="C80" s="5" t="inlineStr">
        <is>
          <t>LOCATIONASST</t>
        </is>
      </c>
      <c r="D80" s="5" t="inlineStr">
        <is>
          <t>Local399</t>
        </is>
      </c>
      <c r="E80" s="6" t="n">
        <v>229</v>
      </c>
      <c r="F80" s="5" t="n"/>
      <c r="G80" s="5" t="n"/>
      <c r="H80" s="5" t="n"/>
      <c r="I80" s="5" t="n"/>
      <c r="J80" s="7">
        <f>IF(AND(N(F80)&gt;0,N(I80)&gt;0),I80-F80-IF(N(G80)&gt;0,0.5,0)-IF(N(H80)&gt;0,0.5,0),0)</f>
        <v/>
      </c>
      <c r="K80" s="5" t="n"/>
      <c r="L80" s="7">
        <f>MIN(J80,8.0)</f>
        <v/>
      </c>
      <c r="M80" s="7">
        <f>MAX(0,MIN(J80,12)-8.0)</f>
        <v/>
      </c>
      <c r="N80" s="7">
        <f>MAX(0,J80-12)</f>
        <v/>
      </c>
      <c r="O80" s="5" t="n"/>
      <c r="P80" s="6">
        <f>E80*(L80+M80*1.5+N80*2+O80*3+N(K80))</f>
        <v/>
      </c>
      <c r="Q80" s="6" t="n">
        <v>229</v>
      </c>
      <c r="R80" s="6">
        <f>Q80-P80</f>
        <v/>
      </c>
    </row>
    <row r="81">
      <c r="P81" s="2" t="inlineStr">
        <is>
          <t>ASSISTANTLOCATIONMANAGERS LABOR</t>
        </is>
      </c>
      <c r="R81" s="8">
        <f>SUM(R79:R80)</f>
        <v/>
      </c>
    </row>
    <row r="83">
      <c r="B83" s="2" t="inlineStr">
        <is>
          <t>PRODUCTIONCOORDINATOR</t>
        </is>
      </c>
    </row>
    <row r="84">
      <c r="A84" s="5" t="inlineStr">
        <is>
          <t>2009</t>
        </is>
      </c>
      <c r="B84" s="5" t="inlineStr">
        <is>
          <t>Ali Griffith</t>
        </is>
      </c>
      <c r="C84" s="5" t="inlineStr">
        <is>
          <t>PRODUCTIONOFCCOORD</t>
        </is>
      </c>
      <c r="D84" s="5" t="inlineStr"/>
      <c r="E84" s="6" t="n">
        <v>360</v>
      </c>
      <c r="F84" s="5" t="n"/>
      <c r="G84" s="5" t="n"/>
      <c r="H84" s="5" t="n"/>
      <c r="I84" s="5" t="n"/>
      <c r="J84" s="7">
        <f>IF(AND(N(F84)&gt;0,N(I84)&gt;0),I84-F84-IF(N(G84)&gt;0,0.5,0)-IF(N(H84)&gt;0,0.5,0),0)</f>
        <v/>
      </c>
      <c r="K84" s="5" t="n"/>
      <c r="L84" s="7">
        <f>MIN(J84,8.0)</f>
        <v/>
      </c>
      <c r="M84" s="7">
        <f>MAX(0,MIN(J84,12)-8.0)</f>
        <v/>
      </c>
      <c r="N84" s="7">
        <f>MAX(0,J84-12)</f>
        <v/>
      </c>
      <c r="O84" s="5" t="n"/>
      <c r="P84" s="6">
        <f>E84*(L84+M84*1.5+N84*2+O84*3+N(K84))</f>
        <v/>
      </c>
      <c r="Q84" s="6" t="n">
        <v>360</v>
      </c>
      <c r="R84" s="6">
        <f>Q84-P84</f>
        <v/>
      </c>
    </row>
    <row r="85">
      <c r="P85" s="2" t="inlineStr">
        <is>
          <t>PRODUCTIONCOORDINATOR LABOR</t>
        </is>
      </c>
      <c r="R85" s="8">
        <f>SUM(R84:R84)</f>
        <v/>
      </c>
    </row>
    <row r="87">
      <c r="B87" s="2" t="inlineStr">
        <is>
          <t>ASSTPRODUCTIONCOORDINATOR</t>
        </is>
      </c>
    </row>
    <row r="88">
      <c r="A88" s="5" t="inlineStr">
        <is>
          <t>2010</t>
        </is>
      </c>
      <c r="B88" s="5" t="inlineStr">
        <is>
          <t>Holly Dellocono</t>
        </is>
      </c>
      <c r="C88" s="5" t="inlineStr">
        <is>
          <t>APOC</t>
        </is>
      </c>
      <c r="D88" s="5" t="inlineStr">
        <is>
          <t>Local871</t>
        </is>
      </c>
      <c r="E88" s="6" t="n">
        <v>20.57</v>
      </c>
      <c r="F88" s="5" t="n"/>
      <c r="G88" s="5" t="n"/>
      <c r="H88" s="5" t="n"/>
      <c r="I88" s="5" t="n"/>
      <c r="J88" s="7">
        <f>IF(AND(N(F88)&gt;0,N(I88)&gt;0),I88-F88-IF(N(G88)&gt;0,0.5,0)-IF(N(H88)&gt;0,0.5,0),0)</f>
        <v/>
      </c>
      <c r="K88" s="5" t="n"/>
      <c r="L88" s="7">
        <f>MIN(J88,10.0)</f>
        <v/>
      </c>
      <c r="M88" s="7">
        <f>MAX(0,MIN(J88,12)-10.0)</f>
        <v/>
      </c>
      <c r="N88" s="7">
        <f>MAX(0,J88-12)</f>
        <v/>
      </c>
      <c r="O88" s="5" t="n"/>
      <c r="P88" s="6">
        <f>E88*(L88+M88*1.5+N88*2+O88*3+N(K88))</f>
        <v/>
      </c>
      <c r="Q88" s="6" t="n">
        <v>287.98</v>
      </c>
      <c r="R88" s="6">
        <f>Q88-P88</f>
        <v/>
      </c>
    </row>
    <row r="89">
      <c r="P89" s="2" t="inlineStr">
        <is>
          <t>ASSTPRODUCTIONCOORDINATOR LABOR</t>
        </is>
      </c>
      <c r="R89" s="8">
        <f>SUM(R88:R88)</f>
        <v/>
      </c>
    </row>
    <row r="91">
      <c r="B91" s="2" t="inlineStr">
        <is>
          <t>OFFICESTAFFASSISTANTS</t>
        </is>
      </c>
    </row>
    <row r="92">
      <c r="A92" s="5" t="inlineStr">
        <is>
          <t>2011</t>
        </is>
      </c>
      <c r="B92" s="5" t="inlineStr">
        <is>
          <t>John Humber</t>
        </is>
      </c>
      <c r="C92" s="5" t="inlineStr">
        <is>
          <t>OFFICEPA#1</t>
        </is>
      </c>
      <c r="D92" s="5" t="inlineStr"/>
      <c r="E92" s="6" t="n">
        <v>22.5</v>
      </c>
      <c r="F92" s="5" t="n"/>
      <c r="G92" s="5" t="n"/>
      <c r="H92" s="5" t="n"/>
      <c r="I92" s="5" t="n"/>
      <c r="J92" s="7">
        <f>IF(AND(N(F92)&gt;0,N(I92)&gt;0),I92-F92-IF(N(G92)&gt;0,0.5,0)-IF(N(H92)&gt;0,0.5,0),0)</f>
        <v/>
      </c>
      <c r="K92" s="5" t="n"/>
      <c r="L92" s="7">
        <f>MIN(J92,8.0)</f>
        <v/>
      </c>
      <c r="M92" s="7">
        <f>MAX(0,MIN(J92,12)-8.0)</f>
        <v/>
      </c>
      <c r="N92" s="7">
        <f>MAX(0,J92-12)</f>
        <v/>
      </c>
      <c r="O92" s="5" t="n"/>
      <c r="P92" s="6">
        <f>E92*(L92+M92*1.5+N92*2+O92*3+N(K92))</f>
        <v/>
      </c>
      <c r="Q92" s="6" t="n">
        <v>168</v>
      </c>
      <c r="R92" s="6">
        <f>Q92-P92</f>
        <v/>
      </c>
    </row>
    <row r="93">
      <c r="A93" s="5" t="inlineStr">
        <is>
          <t>2011</t>
        </is>
      </c>
      <c r="B93" s="5" t="inlineStr">
        <is>
          <t>Sarah Semenas</t>
        </is>
      </c>
      <c r="C93" s="5" t="inlineStr">
        <is>
          <t>OFFICEPA#2</t>
        </is>
      </c>
      <c r="D93" s="5" t="inlineStr"/>
      <c r="E93" s="6" t="n">
        <v>22.5</v>
      </c>
      <c r="F93" s="5" t="n"/>
      <c r="G93" s="5" t="n"/>
      <c r="H93" s="5" t="n"/>
      <c r="I93" s="5" t="n"/>
      <c r="J93" s="7">
        <f>IF(AND(N(F93)&gt;0,N(I93)&gt;0),I93-F93-IF(N(G93)&gt;0,0.5,0)-IF(N(H93)&gt;0,0.5,0),0)</f>
        <v/>
      </c>
      <c r="K93" s="5" t="n"/>
      <c r="L93" s="7">
        <f>MIN(J93,8.0)</f>
        <v/>
      </c>
      <c r="M93" s="7">
        <f>MAX(0,MIN(J93,12)-8.0)</f>
        <v/>
      </c>
      <c r="N93" s="7">
        <f>MAX(0,J93-12)</f>
        <v/>
      </c>
      <c r="O93" s="5" t="n"/>
      <c r="P93" s="6">
        <f>E93*(L93+M93*1.5+N93*2+O93*3+N(K93))</f>
        <v/>
      </c>
      <c r="Q93" s="6" t="n">
        <v>168</v>
      </c>
      <c r="R93" s="6">
        <f>Q93-P93</f>
        <v/>
      </c>
    </row>
    <row r="94">
      <c r="P94" s="2" t="inlineStr">
        <is>
          <t>OFFICESTAFFASSISTANTS LABOR</t>
        </is>
      </c>
      <c r="R94" s="8">
        <f>SUM(R92:R93)</f>
        <v/>
      </c>
    </row>
    <row r="96">
      <c r="B96" s="2" t="inlineStr">
        <is>
          <t>SETSTAFFASSISTANTS</t>
        </is>
      </c>
    </row>
    <row r="97">
      <c r="A97" s="5" t="inlineStr">
        <is>
          <t>2012</t>
        </is>
      </c>
      <c r="B97" s="5" t="inlineStr">
        <is>
          <t>Paula Henry</t>
        </is>
      </c>
      <c r="C97" s="5" t="inlineStr">
        <is>
          <t>KEYSETPA</t>
        </is>
      </c>
      <c r="D97" s="5" t="inlineStr"/>
      <c r="E97" s="6" t="n">
        <v>12</v>
      </c>
      <c r="F97" s="5" t="n"/>
      <c r="G97" s="5" t="n"/>
      <c r="H97" s="5" t="n"/>
      <c r="I97" s="5" t="n"/>
      <c r="J97" s="7">
        <f>IF(AND(N(F97)&gt;0,N(I97)&gt;0),I97-F97-IF(N(G97)&gt;0,0.5,0)-IF(N(H97)&gt;0,0.5,0),0)</f>
        <v/>
      </c>
      <c r="K97" s="5" t="n"/>
      <c r="L97" s="7">
        <f>MIN(J97,8.0)</f>
        <v/>
      </c>
      <c r="M97" s="7">
        <f>MAX(0,MIN(J97,12)-8.0)</f>
        <v/>
      </c>
      <c r="N97" s="7">
        <f>MAX(0,J97-12)</f>
        <v/>
      </c>
      <c r="O97" s="5" t="n"/>
      <c r="P97" s="6">
        <f>E97*(L97+M97*1.5+N97*2+O97*3+N(K97))</f>
        <v/>
      </c>
      <c r="Q97" s="6" t="n">
        <v>216</v>
      </c>
      <c r="R97" s="6">
        <f>Q97-P97</f>
        <v/>
      </c>
    </row>
    <row r="98">
      <c r="A98" s="5" t="inlineStr">
        <is>
          <t>2012</t>
        </is>
      </c>
      <c r="B98" s="5" t="inlineStr"/>
      <c r="C98" s="5" t="inlineStr">
        <is>
          <t>SETPA#2</t>
        </is>
      </c>
      <c r="D98" s="5" t="inlineStr"/>
      <c r="E98" s="6" t="n">
        <v>12</v>
      </c>
      <c r="F98" s="5" t="n"/>
      <c r="G98" s="5" t="n"/>
      <c r="H98" s="5" t="n"/>
      <c r="I98" s="5" t="n"/>
      <c r="J98" s="7">
        <f>IF(AND(N(F98)&gt;0,N(I98)&gt;0),I98-F98-IF(N(G98)&gt;0,0.5,0)-IF(N(H98)&gt;0,0.5,0),0)</f>
        <v/>
      </c>
      <c r="K98" s="5" t="n"/>
      <c r="L98" s="7">
        <f>MIN(J98,8.0)</f>
        <v/>
      </c>
      <c r="M98" s="7">
        <f>MAX(0,MIN(J98,12)-8.0)</f>
        <v/>
      </c>
      <c r="N98" s="7">
        <f>MAX(0,J98-12)</f>
        <v/>
      </c>
      <c r="O98" s="5" t="n"/>
      <c r="P98" s="6">
        <f>E98*(L98+M98*1.5+N98*2+O98*3+N(K98))</f>
        <v/>
      </c>
      <c r="Q98" s="6" t="n">
        <v>216</v>
      </c>
      <c r="R98" s="6">
        <f>Q98-P98</f>
        <v/>
      </c>
    </row>
    <row r="99">
      <c r="A99" s="5" t="inlineStr">
        <is>
          <t>2012</t>
        </is>
      </c>
      <c r="B99" s="5" t="inlineStr"/>
      <c r="C99" s="5" t="inlineStr">
        <is>
          <t>SETPA#3</t>
        </is>
      </c>
      <c r="D99" s="5" t="inlineStr"/>
      <c r="E99" s="6" t="n">
        <v>12</v>
      </c>
      <c r="F99" s="5" t="n"/>
      <c r="G99" s="5" t="n"/>
      <c r="H99" s="5" t="n"/>
      <c r="I99" s="5" t="n"/>
      <c r="J99" s="7">
        <f>IF(AND(N(F99)&gt;0,N(I99)&gt;0),I99-F99-IF(N(G99)&gt;0,0.5,0)-IF(N(H99)&gt;0,0.5,0),0)</f>
        <v/>
      </c>
      <c r="K99" s="5" t="n"/>
      <c r="L99" s="7">
        <f>MIN(J99,8.0)</f>
        <v/>
      </c>
      <c r="M99" s="7">
        <f>MAX(0,MIN(J99,12)-8.0)</f>
        <v/>
      </c>
      <c r="N99" s="7">
        <f>MAX(0,J99-12)</f>
        <v/>
      </c>
      <c r="O99" s="5" t="n"/>
      <c r="P99" s="6">
        <f>E99*(L99+M99*1.5+N99*2+O99*3+N(K99))</f>
        <v/>
      </c>
      <c r="Q99" s="6" t="n">
        <v>216</v>
      </c>
      <c r="R99" s="6">
        <f>Q99-P99</f>
        <v/>
      </c>
    </row>
    <row r="100">
      <c r="A100" s="5" t="inlineStr">
        <is>
          <t>2012</t>
        </is>
      </c>
      <c r="B100" s="5" t="inlineStr"/>
      <c r="C100" s="5" t="inlineStr">
        <is>
          <t>SETPA#4</t>
        </is>
      </c>
      <c r="D100" s="5" t="inlineStr"/>
      <c r="E100" s="6" t="n">
        <v>12</v>
      </c>
      <c r="F100" s="5" t="n"/>
      <c r="G100" s="5" t="n"/>
      <c r="H100" s="5" t="n"/>
      <c r="I100" s="5" t="n"/>
      <c r="J100" s="7">
        <f>IF(AND(N(F100)&gt;0,N(I100)&gt;0),I100-F100-IF(N(G100)&gt;0,0.5,0)-IF(N(H100)&gt;0,0.5,0),0)</f>
        <v/>
      </c>
      <c r="K100" s="5" t="n"/>
      <c r="L100" s="7">
        <f>MIN(J100,8.0)</f>
        <v/>
      </c>
      <c r="M100" s="7">
        <f>MAX(0,MIN(J100,12)-8.0)</f>
        <v/>
      </c>
      <c r="N100" s="7">
        <f>MAX(0,J100-12)</f>
        <v/>
      </c>
      <c r="O100" s="5" t="n"/>
      <c r="P100" s="6">
        <f>E100*(L100+M100*1.5+N100*2+O100*3+N(K100))</f>
        <v/>
      </c>
      <c r="Q100" s="6" t="n">
        <v>216</v>
      </c>
      <c r="R100" s="6">
        <f>Q100-P100</f>
        <v/>
      </c>
    </row>
    <row r="101">
      <c r="P101" s="2" t="inlineStr">
        <is>
          <t>SETSTAFFASSISTANTS LABOR</t>
        </is>
      </c>
      <c r="R101" s="8">
        <f>SUM(R97:R100)</f>
        <v/>
      </c>
    </row>
    <row r="103">
      <c r="B103" s="2" t="inlineStr">
        <is>
          <t>PRODUCTIONACCOUNTANT</t>
        </is>
      </c>
    </row>
    <row r="104">
      <c r="A104" s="5" t="inlineStr">
        <is>
          <t>2013</t>
        </is>
      </c>
      <c r="B104" s="5" t="inlineStr">
        <is>
          <t>Joel Tokarsky</t>
        </is>
      </c>
      <c r="C104" s="5" t="inlineStr">
        <is>
          <t>PRODUCTIONACCOUNTANT</t>
        </is>
      </c>
      <c r="D104" s="5" t="inlineStr">
        <is>
          <t>Local871</t>
        </is>
      </c>
      <c r="E104" s="6" t="n">
        <v>740</v>
      </c>
      <c r="F104" s="5" t="n"/>
      <c r="G104" s="5" t="n"/>
      <c r="H104" s="5" t="n"/>
      <c r="I104" s="5" t="n"/>
      <c r="J104" s="7">
        <f>IF(AND(N(F104)&gt;0,N(I104)&gt;0),I104-F104-IF(N(G104)&gt;0,0.5,0)-IF(N(H104)&gt;0,0.5,0),0)</f>
        <v/>
      </c>
      <c r="K104" s="5" t="n"/>
      <c r="L104" s="7">
        <f>MIN(J104,10.0)</f>
        <v/>
      </c>
      <c r="M104" s="7">
        <f>MAX(0,MIN(J104,12)-10.0)</f>
        <v/>
      </c>
      <c r="N104" s="7">
        <f>MAX(0,J104-12)</f>
        <v/>
      </c>
      <c r="O104" s="5" t="n"/>
      <c r="P104" s="6">
        <f>E104*(L104+M104*1.5+N104*2+O104*3+N(K104))</f>
        <v/>
      </c>
      <c r="Q104" s="6" t="n">
        <v>740</v>
      </c>
      <c r="R104" s="6">
        <f>Q104-P104</f>
        <v/>
      </c>
    </row>
    <row r="105">
      <c r="P105" s="2" t="inlineStr">
        <is>
          <t>PRODUCTIONACCOUNTANT LABOR</t>
        </is>
      </c>
      <c r="R105" s="8">
        <f>SUM(R104:R104)</f>
        <v/>
      </c>
    </row>
    <row r="107">
      <c r="B107" s="2" t="inlineStr">
        <is>
          <t>ASSTPRODUCTIONACCOUNTANTS</t>
        </is>
      </c>
    </row>
    <row r="108">
      <c r="A108" s="5" t="inlineStr">
        <is>
          <t>2014</t>
        </is>
      </c>
      <c r="B108" s="5" t="inlineStr">
        <is>
          <t>Co-Co Aiello</t>
        </is>
      </c>
      <c r="C108" s="5" t="inlineStr">
        <is>
          <t>1STASSTACCT</t>
        </is>
      </c>
      <c r="D108" s="5" t="inlineStr">
        <is>
          <t>Local871</t>
        </is>
      </c>
      <c r="E108" s="6" t="n">
        <v>480</v>
      </c>
      <c r="F108" s="5" t="n"/>
      <c r="G108" s="5" t="n"/>
      <c r="H108" s="5" t="n"/>
      <c r="I108" s="5" t="n"/>
      <c r="J108" s="7">
        <f>IF(AND(N(F108)&gt;0,N(I108)&gt;0),I108-F108-IF(N(G108)&gt;0,0.5,0)-IF(N(H108)&gt;0,0.5,0),0)</f>
        <v/>
      </c>
      <c r="K108" s="5" t="n"/>
      <c r="L108" s="7">
        <f>MIN(J108,10.0)</f>
        <v/>
      </c>
      <c r="M108" s="7">
        <f>MAX(0,MIN(J108,12)-10.0)</f>
        <v/>
      </c>
      <c r="N108" s="7">
        <f>MAX(0,J108-12)</f>
        <v/>
      </c>
      <c r="O108" s="5" t="n"/>
      <c r="P108" s="6">
        <f>E108*(L108+M108*1.5+N108*2+O108*3+N(K108))</f>
        <v/>
      </c>
      <c r="Q108" s="6" t="n">
        <v>480</v>
      </c>
      <c r="R108" s="6">
        <f>Q108-P108</f>
        <v/>
      </c>
    </row>
    <row r="109">
      <c r="A109" s="5" t="inlineStr">
        <is>
          <t>2014</t>
        </is>
      </c>
      <c r="B109" s="5" t="inlineStr">
        <is>
          <t>Steve Goldstein</t>
        </is>
      </c>
      <c r="C109" s="5" t="inlineStr">
        <is>
          <t>PAYROLLACCT</t>
        </is>
      </c>
      <c r="D109" s="5" t="inlineStr">
        <is>
          <t>Local871</t>
        </is>
      </c>
      <c r="E109" s="6" t="n">
        <v>420</v>
      </c>
      <c r="F109" s="5" t="n"/>
      <c r="G109" s="5" t="n"/>
      <c r="H109" s="5" t="n"/>
      <c r="I109" s="5" t="n"/>
      <c r="J109" s="7">
        <f>IF(AND(N(F109)&gt;0,N(I109)&gt;0),I109-F109-IF(N(G109)&gt;0,0.5,0)-IF(N(H109)&gt;0,0.5,0),0)</f>
        <v/>
      </c>
      <c r="K109" s="5" t="n"/>
      <c r="L109" s="7">
        <f>MIN(J109,10.0)</f>
        <v/>
      </c>
      <c r="M109" s="7">
        <f>MAX(0,MIN(J109,12)-10.0)</f>
        <v/>
      </c>
      <c r="N109" s="7">
        <f>MAX(0,J109-12)</f>
        <v/>
      </c>
      <c r="O109" s="5" t="n"/>
      <c r="P109" s="6">
        <f>E109*(L109+M109*1.5+N109*2+O109*3+N(K109))</f>
        <v/>
      </c>
      <c r="Q109" s="6" t="n">
        <v>420</v>
      </c>
      <c r="R109" s="6">
        <f>Q109-P109</f>
        <v/>
      </c>
    </row>
    <row r="110">
      <c r="P110" s="2" t="inlineStr">
        <is>
          <t>ASSTPRODUCTIONACCOUNTANTS LABOR</t>
        </is>
      </c>
      <c r="R110" s="8">
        <f>SUM(R108:R109)</f>
        <v/>
      </c>
    </row>
    <row r="112">
      <c r="B112" s="2" t="inlineStr">
        <is>
          <t>CONSTRUCTIONCOORDINATOR</t>
        </is>
      </c>
    </row>
    <row r="113">
      <c r="A113" s="5" t="inlineStr">
        <is>
          <t>2302</t>
        </is>
      </c>
      <c r="B113" s="5" t="inlineStr">
        <is>
          <t>Drew Rebelin</t>
        </is>
      </c>
      <c r="C113" s="5" t="inlineStr">
        <is>
          <t>CONSTCOORDINATOR</t>
        </is>
      </c>
      <c r="D113" s="5" t="inlineStr">
        <is>
          <t>Local44</t>
        </is>
      </c>
      <c r="E113" s="6" t="n">
        <v>400</v>
      </c>
      <c r="F113" s="5" t="n"/>
      <c r="G113" s="5" t="n"/>
      <c r="H113" s="5" t="n"/>
      <c r="I113" s="5" t="n"/>
      <c r="J113" s="7">
        <f>IF(AND(N(F113)&gt;0,N(I113)&gt;0),I113-F113-IF(N(G113)&gt;0,0.5,0)-IF(N(H113)&gt;0,0.5,0),0)</f>
        <v/>
      </c>
      <c r="K113" s="5" t="n"/>
      <c r="L113" s="7">
        <f>MIN(J113,10.0)</f>
        <v/>
      </c>
      <c r="M113" s="7">
        <f>MAX(0,MIN(J113,12)-10.0)</f>
        <v/>
      </c>
      <c r="N113" s="7">
        <f>MAX(0,J113-12)</f>
        <v/>
      </c>
      <c r="O113" s="5" t="n"/>
      <c r="P113" s="6">
        <f>E113*(L113+M113*1.5+N113*2+O113*3+N(K113))</f>
        <v/>
      </c>
      <c r="Q113" s="5" t="n"/>
      <c r="R113" s="6">
        <f>Q113-P113</f>
        <v/>
      </c>
    </row>
    <row r="114">
      <c r="P114" s="2" t="inlineStr">
        <is>
          <t>CONSTRUCTIONCOORDINATOR LABOR</t>
        </is>
      </c>
      <c r="R114" s="8">
        <f>SUM(R113:R113)</f>
        <v/>
      </c>
    </row>
    <row r="116">
      <c r="B116" s="2" t="inlineStr">
        <is>
          <t>PAINTFOREMAN</t>
        </is>
      </c>
    </row>
    <row r="117">
      <c r="A117" s="5" t="inlineStr">
        <is>
          <t>2304</t>
        </is>
      </c>
      <c r="B117" s="5" t="inlineStr">
        <is>
          <t>Kristeen Reimnitz</t>
        </is>
      </c>
      <c r="C117" s="5" t="inlineStr">
        <is>
          <t>PAINTER</t>
        </is>
      </c>
      <c r="D117" s="5" t="inlineStr">
        <is>
          <t>Local729</t>
        </is>
      </c>
      <c r="E117" s="6" t="n">
        <v>23.04</v>
      </c>
      <c r="F117" s="5" t="n"/>
      <c r="G117" s="5" t="n"/>
      <c r="H117" s="5" t="n"/>
      <c r="I117" s="5" t="n"/>
      <c r="J117" s="7">
        <f>IF(AND(N(F117)&gt;0,N(I117)&gt;0),I117-F117-IF(N(G117)&gt;0,0.5,0)-IF(N(H117)&gt;0,0.5,0),0)</f>
        <v/>
      </c>
      <c r="K117" s="5" t="n"/>
      <c r="L117" s="7">
        <f>MIN(J117,10.0)</f>
        <v/>
      </c>
      <c r="M117" s="7">
        <f>MAX(0,MIN(J117,12)-10.0)</f>
        <v/>
      </c>
      <c r="N117" s="7">
        <f>MAX(0,J117-12)</f>
        <v/>
      </c>
      <c r="O117" s="5" t="n"/>
      <c r="P117" s="6">
        <f>E117*(L117+M117*1.5+N117*2+O117*3+N(K117))</f>
        <v/>
      </c>
      <c r="Q117" s="5" t="n"/>
      <c r="R117" s="6">
        <f>Q117-P117</f>
        <v/>
      </c>
    </row>
    <row r="118">
      <c r="P118" s="2" t="inlineStr">
        <is>
          <t>PAINTFOREMAN LABOR</t>
        </is>
      </c>
      <c r="R118" s="8">
        <f>SUM(R117:R117)</f>
        <v/>
      </c>
    </row>
    <row r="120">
      <c r="B120" s="2" t="inlineStr">
        <is>
          <t>FIRSTAIDLABOR</t>
        </is>
      </c>
    </row>
    <row r="121">
      <c r="A121" s="5" t="inlineStr">
        <is>
          <t>2310</t>
        </is>
      </c>
      <c r="B121" s="5" t="inlineStr"/>
      <c r="C121" s="5" t="inlineStr">
        <is>
          <t>CONSTRUCTIONMEDIC</t>
        </is>
      </c>
      <c r="D121" s="5" t="inlineStr">
        <is>
          <t>Local80</t>
        </is>
      </c>
      <c r="E121" s="6" t="n">
        <v>23.04</v>
      </c>
      <c r="F121" s="5" t="n"/>
      <c r="G121" s="5" t="n"/>
      <c r="H121" s="5" t="n"/>
      <c r="I121" s="5" t="n"/>
      <c r="J121" s="7">
        <f>IF(AND(N(F121)&gt;0,N(I121)&gt;0),I121-F121-IF(N(G121)&gt;0,0.5,0)-IF(N(H121)&gt;0,0.5,0),0)</f>
        <v/>
      </c>
      <c r="K121" s="5" t="n"/>
      <c r="L121" s="7">
        <f>MIN(J121,10.0)</f>
        <v/>
      </c>
      <c r="M121" s="7">
        <f>MAX(0,MIN(J121,12)-10.0)</f>
        <v/>
      </c>
      <c r="N121" s="7">
        <f>MAX(0,J121-12)</f>
        <v/>
      </c>
      <c r="O121" s="5" t="n"/>
      <c r="P121" s="6">
        <f>E121*(L121+M121*1.5+N121*2+O121*3+N(K121))</f>
        <v/>
      </c>
      <c r="Q121" s="5" t="n"/>
      <c r="R121" s="6">
        <f>Q121-P121</f>
        <v/>
      </c>
    </row>
    <row r="122">
      <c r="P122" s="2" t="inlineStr">
        <is>
          <t>FIRSTAIDLABOR LABOR</t>
        </is>
      </c>
      <c r="R122" s="8">
        <f>SUM(R121:R121)</f>
        <v/>
      </c>
    </row>
    <row r="124">
      <c r="B124" s="2" t="inlineStr">
        <is>
          <t>KEYGRIP</t>
        </is>
      </c>
    </row>
    <row r="125">
      <c r="A125" s="5" t="inlineStr">
        <is>
          <t>2501</t>
        </is>
      </c>
      <c r="B125" s="5" t="inlineStr">
        <is>
          <t>Pat O'Mara</t>
        </is>
      </c>
      <c r="C125" s="5" t="inlineStr">
        <is>
          <t>KEYGRIP</t>
        </is>
      </c>
      <c r="D125" s="5" t="inlineStr">
        <is>
          <t>Local80</t>
        </is>
      </c>
      <c r="E125" s="6" t="n">
        <v>25.5</v>
      </c>
      <c r="F125" s="5" t="n"/>
      <c r="G125" s="5" t="n"/>
      <c r="H125" s="5" t="n"/>
      <c r="I125" s="5" t="n"/>
      <c r="J125" s="7">
        <f>IF(AND(N(F125)&gt;0,N(I125)&gt;0),I125-F125-IF(N(G125)&gt;0,0.5,0)-IF(N(H125)&gt;0,0.5,0),0)</f>
        <v/>
      </c>
      <c r="K125" s="5" t="n"/>
      <c r="L125" s="7">
        <f>MIN(J125,10.0)</f>
        <v/>
      </c>
      <c r="M125" s="7">
        <f>MAX(0,MIN(J125,12)-10.0)</f>
        <v/>
      </c>
      <c r="N125" s="7">
        <f>MAX(0,J125-12)</f>
        <v/>
      </c>
      <c r="O125" s="5" t="n"/>
      <c r="P125" s="6">
        <f>E125*(L125+M125*1.5+N125*2+O125*3+N(K125))</f>
        <v/>
      </c>
      <c r="Q125" s="6" t="n">
        <v>395.25</v>
      </c>
      <c r="R125" s="6">
        <f>Q125-P125</f>
        <v/>
      </c>
    </row>
    <row r="126">
      <c r="P126" s="2" t="inlineStr">
        <is>
          <t>KEYGRIP LABOR</t>
        </is>
      </c>
      <c r="R126" s="8">
        <f>SUM(R125:R125)</f>
        <v/>
      </c>
    </row>
    <row r="128">
      <c r="B128" s="2" t="inlineStr">
        <is>
          <t>BESTBOYGRIP</t>
        </is>
      </c>
    </row>
    <row r="129">
      <c r="A129" s="5" t="inlineStr">
        <is>
          <t>2502</t>
        </is>
      </c>
      <c r="B129" s="5" t="inlineStr">
        <is>
          <t>Aaron Fairley</t>
        </is>
      </c>
      <c r="C129" s="5" t="inlineStr">
        <is>
          <t>BESTBOYGRIP</t>
        </is>
      </c>
      <c r="D129" s="5" t="inlineStr">
        <is>
          <t>Local80</t>
        </is>
      </c>
      <c r="E129" s="6" t="n">
        <v>23.04</v>
      </c>
      <c r="F129" s="5" t="n"/>
      <c r="G129" s="5" t="n"/>
      <c r="H129" s="5" t="n"/>
      <c r="I129" s="5" t="n"/>
      <c r="J129" s="7">
        <f>IF(AND(N(F129)&gt;0,N(I129)&gt;0),I129-F129-IF(N(G129)&gt;0,0.5,0)-IF(N(H129)&gt;0,0.5,0),0)</f>
        <v/>
      </c>
      <c r="K129" s="5" t="n"/>
      <c r="L129" s="7">
        <f>MIN(J129,10.0)</f>
        <v/>
      </c>
      <c r="M129" s="7">
        <f>MAX(0,MIN(J129,12)-10.0)</f>
        <v/>
      </c>
      <c r="N129" s="7">
        <f>MAX(0,J129-12)</f>
        <v/>
      </c>
      <c r="O129" s="5" t="n"/>
      <c r="P129" s="6">
        <f>E129*(L129+M129*1.5+N129*2+O129*3+N(K129))</f>
        <v/>
      </c>
      <c r="Q129" s="6" t="n">
        <v>357.12</v>
      </c>
      <c r="R129" s="6">
        <f>Q129-P129</f>
        <v/>
      </c>
    </row>
    <row r="130">
      <c r="A130" s="5" t="inlineStr">
        <is>
          <t>2502</t>
        </is>
      </c>
      <c r="B130" s="5" t="inlineStr"/>
      <c r="C130" s="5" t="inlineStr">
        <is>
          <t>STUDIOBESTBOYGRIP</t>
        </is>
      </c>
      <c r="D130" s="5" t="inlineStr">
        <is>
          <t>Local80</t>
        </is>
      </c>
      <c r="E130" s="6" t="n">
        <v>43.05</v>
      </c>
      <c r="F130" s="5" t="n"/>
      <c r="G130" s="5" t="n"/>
      <c r="H130" s="5" t="n"/>
      <c r="I130" s="5" t="n"/>
      <c r="J130" s="7">
        <f>IF(AND(N(F130)&gt;0,N(I130)&gt;0),I130-F130-IF(N(G130)&gt;0,0.5,0)-IF(N(H130)&gt;0,0.5,0),0)</f>
        <v/>
      </c>
      <c r="K130" s="5" t="n"/>
      <c r="L130" s="7">
        <f>MIN(J130,10.0)</f>
        <v/>
      </c>
      <c r="M130" s="7">
        <f>MAX(0,MIN(J130,12)-10.0)</f>
        <v/>
      </c>
      <c r="N130" s="7">
        <f>MAX(0,J130-12)</f>
        <v/>
      </c>
      <c r="O130" s="5" t="n"/>
      <c r="P130" s="6">
        <f>E130*(L130+M130*1.5+N130*2+O130*3+N(K130))</f>
        <v/>
      </c>
      <c r="Q130" s="6" t="n">
        <v>667.27</v>
      </c>
      <c r="R130" s="6">
        <f>Q130-P130</f>
        <v/>
      </c>
    </row>
    <row r="131">
      <c r="P131" s="2" t="inlineStr">
        <is>
          <t>BESTBOYGRIP LABOR</t>
        </is>
      </c>
      <c r="R131" s="8">
        <f>SUM(R129:R130)</f>
        <v/>
      </c>
    </row>
    <row r="133">
      <c r="B133" s="2" t="inlineStr">
        <is>
          <t>DOLLYGRIP</t>
        </is>
      </c>
    </row>
    <row r="134">
      <c r="A134" s="5" t="inlineStr">
        <is>
          <t>2503</t>
        </is>
      </c>
      <c r="B134" s="5" t="inlineStr">
        <is>
          <t>Peter Weidenfeller</t>
        </is>
      </c>
      <c r="C134" s="5" t="inlineStr">
        <is>
          <t>"A"DOLLYGRIP</t>
        </is>
      </c>
      <c r="D134" s="5" t="inlineStr">
        <is>
          <t>Local80</t>
        </is>
      </c>
      <c r="E134" s="6" t="n">
        <v>23.04</v>
      </c>
      <c r="F134" s="5" t="n"/>
      <c r="G134" s="5" t="n"/>
      <c r="H134" s="5" t="n"/>
      <c r="I134" s="5" t="n"/>
      <c r="J134" s="7">
        <f>IF(AND(N(F134)&gt;0,N(I134)&gt;0),I134-F134-IF(N(G134)&gt;0,0.5,0)-IF(N(H134)&gt;0,0.5,0),0)</f>
        <v/>
      </c>
      <c r="K134" s="5" t="n"/>
      <c r="L134" s="7">
        <f>MIN(J134,10.0)</f>
        <v/>
      </c>
      <c r="M134" s="7">
        <f>MAX(0,MIN(J134,12)-10.0)</f>
        <v/>
      </c>
      <c r="N134" s="7">
        <f>MAX(0,J134-12)</f>
        <v/>
      </c>
      <c r="O134" s="5" t="n"/>
      <c r="P134" s="6">
        <f>E134*(L134+M134*1.5+N134*2+O134*3+N(K134))</f>
        <v/>
      </c>
      <c r="Q134" s="6" t="n">
        <v>357.12</v>
      </c>
      <c r="R134" s="6">
        <f>Q134-P134</f>
        <v/>
      </c>
    </row>
    <row r="135">
      <c r="P135" s="2" t="inlineStr">
        <is>
          <t>DOLLYGRIP LABOR</t>
        </is>
      </c>
      <c r="R135" s="8">
        <f>SUM(R134:R134)</f>
        <v/>
      </c>
    </row>
    <row r="137">
      <c r="B137" s="2" t="inlineStr">
        <is>
          <t>CRANEGRIPS</t>
        </is>
      </c>
    </row>
    <row r="138">
      <c r="A138" s="5" t="inlineStr">
        <is>
          <t>2504</t>
        </is>
      </c>
      <c r="B138" s="5" t="inlineStr"/>
      <c r="C138" s="5" t="inlineStr">
        <is>
          <t>CRANEOPERATOR</t>
        </is>
      </c>
      <c r="D138" s="5" t="inlineStr">
        <is>
          <t>Local80</t>
        </is>
      </c>
      <c r="E138" s="6" t="n">
        <v>792</v>
      </c>
      <c r="F138" s="5" t="n"/>
      <c r="G138" s="5" t="n"/>
      <c r="H138" s="5" t="n"/>
      <c r="I138" s="5" t="n"/>
      <c r="J138" s="7">
        <f>IF(AND(N(F138)&gt;0,N(I138)&gt;0),I138-F138-IF(N(G138)&gt;0,0.5,0)-IF(N(H138)&gt;0,0.5,0),0)</f>
        <v/>
      </c>
      <c r="K138" s="5" t="n"/>
      <c r="L138" s="7">
        <f>MIN(J138,10.0)</f>
        <v/>
      </c>
      <c r="M138" s="7">
        <f>MAX(0,MIN(J138,12)-10.0)</f>
        <v/>
      </c>
      <c r="N138" s="7">
        <f>MAX(0,J138-12)</f>
        <v/>
      </c>
      <c r="O138" s="5" t="n"/>
      <c r="P138" s="6">
        <f>E138*(L138+M138*1.5+N138*2+O138*3+N(K138))</f>
        <v/>
      </c>
      <c r="Q138" s="6" t="n">
        <v>924</v>
      </c>
      <c r="R138" s="6">
        <f>Q138-P138</f>
        <v/>
      </c>
    </row>
    <row r="139">
      <c r="A139" s="5" t="inlineStr">
        <is>
          <t>2504</t>
        </is>
      </c>
      <c r="B139" s="5" t="inlineStr"/>
      <c r="C139" s="5" t="inlineStr">
        <is>
          <t>CRANEASSISTANT</t>
        </is>
      </c>
      <c r="D139" s="5" t="inlineStr">
        <is>
          <t>Local80</t>
        </is>
      </c>
      <c r="E139" s="6" t="n">
        <v>660</v>
      </c>
      <c r="F139" s="5" t="n"/>
      <c r="G139" s="5" t="n"/>
      <c r="H139" s="5" t="n"/>
      <c r="I139" s="5" t="n"/>
      <c r="J139" s="7">
        <f>IF(AND(N(F139)&gt;0,N(I139)&gt;0),I139-F139-IF(N(G139)&gt;0,0.5,0)-IF(N(H139)&gt;0,0.5,0),0)</f>
        <v/>
      </c>
      <c r="K139" s="5" t="n"/>
      <c r="L139" s="7">
        <f>MIN(J139,10.0)</f>
        <v/>
      </c>
      <c r="M139" s="7">
        <f>MAX(0,MIN(J139,12)-10.0)</f>
        <v/>
      </c>
      <c r="N139" s="7">
        <f>MAX(0,J139-12)</f>
        <v/>
      </c>
      <c r="O139" s="5" t="n"/>
      <c r="P139" s="6">
        <f>E139*(L139+M139*1.5+N139*2+O139*3+N(K139))</f>
        <v/>
      </c>
      <c r="Q139" s="6" t="n">
        <v>770</v>
      </c>
      <c r="R139" s="6">
        <f>Q139-P139</f>
        <v/>
      </c>
    </row>
    <row r="140">
      <c r="P140" s="2" t="inlineStr">
        <is>
          <t>CRANEGRIPS LABOR</t>
        </is>
      </c>
      <c r="R140" s="8">
        <f>SUM(R138:R139)</f>
        <v/>
      </c>
    </row>
    <row r="142">
      <c r="B142" s="2" t="inlineStr">
        <is>
          <t>COMPANYGRIPS</t>
        </is>
      </c>
    </row>
    <row r="143">
      <c r="A143" s="5" t="inlineStr">
        <is>
          <t>2505</t>
        </is>
      </c>
      <c r="B143" s="5" t="inlineStr"/>
      <c r="C143" s="5" t="inlineStr">
        <is>
          <t>GRIP#1</t>
        </is>
      </c>
      <c r="D143" s="5" t="inlineStr">
        <is>
          <t>Local80</t>
        </is>
      </c>
      <c r="E143" s="6" t="n">
        <v>20.57</v>
      </c>
      <c r="F143" s="5" t="n"/>
      <c r="G143" s="5" t="n"/>
      <c r="H143" s="5" t="n"/>
      <c r="I143" s="5" t="n"/>
      <c r="J143" s="7">
        <f>IF(AND(N(F143)&gt;0,N(I143)&gt;0),I143-F143-IF(N(G143)&gt;0,0.5,0)-IF(N(H143)&gt;0,0.5,0),0)</f>
        <v/>
      </c>
      <c r="K143" s="5" t="n"/>
      <c r="L143" s="7">
        <f>MIN(J143,10.0)</f>
        <v/>
      </c>
      <c r="M143" s="7">
        <f>MAX(0,MIN(J143,12)-10.0)</f>
        <v/>
      </c>
      <c r="N143" s="7">
        <f>MAX(0,J143-12)</f>
        <v/>
      </c>
      <c r="O143" s="5" t="n"/>
      <c r="P143" s="6">
        <f>E143*(L143+M143*1.5+N143*2+O143*3+N(K143))</f>
        <v/>
      </c>
      <c r="Q143" s="6" t="n">
        <v>318.83</v>
      </c>
      <c r="R143" s="6">
        <f>Q143-P143</f>
        <v/>
      </c>
    </row>
    <row r="144">
      <c r="A144" s="5" t="inlineStr">
        <is>
          <t>2505</t>
        </is>
      </c>
      <c r="B144" s="5" t="inlineStr"/>
      <c r="C144" s="5" t="inlineStr">
        <is>
          <t>GRIP#2</t>
        </is>
      </c>
      <c r="D144" s="5" t="inlineStr">
        <is>
          <t>Local80</t>
        </is>
      </c>
      <c r="E144" s="6" t="n">
        <v>20.57</v>
      </c>
      <c r="F144" s="5" t="n"/>
      <c r="G144" s="5" t="n"/>
      <c r="H144" s="5" t="n"/>
      <c r="I144" s="5" t="n"/>
      <c r="J144" s="7">
        <f>IF(AND(N(F144)&gt;0,N(I144)&gt;0),I144-F144-IF(N(G144)&gt;0,0.5,0)-IF(N(H144)&gt;0,0.5,0),0)</f>
        <v/>
      </c>
      <c r="K144" s="5" t="n"/>
      <c r="L144" s="7">
        <f>MIN(J144,10.0)</f>
        <v/>
      </c>
      <c r="M144" s="7">
        <f>MAX(0,MIN(J144,12)-10.0)</f>
        <v/>
      </c>
      <c r="N144" s="7">
        <f>MAX(0,J144-12)</f>
        <v/>
      </c>
      <c r="O144" s="5" t="n"/>
      <c r="P144" s="6">
        <f>E144*(L144+M144*1.5+N144*2+O144*3+N(K144))</f>
        <v/>
      </c>
      <c r="Q144" s="6" t="n">
        <v>318.83</v>
      </c>
      <c r="R144" s="6">
        <f>Q144-P144</f>
        <v/>
      </c>
    </row>
    <row r="145">
      <c r="A145" s="5" t="inlineStr">
        <is>
          <t>2505</t>
        </is>
      </c>
      <c r="B145" s="5" t="inlineStr"/>
      <c r="C145" s="5" t="inlineStr">
        <is>
          <t>GRIP#3</t>
        </is>
      </c>
      <c r="D145" s="5" t="inlineStr">
        <is>
          <t>Local80</t>
        </is>
      </c>
      <c r="E145" s="6" t="n">
        <v>20.57</v>
      </c>
      <c r="F145" s="5" t="n"/>
      <c r="G145" s="5" t="n"/>
      <c r="H145" s="5" t="n"/>
      <c r="I145" s="5" t="n"/>
      <c r="J145" s="7">
        <f>IF(AND(N(F145)&gt;0,N(I145)&gt;0),I145-F145-IF(N(G145)&gt;0,0.5,0)-IF(N(H145)&gt;0,0.5,0),0)</f>
        <v/>
      </c>
      <c r="K145" s="5" t="n"/>
      <c r="L145" s="7">
        <f>MIN(J145,10.0)</f>
        <v/>
      </c>
      <c r="M145" s="7">
        <f>MAX(0,MIN(J145,12)-10.0)</f>
        <v/>
      </c>
      <c r="N145" s="7">
        <f>MAX(0,J145-12)</f>
        <v/>
      </c>
      <c r="O145" s="5" t="n"/>
      <c r="P145" s="6">
        <f>E145*(L145+M145*1.5+N145*2+O145*3+N(K145))</f>
        <v/>
      </c>
      <c r="Q145" s="6" t="n">
        <v>318.83</v>
      </c>
      <c r="R145" s="6">
        <f>Q145-P145</f>
        <v/>
      </c>
    </row>
    <row r="146">
      <c r="P146" s="2" t="inlineStr">
        <is>
          <t>COMPANYGRIPS LABOR</t>
        </is>
      </c>
      <c r="R146" s="8">
        <f>SUM(R143:R145)</f>
        <v/>
      </c>
    </row>
    <row r="148">
      <c r="B148" s="2" t="inlineStr">
        <is>
          <t>OTHERLABOR</t>
        </is>
      </c>
    </row>
    <row r="149">
      <c r="A149" s="5" t="inlineStr">
        <is>
          <t>2506</t>
        </is>
      </c>
      <c r="B149" s="5" t="inlineStr"/>
      <c r="C149" s="5" t="inlineStr">
        <is>
          <t>GRIPMANDAYS&amp;RIGGINGMANDAYS</t>
        </is>
      </c>
      <c r="D149" s="5" t="inlineStr">
        <is>
          <t>Local80</t>
        </is>
      </c>
      <c r="E149" s="6" t="n">
        <v>20.57</v>
      </c>
      <c r="F149" s="5" t="n"/>
      <c r="G149" s="5" t="n"/>
      <c r="H149" s="5" t="n"/>
      <c r="I149" s="5" t="n"/>
      <c r="J149" s="7">
        <f>IF(AND(N(F149)&gt;0,N(I149)&gt;0),I149-F149-IF(N(G149)&gt;0,0.5,0)-IF(N(H149)&gt;0,0.5,0),0)</f>
        <v/>
      </c>
      <c r="K149" s="5" t="n"/>
      <c r="L149" s="7">
        <f>MIN(J149,10.0)</f>
        <v/>
      </c>
      <c r="M149" s="7">
        <f>MAX(0,MIN(J149,12)-10.0)</f>
        <v/>
      </c>
      <c r="N149" s="7">
        <f>MAX(0,J149-12)</f>
        <v/>
      </c>
      <c r="O149" s="5" t="n"/>
      <c r="P149" s="6">
        <f>E149*(L149+M149*1.5+N149*2+O149*3+N(K149))</f>
        <v/>
      </c>
      <c r="Q149" s="6" t="n">
        <v>318.83</v>
      </c>
      <c r="R149" s="6">
        <f>Q149-P149</f>
        <v/>
      </c>
    </row>
    <row r="150">
      <c r="P150" s="2" t="inlineStr">
        <is>
          <t>OTHERLABOR LABOR</t>
        </is>
      </c>
      <c r="R150" s="8">
        <f>SUM(R149:R149)</f>
        <v/>
      </c>
    </row>
    <row r="152">
      <c r="B152" s="2" t="inlineStr">
        <is>
          <t>STANDBYLABOR</t>
        </is>
      </c>
    </row>
    <row r="153">
      <c r="A153" s="5" t="inlineStr">
        <is>
          <t>2510</t>
        </is>
      </c>
      <c r="B153" s="5" t="inlineStr"/>
      <c r="C153" s="5" t="inlineStr">
        <is>
          <t>LAYOUTBOARD</t>
        </is>
      </c>
      <c r="D153" s="5" t="inlineStr">
        <is>
          <t>Local729</t>
        </is>
      </c>
      <c r="E153" s="6" t="n">
        <v>25.5</v>
      </c>
      <c r="F153" s="5" t="n"/>
      <c r="G153" s="5" t="n"/>
      <c r="H153" s="5" t="n"/>
      <c r="I153" s="5" t="n"/>
      <c r="J153" s="7">
        <f>IF(AND(N(F153)&gt;0,N(I153)&gt;0),I153-F153-IF(N(G153)&gt;0,0.5,0)-IF(N(H153)&gt;0,0.5,0),0)</f>
        <v/>
      </c>
      <c r="K153" s="5" t="n"/>
      <c r="L153" s="7">
        <f>MIN(J153,10.0)</f>
        <v/>
      </c>
      <c r="M153" s="7">
        <f>MAX(0,MIN(J153,12)-10.0)</f>
        <v/>
      </c>
      <c r="N153" s="7">
        <f>MAX(0,J153-12)</f>
        <v/>
      </c>
      <c r="O153" s="5" t="n"/>
      <c r="P153" s="6">
        <f>E153*(L153+M153*1.5+N153*2+O153*3+N(K153))</f>
        <v/>
      </c>
      <c r="Q153" s="6" t="n">
        <v>395.25</v>
      </c>
      <c r="R153" s="6">
        <f>Q153-P153</f>
        <v/>
      </c>
    </row>
    <row r="154">
      <c r="P154" s="2" t="inlineStr">
        <is>
          <t>STANDBYLABOR LABOR</t>
        </is>
      </c>
      <c r="R154" s="8">
        <f>SUM(R153:R153)</f>
        <v/>
      </c>
    </row>
    <row r="156">
      <c r="B156" s="2" t="inlineStr">
        <is>
          <t>SETCRAFTSERVICELABOR</t>
        </is>
      </c>
    </row>
    <row r="157">
      <c r="A157" s="5" t="inlineStr">
        <is>
          <t>2511</t>
        </is>
      </c>
      <c r="B157" s="5" t="inlineStr">
        <is>
          <t>Maurico Solis</t>
        </is>
      </c>
      <c r="C157" s="5" t="inlineStr">
        <is>
          <t>KEYCRAFTSERVICE</t>
        </is>
      </c>
      <c r="D157" s="5" t="inlineStr">
        <is>
          <t>Local80</t>
        </is>
      </c>
      <c r="E157" s="6" t="n">
        <v>25.5</v>
      </c>
      <c r="F157" s="5" t="n"/>
      <c r="G157" s="5" t="n"/>
      <c r="H157" s="5" t="n"/>
      <c r="I157" s="5" t="n"/>
      <c r="J157" s="7">
        <f>IF(AND(N(F157)&gt;0,N(I157)&gt;0),I157-F157-IF(N(G157)&gt;0,0.5,0)-IF(N(H157)&gt;0,0.5,0),0)</f>
        <v/>
      </c>
      <c r="K157" s="5" t="n"/>
      <c r="L157" s="7">
        <f>MIN(J157,10.0)</f>
        <v/>
      </c>
      <c r="M157" s="7">
        <f>MAX(0,MIN(J157,12)-10.0)</f>
        <v/>
      </c>
      <c r="N157" s="7">
        <f>MAX(0,J157-12)</f>
        <v/>
      </c>
      <c r="O157" s="5" t="n"/>
      <c r="P157" s="6">
        <f>E157*(L157+M157*1.5+N157*2+O157*3+N(K157))</f>
        <v/>
      </c>
      <c r="Q157" s="6" t="n">
        <v>439.87</v>
      </c>
      <c r="R157" s="6">
        <f>Q157-P157</f>
        <v/>
      </c>
    </row>
    <row r="158">
      <c r="A158" s="5" t="inlineStr">
        <is>
          <t>2511</t>
        </is>
      </c>
      <c r="B158" s="5" t="inlineStr"/>
      <c r="C158" s="5" t="inlineStr">
        <is>
          <t>ASSTCRAFTSERVICE</t>
        </is>
      </c>
      <c r="D158" s="5" t="inlineStr">
        <is>
          <t>Local80</t>
        </is>
      </c>
      <c r="E158" s="6" t="n">
        <v>23.04</v>
      </c>
      <c r="F158" s="5" t="n"/>
      <c r="G158" s="5" t="n"/>
      <c r="H158" s="5" t="n"/>
      <c r="I158" s="5" t="n"/>
      <c r="J158" s="7">
        <f>IF(AND(N(F158)&gt;0,N(I158)&gt;0),I158-F158-IF(N(G158)&gt;0,0.5,0)-IF(N(H158)&gt;0,0.5,0),0)</f>
        <v/>
      </c>
      <c r="K158" s="5" t="n"/>
      <c r="L158" s="7">
        <f>MIN(J158,10.0)</f>
        <v/>
      </c>
      <c r="M158" s="7">
        <f>MAX(0,MIN(J158,12)-10.0)</f>
        <v/>
      </c>
      <c r="N158" s="7">
        <f>MAX(0,J158-12)</f>
        <v/>
      </c>
      <c r="O158" s="5" t="n"/>
      <c r="P158" s="6">
        <f>E158*(L158+M158*1.5+N158*2+O158*3+N(K158))</f>
        <v/>
      </c>
      <c r="Q158" s="6" t="n">
        <v>397.43</v>
      </c>
      <c r="R158" s="6">
        <f>Q158-P158</f>
        <v/>
      </c>
    </row>
    <row r="159">
      <c r="P159" s="2" t="inlineStr">
        <is>
          <t>SETCRAFTSERVICELABOR LABOR</t>
        </is>
      </c>
      <c r="R159" s="8">
        <f>SUM(R157:R158)</f>
        <v/>
      </c>
    </row>
    <row r="161">
      <c r="B161" s="2" t="inlineStr">
        <is>
          <t>SETFIRSTAIDLABOR</t>
        </is>
      </c>
    </row>
    <row r="162">
      <c r="A162" s="5" t="inlineStr">
        <is>
          <t>2514</t>
        </is>
      </c>
      <c r="B162" s="5" t="inlineStr">
        <is>
          <t>Robert Hill</t>
        </is>
      </c>
      <c r="C162" s="5" t="inlineStr">
        <is>
          <t>SETMEDIC</t>
        </is>
      </c>
      <c r="D162" s="5" t="inlineStr">
        <is>
          <t>Local80</t>
        </is>
      </c>
      <c r="E162" s="6" t="n">
        <v>23.04</v>
      </c>
      <c r="F162" s="5" t="n"/>
      <c r="G162" s="5" t="n"/>
      <c r="H162" s="5" t="n"/>
      <c r="I162" s="5" t="n"/>
      <c r="J162" s="7">
        <f>IF(AND(N(F162)&gt;0,N(I162)&gt;0),I162-F162-IF(N(G162)&gt;0,0.5,0)-IF(N(H162)&gt;0,0.5,0),0)</f>
        <v/>
      </c>
      <c r="K162" s="5" t="n"/>
      <c r="L162" s="7">
        <f>MIN(J162,10.0)</f>
        <v/>
      </c>
      <c r="M162" s="7">
        <f>MAX(0,MIN(J162,12)-10.0)</f>
        <v/>
      </c>
      <c r="N162" s="7">
        <f>MAX(0,J162-12)</f>
        <v/>
      </c>
      <c r="O162" s="5" t="n"/>
      <c r="P162" s="6">
        <f>E162*(L162+M162*1.5+N162*2+O162*3+N(K162))</f>
        <v/>
      </c>
      <c r="Q162" s="6" t="n">
        <v>397.43</v>
      </c>
      <c r="R162" s="6">
        <f>Q162-P162</f>
        <v/>
      </c>
    </row>
    <row r="163">
      <c r="A163" s="5" t="inlineStr">
        <is>
          <t>2514</t>
        </is>
      </c>
      <c r="B163" s="5" t="inlineStr"/>
      <c r="C163" s="5" t="inlineStr">
        <is>
          <t>RIGGINGMEDICMANDAYS</t>
        </is>
      </c>
      <c r="D163" s="5" t="inlineStr">
        <is>
          <t>Local80</t>
        </is>
      </c>
      <c r="E163" s="6" t="n">
        <v>23.04</v>
      </c>
      <c r="F163" s="5" t="n"/>
      <c r="G163" s="5" t="n"/>
      <c r="H163" s="5" t="n"/>
      <c r="I163" s="5" t="n"/>
      <c r="J163" s="7">
        <f>IF(AND(N(F163)&gt;0,N(I163)&gt;0),I163-F163-IF(N(G163)&gt;0,0.5,0)-IF(N(H163)&gt;0,0.5,0),0)</f>
        <v/>
      </c>
      <c r="K163" s="5" t="n"/>
      <c r="L163" s="7">
        <f>MIN(J163,10.0)</f>
        <v/>
      </c>
      <c r="M163" s="7">
        <f>MAX(0,MIN(J163,12)-10.0)</f>
        <v/>
      </c>
      <c r="N163" s="7">
        <f>MAX(0,J163-12)</f>
        <v/>
      </c>
      <c r="O163" s="5" t="n"/>
      <c r="P163" s="6">
        <f>E163*(L163+M163*1.5+N163*2+O163*3+N(K163))</f>
        <v/>
      </c>
      <c r="Q163" s="5" t="n"/>
      <c r="R163" s="6">
        <f>Q163-P163</f>
        <v/>
      </c>
    </row>
    <row r="164">
      <c r="P164" s="2" t="inlineStr">
        <is>
          <t>SETFIRSTAIDLABOR LABOR</t>
        </is>
      </c>
      <c r="R164" s="8">
        <f>SUM(R162:R163)</f>
        <v/>
      </c>
    </row>
    <row r="166">
      <c r="B166" s="2" t="inlineStr">
        <is>
          <t>SFXCOORDINATOR</t>
        </is>
      </c>
    </row>
    <row r="167">
      <c r="A167" s="5" t="inlineStr">
        <is>
          <t>2601</t>
        </is>
      </c>
      <c r="B167" s="5" t="inlineStr">
        <is>
          <t>Zak Knight</t>
        </is>
      </c>
      <c r="C167" s="5" t="inlineStr">
        <is>
          <t>SPFXCOORDINATOR</t>
        </is>
      </c>
      <c r="D167" s="5" t="inlineStr">
        <is>
          <t>Local44</t>
        </is>
      </c>
      <c r="E167" s="6" t="n">
        <v>42</v>
      </c>
      <c r="F167" s="5" t="n"/>
      <c r="G167" s="5" t="n"/>
      <c r="H167" s="5" t="n"/>
      <c r="I167" s="5" t="n"/>
      <c r="J167" s="7">
        <f>IF(AND(N(F167)&gt;0,N(I167)&gt;0),I167-F167-IF(N(G167)&gt;0,0.5,0)-IF(N(H167)&gt;0,0.5,0),0)</f>
        <v/>
      </c>
      <c r="K167" s="5" t="n"/>
      <c r="L167" s="7">
        <f>MIN(J167,10.0)</f>
        <v/>
      </c>
      <c r="M167" s="7">
        <f>MAX(0,MIN(J167,12)-10.0)</f>
        <v/>
      </c>
      <c r="N167" s="7">
        <f>MAX(0,J167-12)</f>
        <v/>
      </c>
      <c r="O167" s="5" t="n"/>
      <c r="P167" s="6">
        <f>E167*(L167+M167*1.5+N167*2+O167*3+N(K167))</f>
        <v/>
      </c>
      <c r="Q167" s="6" t="n">
        <v>651</v>
      </c>
      <c r="R167" s="6">
        <f>Q167-P167</f>
        <v/>
      </c>
    </row>
    <row r="168">
      <c r="P168" s="2" t="inlineStr">
        <is>
          <t>SFXCOORDINATOR LABOR</t>
        </is>
      </c>
      <c r="R168" s="8">
        <f>SUM(R167:R167)</f>
        <v/>
      </c>
    </row>
    <row r="170">
      <c r="B170" s="2" t="inlineStr">
        <is>
          <t>SFXTECHMANDAYS</t>
        </is>
      </c>
    </row>
    <row r="171">
      <c r="A171" s="5" t="inlineStr">
        <is>
          <t>2609</t>
        </is>
      </c>
      <c r="B171" s="5" t="inlineStr"/>
      <c r="C171" s="5" t="inlineStr">
        <is>
          <t>SPFXTECHMANDAYS</t>
        </is>
      </c>
      <c r="D171" s="5" t="inlineStr">
        <is>
          <t>Local44</t>
        </is>
      </c>
      <c r="E171" s="6" t="n">
        <v>40</v>
      </c>
      <c r="F171" s="5" t="n"/>
      <c r="G171" s="5" t="n"/>
      <c r="H171" s="5" t="n"/>
      <c r="I171" s="5" t="n"/>
      <c r="J171" s="7">
        <f>IF(AND(N(F171)&gt;0,N(I171)&gt;0),I171-F171-IF(N(G171)&gt;0,0.5,0)-IF(N(H171)&gt;0,0.5,0),0)</f>
        <v/>
      </c>
      <c r="K171" s="5" t="n"/>
      <c r="L171" s="7">
        <f>MIN(J171,10.0)</f>
        <v/>
      </c>
      <c r="M171" s="7">
        <f>MAX(0,MIN(J171,12)-10.0)</f>
        <v/>
      </c>
      <c r="N171" s="7">
        <f>MAX(0,J171-12)</f>
        <v/>
      </c>
      <c r="O171" s="5" t="n"/>
      <c r="P171" s="6">
        <f>E171*(L171+M171*1.5+N171*2+O171*3+N(K171))</f>
        <v/>
      </c>
      <c r="Q171" s="6" t="n">
        <v>620</v>
      </c>
      <c r="R171" s="6">
        <f>Q171-P171</f>
        <v/>
      </c>
    </row>
    <row r="172">
      <c r="A172" s="5" t="inlineStr">
        <is>
          <t>2609</t>
        </is>
      </c>
      <c r="B172" s="5" t="inlineStr"/>
      <c r="C172" s="5" t="inlineStr">
        <is>
          <t>SPFXASSISTANTMANDAYS</t>
        </is>
      </c>
      <c r="D172" s="5" t="inlineStr">
        <is>
          <t>Local44</t>
        </is>
      </c>
      <c r="E172" s="6" t="n">
        <v>25.5</v>
      </c>
      <c r="F172" s="5" t="n"/>
      <c r="G172" s="5" t="n"/>
      <c r="H172" s="5" t="n"/>
      <c r="I172" s="5" t="n"/>
      <c r="J172" s="7">
        <f>IF(AND(N(F172)&gt;0,N(I172)&gt;0),I172-F172-IF(N(G172)&gt;0,0.5,0)-IF(N(H172)&gt;0,0.5,0),0)</f>
        <v/>
      </c>
      <c r="K172" s="5" t="n"/>
      <c r="L172" s="7">
        <f>MIN(J172,10.0)</f>
        <v/>
      </c>
      <c r="M172" s="7">
        <f>MAX(0,MIN(J172,12)-10.0)</f>
        <v/>
      </c>
      <c r="N172" s="7">
        <f>MAX(0,J172-12)</f>
        <v/>
      </c>
      <c r="O172" s="5" t="n"/>
      <c r="P172" s="6">
        <f>E172*(L172+M172*1.5+N172*2+O172*3+N(K172))</f>
        <v/>
      </c>
      <c r="Q172" s="6" t="n">
        <v>395.25</v>
      </c>
      <c r="R172" s="6">
        <f>Q172-P172</f>
        <v/>
      </c>
    </row>
    <row r="173">
      <c r="A173" s="5" t="inlineStr">
        <is>
          <t>2609</t>
        </is>
      </c>
      <c r="B173" s="5" t="inlineStr"/>
      <c r="C173" s="5" t="inlineStr">
        <is>
          <t>PYROMANDAYS</t>
        </is>
      </c>
      <c r="D173" s="5" t="inlineStr">
        <is>
          <t>Local44</t>
        </is>
      </c>
      <c r="E173" s="6" t="n">
        <v>68.18000000000001</v>
      </c>
      <c r="F173" s="5" t="n"/>
      <c r="G173" s="5" t="n"/>
      <c r="H173" s="5" t="n"/>
      <c r="I173" s="5" t="n"/>
      <c r="J173" s="7">
        <f>IF(AND(N(F173)&gt;0,N(I173)&gt;0),I173-F173-IF(N(G173)&gt;0,0.5,0)-IF(N(H173)&gt;0,0.5,0),0)</f>
        <v/>
      </c>
      <c r="K173" s="5" t="n"/>
      <c r="L173" s="7">
        <f>MIN(J173,10.0)</f>
        <v/>
      </c>
      <c r="M173" s="7">
        <f>MAX(0,MIN(J173,12)-10.0)</f>
        <v/>
      </c>
      <c r="N173" s="7">
        <f>MAX(0,J173-12)</f>
        <v/>
      </c>
      <c r="O173" s="5" t="n"/>
      <c r="P173" s="6">
        <f>E173*(L173+M173*1.5+N173*2+O173*3+N(K173))</f>
        <v/>
      </c>
      <c r="Q173" s="6" t="n">
        <v>749.98</v>
      </c>
      <c r="R173" s="6">
        <f>Q173-P173</f>
        <v/>
      </c>
    </row>
    <row r="174">
      <c r="P174" s="2" t="inlineStr">
        <is>
          <t>SFXTECHMANDAYS LABOR</t>
        </is>
      </c>
      <c r="R174" s="8">
        <f>SUM(R171:R173)</f>
        <v/>
      </c>
    </row>
    <row r="176">
      <c r="B176" s="2" t="inlineStr">
        <is>
          <t>SETDECORATOR</t>
        </is>
      </c>
    </row>
    <row r="177">
      <c r="A177" s="5" t="inlineStr">
        <is>
          <t>2701</t>
        </is>
      </c>
      <c r="B177" s="5" t="inlineStr">
        <is>
          <t>Sandy Skora</t>
        </is>
      </c>
      <c r="C177" s="5" t="inlineStr">
        <is>
          <t>SETDECORATOR</t>
        </is>
      </c>
      <c r="D177" s="5" t="inlineStr">
        <is>
          <t>Local44</t>
        </is>
      </c>
      <c r="E177" s="6" t="n">
        <v>400</v>
      </c>
      <c r="F177" s="5" t="n"/>
      <c r="G177" s="5" t="n"/>
      <c r="H177" s="5" t="n"/>
      <c r="I177" s="5" t="n"/>
      <c r="J177" s="7">
        <f>IF(AND(N(F177)&gt;0,N(I177)&gt;0),I177-F177-IF(N(G177)&gt;0,0.5,0)-IF(N(H177)&gt;0,0.5,0),0)</f>
        <v/>
      </c>
      <c r="K177" s="5" t="n"/>
      <c r="L177" s="7">
        <f>MIN(J177,10.0)</f>
        <v/>
      </c>
      <c r="M177" s="7">
        <f>MAX(0,MIN(J177,12)-10.0)</f>
        <v/>
      </c>
      <c r="N177" s="7">
        <f>MAX(0,J177-12)</f>
        <v/>
      </c>
      <c r="O177" s="5" t="n"/>
      <c r="P177" s="6">
        <f>E177*(L177+M177*1.5+N177*2+O177*3+N(K177))</f>
        <v/>
      </c>
      <c r="Q177" s="6" t="n">
        <v>400</v>
      </c>
      <c r="R177" s="6">
        <f>Q177-P177</f>
        <v/>
      </c>
    </row>
    <row r="178">
      <c r="P178" s="2" t="inlineStr">
        <is>
          <t>SETDECORATOR LABOR</t>
        </is>
      </c>
      <c r="R178" s="8">
        <f>SUM(R177:R177)</f>
        <v/>
      </c>
    </row>
    <row r="180">
      <c r="B180" s="2" t="inlineStr">
        <is>
          <t>LEADPERSON</t>
        </is>
      </c>
    </row>
    <row r="181">
      <c r="A181" s="5" t="inlineStr">
        <is>
          <t>2702</t>
        </is>
      </c>
      <c r="B181" s="5" t="inlineStr">
        <is>
          <t>Josh Richmond</t>
        </is>
      </c>
      <c r="C181" s="5" t="inlineStr">
        <is>
          <t>LEADPERSON</t>
        </is>
      </c>
      <c r="D181" s="5" t="inlineStr">
        <is>
          <t>Local44</t>
        </is>
      </c>
      <c r="E181" s="6" t="n">
        <v>23.04</v>
      </c>
      <c r="F181" s="5" t="n"/>
      <c r="G181" s="5" t="n"/>
      <c r="H181" s="5" t="n"/>
      <c r="I181" s="5" t="n"/>
      <c r="J181" s="7">
        <f>IF(AND(N(F181)&gt;0,N(I181)&gt;0),I181-F181-IF(N(G181)&gt;0,0.5,0)-IF(N(H181)&gt;0,0.5,0),0)</f>
        <v/>
      </c>
      <c r="K181" s="5" t="n"/>
      <c r="L181" s="7">
        <f>MIN(J181,10.0)</f>
        <v/>
      </c>
      <c r="M181" s="7">
        <f>MAX(0,MIN(J181,12)-10.0)</f>
        <v/>
      </c>
      <c r="N181" s="7">
        <f>MAX(0,J181-12)</f>
        <v/>
      </c>
      <c r="O181" s="5" t="n"/>
      <c r="P181" s="6">
        <f>E181*(L181+M181*1.5+N181*2+O181*3+N(K181))</f>
        <v/>
      </c>
      <c r="Q181" s="6" t="n">
        <v>322.56</v>
      </c>
      <c r="R181" s="6">
        <f>Q181-P181</f>
        <v/>
      </c>
    </row>
    <row r="182">
      <c r="P182" s="2" t="inlineStr">
        <is>
          <t>LEADPERSON LABOR</t>
        </is>
      </c>
      <c r="R182" s="8">
        <f>SUM(R181:R181)</f>
        <v/>
      </c>
    </row>
    <row r="184">
      <c r="B184" s="2" t="inlineStr">
        <is>
          <t>SWINGLABOR</t>
        </is>
      </c>
    </row>
    <row r="185">
      <c r="A185" s="5" t="inlineStr">
        <is>
          <t>2703</t>
        </is>
      </c>
      <c r="B185" s="5" t="inlineStr">
        <is>
          <t>Tim Dodge</t>
        </is>
      </c>
      <c r="C185" s="5" t="inlineStr">
        <is>
          <t>SWING#1</t>
        </is>
      </c>
      <c r="D185" s="5" t="inlineStr">
        <is>
          <t>Local44</t>
        </is>
      </c>
      <c r="E185" s="6" t="n">
        <v>20.57</v>
      </c>
      <c r="F185" s="5" t="n"/>
      <c r="G185" s="5" t="n"/>
      <c r="H185" s="5" t="n"/>
      <c r="I185" s="5" t="n"/>
      <c r="J185" s="7">
        <f>IF(AND(N(F185)&gt;0,N(I185)&gt;0),I185-F185-IF(N(G185)&gt;0,0.5,0)-IF(N(H185)&gt;0,0.5,0),0)</f>
        <v/>
      </c>
      <c r="K185" s="5" t="n"/>
      <c r="L185" s="7">
        <f>MIN(J185,10.0)</f>
        <v/>
      </c>
      <c r="M185" s="7">
        <f>MAX(0,MIN(J185,12)-10.0)</f>
        <v/>
      </c>
      <c r="N185" s="7">
        <f>MAX(0,J185-12)</f>
        <v/>
      </c>
      <c r="O185" s="5" t="n"/>
      <c r="P185" s="6">
        <f>E185*(L185+M185*1.5+N185*2+O185*3+N(K185))</f>
        <v/>
      </c>
      <c r="Q185" s="6" t="n">
        <v>287.98</v>
      </c>
      <c r="R185" s="6">
        <f>Q185-P185</f>
        <v/>
      </c>
    </row>
    <row r="186">
      <c r="A186" s="5" t="inlineStr">
        <is>
          <t>2703</t>
        </is>
      </c>
      <c r="B186" s="5" t="inlineStr"/>
      <c r="C186" s="5" t="inlineStr">
        <is>
          <t>SWING#2</t>
        </is>
      </c>
      <c r="D186" s="5" t="inlineStr">
        <is>
          <t>Local44</t>
        </is>
      </c>
      <c r="E186" s="6" t="n">
        <v>20.57</v>
      </c>
      <c r="F186" s="5" t="n"/>
      <c r="G186" s="5" t="n"/>
      <c r="H186" s="5" t="n"/>
      <c r="I186" s="5" t="n"/>
      <c r="J186" s="7">
        <f>IF(AND(N(F186)&gt;0,N(I186)&gt;0),I186-F186-IF(N(G186)&gt;0,0.5,0)-IF(N(H186)&gt;0,0.5,0),0)</f>
        <v/>
      </c>
      <c r="K186" s="5" t="n"/>
      <c r="L186" s="7">
        <f>MIN(J186,10.0)</f>
        <v/>
      </c>
      <c r="M186" s="7">
        <f>MAX(0,MIN(J186,12)-10.0)</f>
        <v/>
      </c>
      <c r="N186" s="7">
        <f>MAX(0,J186-12)</f>
        <v/>
      </c>
      <c r="O186" s="5" t="n"/>
      <c r="P186" s="6">
        <f>E186*(L186+M186*1.5+N186*2+O186*3+N(K186))</f>
        <v/>
      </c>
      <c r="Q186" s="6" t="n">
        <v>287.98</v>
      </c>
      <c r="R186" s="6">
        <f>Q186-P186</f>
        <v/>
      </c>
    </row>
    <row r="187">
      <c r="A187" s="5" t="inlineStr">
        <is>
          <t>2703</t>
        </is>
      </c>
      <c r="B187" s="5" t="inlineStr"/>
      <c r="C187" s="5" t="inlineStr">
        <is>
          <t>ADDITIONALSWINGMANDAYS</t>
        </is>
      </c>
      <c r="D187" s="5" t="inlineStr">
        <is>
          <t>Local44</t>
        </is>
      </c>
      <c r="E187" s="6" t="n">
        <v>20.57</v>
      </c>
      <c r="F187" s="5" t="n"/>
      <c r="G187" s="5" t="n"/>
      <c r="H187" s="5" t="n"/>
      <c r="I187" s="5" t="n"/>
      <c r="J187" s="7">
        <f>IF(AND(N(F187)&gt;0,N(I187)&gt;0),I187-F187-IF(N(G187)&gt;0,0.5,0)-IF(N(H187)&gt;0,0.5,0),0)</f>
        <v/>
      </c>
      <c r="K187" s="5" t="n"/>
      <c r="L187" s="7">
        <f>MIN(J187,10.0)</f>
        <v/>
      </c>
      <c r="M187" s="7">
        <f>MAX(0,MIN(J187,12)-10.0)</f>
        <v/>
      </c>
      <c r="N187" s="7">
        <f>MAX(0,J187-12)</f>
        <v/>
      </c>
      <c r="O187" s="5" t="n"/>
      <c r="P187" s="6">
        <f>E187*(L187+M187*1.5+N187*2+O187*3+N(K187))</f>
        <v/>
      </c>
      <c r="Q187" s="6" t="n">
        <v>287.98</v>
      </c>
      <c r="R187" s="6">
        <f>Q187-P187</f>
        <v/>
      </c>
    </row>
    <row r="188">
      <c r="P188" s="2" t="inlineStr">
        <is>
          <t>SWINGLABOR LABOR</t>
        </is>
      </c>
      <c r="R188" s="8">
        <f>SUM(R185:R187)</f>
        <v/>
      </c>
    </row>
    <row r="190">
      <c r="B190" s="2" t="inlineStr">
        <is>
          <t>ON-SETDRESSER</t>
        </is>
      </c>
    </row>
    <row r="191">
      <c r="A191" s="5" t="inlineStr">
        <is>
          <t>2705</t>
        </is>
      </c>
      <c r="B191" s="5" t="inlineStr">
        <is>
          <t>Khamisi Thurman</t>
        </is>
      </c>
      <c r="C191" s="5" t="inlineStr">
        <is>
          <t>ON-SETDRESSER</t>
        </is>
      </c>
      <c r="D191" s="5" t="inlineStr">
        <is>
          <t>Local44</t>
        </is>
      </c>
      <c r="E191" s="6" t="n">
        <v>20.57</v>
      </c>
      <c r="F191" s="5" t="n"/>
      <c r="G191" s="5" t="n"/>
      <c r="H191" s="5" t="n"/>
      <c r="I191" s="5" t="n"/>
      <c r="J191" s="7">
        <f>IF(AND(N(F191)&gt;0,N(I191)&gt;0),I191-F191-IF(N(G191)&gt;0,0.5,0)-IF(N(H191)&gt;0,0.5,0),0)</f>
        <v/>
      </c>
      <c r="K191" s="5" t="n"/>
      <c r="L191" s="7">
        <f>MIN(J191,10.0)</f>
        <v/>
      </c>
      <c r="M191" s="7">
        <f>MAX(0,MIN(J191,12)-10.0)</f>
        <v/>
      </c>
      <c r="N191" s="7">
        <f>MAX(0,J191-12)</f>
        <v/>
      </c>
      <c r="O191" s="5" t="n"/>
      <c r="P191" s="6">
        <f>E191*(L191+M191*1.5+N191*2+O191*3+N(K191))</f>
        <v/>
      </c>
      <c r="Q191" s="6" t="n">
        <v>318.83</v>
      </c>
      <c r="R191" s="6">
        <f>Q191-P191</f>
        <v/>
      </c>
    </row>
    <row r="192">
      <c r="P192" s="2" t="inlineStr">
        <is>
          <t>ON-SETDRESSER LABOR</t>
        </is>
      </c>
      <c r="R192" s="8">
        <f>SUM(R191:R191)</f>
        <v/>
      </c>
    </row>
    <row r="194">
      <c r="B194" s="2" t="inlineStr">
        <is>
          <t>BUYERS</t>
        </is>
      </c>
    </row>
    <row r="195">
      <c r="A195" s="5" t="inlineStr">
        <is>
          <t>2706</t>
        </is>
      </c>
      <c r="B195" s="5" t="inlineStr">
        <is>
          <t>Sarah Hickman</t>
        </is>
      </c>
      <c r="C195" s="5" t="inlineStr">
        <is>
          <t>BUYER</t>
        </is>
      </c>
      <c r="D195" s="5" t="inlineStr">
        <is>
          <t>Local44</t>
        </is>
      </c>
      <c r="E195" s="6" t="n">
        <v>23.04</v>
      </c>
      <c r="F195" s="5" t="n"/>
      <c r="G195" s="5" t="n"/>
      <c r="H195" s="5" t="n"/>
      <c r="I195" s="5" t="n"/>
      <c r="J195" s="7">
        <f>IF(AND(N(F195)&gt;0,N(I195)&gt;0),I195-F195-IF(N(G195)&gt;0,0.5,0)-IF(N(H195)&gt;0,0.5,0),0)</f>
        <v/>
      </c>
      <c r="K195" s="5" t="n"/>
      <c r="L195" s="7">
        <f>MIN(J195,10.0)</f>
        <v/>
      </c>
      <c r="M195" s="7">
        <f>MAX(0,MIN(J195,12)-10.0)</f>
        <v/>
      </c>
      <c r="N195" s="7">
        <f>MAX(0,J195-12)</f>
        <v/>
      </c>
      <c r="O195" s="5" t="n"/>
      <c r="P195" s="6">
        <f>E195*(L195+M195*1.5+N195*2+O195*3+N(K195))</f>
        <v/>
      </c>
      <c r="Q195" s="5" t="n"/>
      <c r="R195" s="6">
        <f>Q195-P195</f>
        <v/>
      </c>
    </row>
    <row r="196">
      <c r="P196" s="2" t="inlineStr">
        <is>
          <t>BUYERS LABOR</t>
        </is>
      </c>
      <c r="R196" s="8">
        <f>SUM(R195:R195)</f>
        <v/>
      </c>
    </row>
    <row r="198">
      <c r="B198" s="2" t="inlineStr">
        <is>
          <t>PROPMASTER</t>
        </is>
      </c>
    </row>
    <row r="199">
      <c r="A199" s="5" t="inlineStr">
        <is>
          <t>2801</t>
        </is>
      </c>
      <c r="B199" s="5" t="inlineStr">
        <is>
          <t>Annie Brandt</t>
        </is>
      </c>
      <c r="C199" s="5" t="inlineStr">
        <is>
          <t>PROPMASTER</t>
        </is>
      </c>
      <c r="D199" s="5" t="inlineStr">
        <is>
          <t>Local44</t>
        </is>
      </c>
      <c r="E199" s="6" t="n">
        <v>25.5</v>
      </c>
      <c r="F199" s="5" t="n"/>
      <c r="G199" s="5" t="n"/>
      <c r="H199" s="5" t="n"/>
      <c r="I199" s="5" t="n"/>
      <c r="J199" s="7">
        <f>IF(AND(N(F199)&gt;0,N(I199)&gt;0),I199-F199-IF(N(G199)&gt;0,0.5,0)-IF(N(H199)&gt;0,0.5,0),0)</f>
        <v/>
      </c>
      <c r="K199" s="5" t="n"/>
      <c r="L199" s="7">
        <f>MIN(J199,10.0)</f>
        <v/>
      </c>
      <c r="M199" s="7">
        <f>MAX(0,MIN(J199,12)-10.0)</f>
        <v/>
      </c>
      <c r="N199" s="7">
        <f>MAX(0,J199-12)</f>
        <v/>
      </c>
      <c r="O199" s="5" t="n"/>
      <c r="P199" s="6">
        <f>E199*(L199+M199*1.5+N199*2+O199*3+N(K199))</f>
        <v/>
      </c>
      <c r="Q199" s="6" t="n">
        <v>395.25</v>
      </c>
      <c r="R199" s="6">
        <f>Q199-P199</f>
        <v/>
      </c>
    </row>
    <row r="200">
      <c r="P200" s="2" t="inlineStr">
        <is>
          <t>PROPMASTER LABOR</t>
        </is>
      </c>
      <c r="R200" s="8">
        <f>SUM(R199:R199)</f>
        <v/>
      </c>
    </row>
    <row r="202">
      <c r="B202" s="2" t="inlineStr">
        <is>
          <t>ASSTPROPMASTER</t>
        </is>
      </c>
    </row>
    <row r="203">
      <c r="A203" s="5" t="inlineStr">
        <is>
          <t>2802</t>
        </is>
      </c>
      <c r="B203" s="5" t="inlineStr">
        <is>
          <t>Nate Bakes</t>
        </is>
      </c>
      <c r="C203" s="5" t="inlineStr">
        <is>
          <t>ASSTPROPMASTER</t>
        </is>
      </c>
      <c r="D203" s="5" t="inlineStr">
        <is>
          <t>Local44</t>
        </is>
      </c>
      <c r="E203" s="6" t="n">
        <v>23.04</v>
      </c>
      <c r="F203" s="5" t="n"/>
      <c r="G203" s="5" t="n"/>
      <c r="H203" s="5" t="n"/>
      <c r="I203" s="5" t="n"/>
      <c r="J203" s="7">
        <f>IF(AND(N(F203)&gt;0,N(I203)&gt;0),I203-F203-IF(N(G203)&gt;0,0.5,0)-IF(N(H203)&gt;0,0.5,0),0)</f>
        <v/>
      </c>
      <c r="K203" s="5" t="n"/>
      <c r="L203" s="7">
        <f>MIN(J203,10.0)</f>
        <v/>
      </c>
      <c r="M203" s="7">
        <f>MAX(0,MIN(J203,12)-10.0)</f>
        <v/>
      </c>
      <c r="N203" s="7">
        <f>MAX(0,J203-12)</f>
        <v/>
      </c>
      <c r="O203" s="5" t="n"/>
      <c r="P203" s="6">
        <f>E203*(L203+M203*1.5+N203*2+O203*3+N(K203))</f>
        <v/>
      </c>
      <c r="Q203" s="6" t="n">
        <v>357.12</v>
      </c>
      <c r="R203" s="6">
        <f>Q203-P203</f>
        <v/>
      </c>
    </row>
    <row r="204">
      <c r="P204" s="2" t="inlineStr">
        <is>
          <t>ASSTPROPMASTER LABOR</t>
        </is>
      </c>
      <c r="R204" s="8">
        <f>SUM(R203:R203)</f>
        <v/>
      </c>
    </row>
    <row r="206">
      <c r="B206" s="2" t="inlineStr">
        <is>
          <t>COSTUMEDESIGNER</t>
        </is>
      </c>
    </row>
    <row r="207">
      <c r="A207" s="5" t="inlineStr">
        <is>
          <t>2901</t>
        </is>
      </c>
      <c r="B207" s="5" t="inlineStr">
        <is>
          <t>Megan Spatz</t>
        </is>
      </c>
      <c r="C207" s="5" t="inlineStr">
        <is>
          <t>COSTUMEDESIGNER</t>
        </is>
      </c>
      <c r="D207" s="5" t="inlineStr">
        <is>
          <t>Local892</t>
        </is>
      </c>
      <c r="E207" s="6" t="n">
        <v>540</v>
      </c>
      <c r="F207" s="5" t="n"/>
      <c r="G207" s="5" t="n"/>
      <c r="H207" s="5" t="n"/>
      <c r="I207" s="5" t="n"/>
      <c r="J207" s="7">
        <f>IF(AND(N(F207)&gt;0,N(I207)&gt;0),I207-F207-IF(N(G207)&gt;0,0.5,0)-IF(N(H207)&gt;0,0.5,0),0)</f>
        <v/>
      </c>
      <c r="K207" s="5" t="n"/>
      <c r="L207" s="7">
        <f>MIN(J207,8.0)</f>
        <v/>
      </c>
      <c r="M207" s="7">
        <f>MAX(0,MIN(J207,12)-8.0)</f>
        <v/>
      </c>
      <c r="N207" s="7">
        <f>MAX(0,J207-12)</f>
        <v/>
      </c>
      <c r="O207" s="5" t="n"/>
      <c r="P207" s="6">
        <f>E207*(L207+M207*1.5+N207*2+O207*3+N(K207))</f>
        <v/>
      </c>
      <c r="Q207" s="6" t="n">
        <v>540</v>
      </c>
      <c r="R207" s="6">
        <f>Q207-P207</f>
        <v/>
      </c>
    </row>
    <row r="208">
      <c r="P208" s="2" t="inlineStr">
        <is>
          <t>COSTUMEDESIGNER LABOR</t>
        </is>
      </c>
      <c r="R208" s="8">
        <f>SUM(R207:R207)</f>
        <v/>
      </c>
    </row>
    <row r="210">
      <c r="B210" s="2" t="inlineStr">
        <is>
          <t>COSTUMESUPERVISOR</t>
        </is>
      </c>
    </row>
    <row r="211">
      <c r="A211" s="5" t="inlineStr">
        <is>
          <t>2903</t>
        </is>
      </c>
      <c r="B211" s="5" t="inlineStr">
        <is>
          <t>Danielle Schuck</t>
        </is>
      </c>
      <c r="C211" s="5" t="inlineStr">
        <is>
          <t>COSTUMESUPERVISOR</t>
        </is>
      </c>
      <c r="D211" s="5" t="inlineStr">
        <is>
          <t>Local705</t>
        </is>
      </c>
      <c r="E211" s="6" t="n">
        <v>25.5</v>
      </c>
      <c r="F211" s="5" t="n"/>
      <c r="G211" s="5" t="n"/>
      <c r="H211" s="5" t="n"/>
      <c r="I211" s="5" t="n"/>
      <c r="J211" s="7">
        <f>IF(AND(N(F211)&gt;0,N(I211)&gt;0),I211-F211-IF(N(G211)&gt;0,0.5,0)-IF(N(H211)&gt;0,0.5,0),0)</f>
        <v/>
      </c>
      <c r="K211" s="5" t="n"/>
      <c r="L211" s="7">
        <f>MIN(J211,8.0)</f>
        <v/>
      </c>
      <c r="M211" s="7">
        <f>MAX(0,MIN(J211,12)-8.0)</f>
        <v/>
      </c>
      <c r="N211" s="7">
        <f>MAX(0,J211-12)</f>
        <v/>
      </c>
      <c r="O211" s="5" t="n"/>
      <c r="P211" s="6">
        <f>E211*(L211+M211*1.5+N211*2+O211*3+N(K211))</f>
        <v/>
      </c>
      <c r="Q211" s="6" t="n">
        <v>395.25</v>
      </c>
      <c r="R211" s="6">
        <f>Q211-P211</f>
        <v/>
      </c>
    </row>
    <row r="212">
      <c r="P212" s="2" t="inlineStr">
        <is>
          <t>COSTUMESUPERVISOR LABOR</t>
        </is>
      </c>
      <c r="R212" s="8">
        <f>SUM(R211:R211)</f>
        <v/>
      </c>
    </row>
    <row r="214">
      <c r="B214" s="2" t="inlineStr">
        <is>
          <t>SETCOSTUMERS</t>
        </is>
      </c>
    </row>
    <row r="215">
      <c r="A215" s="5" t="inlineStr">
        <is>
          <t>2905</t>
        </is>
      </c>
      <c r="B215" s="5" t="inlineStr">
        <is>
          <t>Monavie Tutop</t>
        </is>
      </c>
      <c r="C215" s="5" t="inlineStr">
        <is>
          <t>COSTUMER#1</t>
        </is>
      </c>
      <c r="D215" s="5" t="inlineStr">
        <is>
          <t>Local705</t>
        </is>
      </c>
      <c r="E215" s="6" t="n">
        <v>23.04</v>
      </c>
      <c r="F215" s="5" t="n"/>
      <c r="G215" s="5" t="n"/>
      <c r="H215" s="5" t="n"/>
      <c r="I215" s="5" t="n"/>
      <c r="J215" s="7">
        <f>IF(AND(N(F215)&gt;0,N(I215)&gt;0),I215-F215-IF(N(G215)&gt;0,0.5,0)-IF(N(H215)&gt;0,0.5,0),0)</f>
        <v/>
      </c>
      <c r="K215" s="5" t="n"/>
      <c r="L215" s="7">
        <f>MIN(J215,8.0)</f>
        <v/>
      </c>
      <c r="M215" s="7">
        <f>MAX(0,MIN(J215,12)-8.0)</f>
        <v/>
      </c>
      <c r="N215" s="7">
        <f>MAX(0,J215-12)</f>
        <v/>
      </c>
      <c r="O215" s="5" t="n"/>
      <c r="P215" s="6">
        <f>E215*(L215+M215*1.5+N215*2+O215*3+N(K215))</f>
        <v/>
      </c>
      <c r="Q215" s="6" t="n">
        <v>397.43</v>
      </c>
      <c r="R215" s="6">
        <f>Q215-P215</f>
        <v/>
      </c>
    </row>
    <row r="216">
      <c r="A216" s="5" t="inlineStr">
        <is>
          <t>2905</t>
        </is>
      </c>
      <c r="B216" s="5" t="inlineStr"/>
      <c r="C216" s="5" t="inlineStr">
        <is>
          <t>COSTUMER#2</t>
        </is>
      </c>
      <c r="D216" s="5" t="inlineStr">
        <is>
          <t>Local705</t>
        </is>
      </c>
      <c r="E216" s="6" t="n">
        <v>20.57</v>
      </c>
      <c r="F216" s="5" t="n"/>
      <c r="G216" s="5" t="n"/>
      <c r="H216" s="5" t="n"/>
      <c r="I216" s="5" t="n"/>
      <c r="J216" s="7">
        <f>IF(AND(N(F216)&gt;0,N(I216)&gt;0),I216-F216-IF(N(G216)&gt;0,0.5,0)-IF(N(H216)&gt;0,0.5,0),0)</f>
        <v/>
      </c>
      <c r="K216" s="5" t="n"/>
      <c r="L216" s="7">
        <f>MIN(J216,8.0)</f>
        <v/>
      </c>
      <c r="M216" s="7">
        <f>MAX(0,MIN(J216,12)-8.0)</f>
        <v/>
      </c>
      <c r="N216" s="7">
        <f>MAX(0,J216-12)</f>
        <v/>
      </c>
      <c r="O216" s="5" t="n"/>
      <c r="P216" s="6">
        <f>E216*(L216+M216*1.5+N216*2+O216*3+N(K216))</f>
        <v/>
      </c>
      <c r="Q216" s="6" t="n">
        <v>354.83</v>
      </c>
      <c r="R216" s="6">
        <f>Q216-P216</f>
        <v/>
      </c>
    </row>
    <row r="217">
      <c r="P217" s="2" t="inlineStr">
        <is>
          <t>SETCOSTUMERS LABOR</t>
        </is>
      </c>
      <c r="R217" s="8">
        <f>SUM(R215:R216)</f>
        <v/>
      </c>
    </row>
    <row r="219">
      <c r="B219" s="2" t="inlineStr">
        <is>
          <t>KEYMAKE-UP</t>
        </is>
      </c>
    </row>
    <row r="220">
      <c r="A220" s="5" t="inlineStr">
        <is>
          <t>3101</t>
        </is>
      </c>
      <c r="B220" s="5" t="inlineStr">
        <is>
          <t>Eleanor Sabaduquia</t>
        </is>
      </c>
      <c r="C220" s="5" t="inlineStr">
        <is>
          <t>KEYMAKEUPARTIST</t>
        </is>
      </c>
      <c r="D220" s="5" t="inlineStr">
        <is>
          <t>Local706</t>
        </is>
      </c>
      <c r="E220" s="6" t="n">
        <v>25.5</v>
      </c>
      <c r="F220" s="5" t="n"/>
      <c r="G220" s="5" t="n"/>
      <c r="H220" s="5" t="n"/>
      <c r="I220" s="5" t="n"/>
      <c r="J220" s="7">
        <f>IF(AND(N(F220)&gt;0,N(I220)&gt;0),I220-F220-IF(N(G220)&gt;0,0.5,0)-IF(N(H220)&gt;0,0.5,0),0)</f>
        <v/>
      </c>
      <c r="K220" s="5" t="n"/>
      <c r="L220" s="7">
        <f>MIN(J220,10.0)</f>
        <v/>
      </c>
      <c r="M220" s="7">
        <f>MAX(0,MIN(J220,12)-10.0)</f>
        <v/>
      </c>
      <c r="N220" s="7">
        <f>MAX(0,J220-12)</f>
        <v/>
      </c>
      <c r="O220" s="5" t="n"/>
      <c r="P220" s="6">
        <f>E220*(L220+M220*1.5+N220*2+O220*3+N(K220))</f>
        <v/>
      </c>
      <c r="Q220" s="6" t="n">
        <v>439.87</v>
      </c>
      <c r="R220" s="6">
        <f>Q220-P220</f>
        <v/>
      </c>
    </row>
    <row r="221">
      <c r="P221" s="2" t="inlineStr">
        <is>
          <t>KEYMAKE-UP LABOR</t>
        </is>
      </c>
      <c r="R221" s="8">
        <f>SUM(R220:R220)</f>
        <v/>
      </c>
    </row>
    <row r="223">
      <c r="B223" s="2" t="inlineStr">
        <is>
          <t>ASSTMAKE-UP</t>
        </is>
      </c>
    </row>
    <row r="224">
      <c r="A224" s="5" t="inlineStr">
        <is>
          <t>3102</t>
        </is>
      </c>
      <c r="B224" s="5" t="inlineStr">
        <is>
          <t>Yoko Nobushi</t>
        </is>
      </c>
      <c r="C224" s="5" t="inlineStr">
        <is>
          <t>ASSTMAKEUPARTIST#1</t>
        </is>
      </c>
      <c r="D224" s="5" t="inlineStr">
        <is>
          <t>Local706</t>
        </is>
      </c>
      <c r="E224" s="6" t="n">
        <v>23.04</v>
      </c>
      <c r="F224" s="5" t="n"/>
      <c r="G224" s="5" t="n"/>
      <c r="H224" s="5" t="n"/>
      <c r="I224" s="5" t="n"/>
      <c r="J224" s="7">
        <f>IF(AND(N(F224)&gt;0,N(I224)&gt;0),I224-F224-IF(N(G224)&gt;0,0.5,0)-IF(N(H224)&gt;0,0.5,0),0)</f>
        <v/>
      </c>
      <c r="K224" s="5" t="n"/>
      <c r="L224" s="7">
        <f>MIN(J224,10.0)</f>
        <v/>
      </c>
      <c r="M224" s="7">
        <f>MAX(0,MIN(J224,12)-10.0)</f>
        <v/>
      </c>
      <c r="N224" s="7">
        <f>MAX(0,J224-12)</f>
        <v/>
      </c>
      <c r="O224" s="5" t="n"/>
      <c r="P224" s="6">
        <f>E224*(L224+M224*1.5+N224*2+O224*3+N(K224))</f>
        <v/>
      </c>
      <c r="Q224" s="6" t="n">
        <v>397.43</v>
      </c>
      <c r="R224" s="6">
        <f>Q224-P224</f>
        <v/>
      </c>
    </row>
    <row r="225">
      <c r="P225" s="2" t="inlineStr">
        <is>
          <t>ASSTMAKE-UP LABOR</t>
        </is>
      </c>
      <c r="R225" s="8">
        <f>SUM(R224:R224)</f>
        <v/>
      </c>
    </row>
    <row r="227">
      <c r="B227" s="2" t="inlineStr">
        <is>
          <t>ADDITIONALMAKE-UPLABOR</t>
        </is>
      </c>
    </row>
    <row r="228">
      <c r="A228" s="5" t="inlineStr">
        <is>
          <t>3103</t>
        </is>
      </c>
      <c r="B228" s="5" t="inlineStr"/>
      <c r="C228" s="5" t="inlineStr">
        <is>
          <t>ADDLMAKEUPARTISTDAYS</t>
        </is>
      </c>
      <c r="D228" s="5" t="inlineStr">
        <is>
          <t>Local706</t>
        </is>
      </c>
      <c r="E228" s="6" t="n">
        <v>23.04</v>
      </c>
      <c r="F228" s="5" t="n"/>
      <c r="G228" s="5" t="n"/>
      <c r="H228" s="5" t="n"/>
      <c r="I228" s="5" t="n"/>
      <c r="J228" s="7">
        <f>IF(AND(N(F228)&gt;0,N(I228)&gt;0),I228-F228-IF(N(G228)&gt;0,0.5,0)-IF(N(H228)&gt;0,0.5,0),0)</f>
        <v/>
      </c>
      <c r="K228" s="5" t="n"/>
      <c r="L228" s="7">
        <f>MIN(J228,10.0)</f>
        <v/>
      </c>
      <c r="M228" s="7">
        <f>MAX(0,MIN(J228,12)-10.0)</f>
        <v/>
      </c>
      <c r="N228" s="7">
        <f>MAX(0,J228-12)</f>
        <v/>
      </c>
      <c r="O228" s="5" t="n"/>
      <c r="P228" s="6">
        <f>E228*(L228+M228*1.5+N228*2+O228*3+N(K228))</f>
        <v/>
      </c>
      <c r="Q228" s="6" t="n">
        <v>397.43</v>
      </c>
      <c r="R228" s="6">
        <f>Q228-P228</f>
        <v/>
      </c>
    </row>
    <row r="229">
      <c r="P229" s="2" t="inlineStr">
        <is>
          <t>ADDITIONALMAKE-UPLABOR LABOR</t>
        </is>
      </c>
      <c r="R229" s="8">
        <f>SUM(R228:R228)</f>
        <v/>
      </c>
    </row>
    <row r="231">
      <c r="B231" s="2" t="inlineStr">
        <is>
          <t>PROSTHETICS</t>
        </is>
      </c>
    </row>
    <row r="232">
      <c r="A232" s="5" t="inlineStr">
        <is>
          <t>3105</t>
        </is>
      </c>
      <c r="B232" s="5" t="inlineStr"/>
      <c r="C232" s="5" t="inlineStr">
        <is>
          <t>PROSTHETICMAKEUPARTIST</t>
        </is>
      </c>
      <c r="D232" s="5" t="inlineStr">
        <is>
          <t>Local706</t>
        </is>
      </c>
      <c r="E232" s="6" t="n">
        <v>25.5</v>
      </c>
      <c r="F232" s="5" t="n"/>
      <c r="G232" s="5" t="n"/>
      <c r="H232" s="5" t="n"/>
      <c r="I232" s="5" t="n"/>
      <c r="J232" s="7">
        <f>IF(AND(N(F232)&gt;0,N(I232)&gt;0),I232-F232-IF(N(G232)&gt;0,0.5,0)-IF(N(H232)&gt;0,0.5,0),0)</f>
        <v/>
      </c>
      <c r="K232" s="5" t="n"/>
      <c r="L232" s="7">
        <f>MIN(J232,10.0)</f>
        <v/>
      </c>
      <c r="M232" s="7">
        <f>MAX(0,MIN(J232,12)-10.0)</f>
        <v/>
      </c>
      <c r="N232" s="7">
        <f>MAX(0,J232-12)</f>
        <v/>
      </c>
      <c r="O232" s="5" t="n"/>
      <c r="P232" s="6">
        <f>E232*(L232+M232*1.5+N232*2+O232*3+N(K232))</f>
        <v/>
      </c>
      <c r="Q232" s="6" t="n">
        <v>439.87</v>
      </c>
      <c r="R232" s="6">
        <f>Q232-P232</f>
        <v/>
      </c>
    </row>
    <row r="233">
      <c r="A233" s="5" t="inlineStr">
        <is>
          <t>3105</t>
        </is>
      </c>
      <c r="B233" s="5" t="inlineStr"/>
      <c r="C233" s="5" t="inlineStr">
        <is>
          <t>LENSCONSULTANT</t>
        </is>
      </c>
      <c r="D233" s="5" t="inlineStr"/>
      <c r="E233" s="6" t="n">
        <v>50</v>
      </c>
      <c r="F233" s="5" t="n"/>
      <c r="G233" s="5" t="n"/>
      <c r="H233" s="5" t="n"/>
      <c r="I233" s="5" t="n"/>
      <c r="J233" s="7">
        <f>IF(AND(N(F233)&gt;0,N(I233)&gt;0),I233-F233-IF(N(G233)&gt;0,0.5,0)-IF(N(H233)&gt;0,0.5,0),0)</f>
        <v/>
      </c>
      <c r="K233" s="5" t="n"/>
      <c r="L233" s="7">
        <f>MIN(J233,8.0)</f>
        <v/>
      </c>
      <c r="M233" s="7">
        <f>MAX(0,MIN(J233,12)-8.0)</f>
        <v/>
      </c>
      <c r="N233" s="7">
        <f>MAX(0,J233-12)</f>
        <v/>
      </c>
      <c r="O233" s="5" t="n"/>
      <c r="P233" s="6">
        <f>E233*(L233+M233*1.5+N233*2+O233*3+N(K233))</f>
        <v/>
      </c>
      <c r="Q233" s="6" t="n">
        <v>862.53</v>
      </c>
      <c r="R233" s="6">
        <f>Q233-P233</f>
        <v/>
      </c>
    </row>
    <row r="234">
      <c r="P234" s="2" t="inlineStr">
        <is>
          <t>PROSTHETICS LABOR</t>
        </is>
      </c>
      <c r="R234" s="8">
        <f>SUM(R232:R233)</f>
        <v/>
      </c>
    </row>
    <row r="236">
      <c r="B236" s="2" t="inlineStr">
        <is>
          <t>KEYHAIR</t>
        </is>
      </c>
    </row>
    <row r="237">
      <c r="A237" s="5" t="inlineStr">
        <is>
          <t>3111</t>
        </is>
      </c>
      <c r="B237" s="5" t="inlineStr">
        <is>
          <t>Traci Smithe</t>
        </is>
      </c>
      <c r="C237" s="5" t="inlineStr">
        <is>
          <t>KEYHAIR</t>
        </is>
      </c>
      <c r="D237" s="5" t="inlineStr">
        <is>
          <t>Local706</t>
        </is>
      </c>
      <c r="E237" s="6" t="n">
        <v>25.5</v>
      </c>
      <c r="F237" s="5" t="n"/>
      <c r="G237" s="5" t="n"/>
      <c r="H237" s="5" t="n"/>
      <c r="I237" s="5" t="n"/>
      <c r="J237" s="7">
        <f>IF(AND(N(F237)&gt;0,N(I237)&gt;0),I237-F237-IF(N(G237)&gt;0,0.5,0)-IF(N(H237)&gt;0,0.5,0),0)</f>
        <v/>
      </c>
      <c r="K237" s="5" t="n"/>
      <c r="L237" s="7">
        <f>MIN(J237,10.0)</f>
        <v/>
      </c>
      <c r="M237" s="7">
        <f>MAX(0,MIN(J237,12)-10.0)</f>
        <v/>
      </c>
      <c r="N237" s="7">
        <f>MAX(0,J237-12)</f>
        <v/>
      </c>
      <c r="O237" s="5" t="n"/>
      <c r="P237" s="6">
        <f>E237*(L237+M237*1.5+N237*2+O237*3+N(K237))</f>
        <v/>
      </c>
      <c r="Q237" s="6" t="n">
        <v>439.87</v>
      </c>
      <c r="R237" s="6">
        <f>Q237-P237</f>
        <v/>
      </c>
    </row>
    <row r="238">
      <c r="P238" s="2" t="inlineStr">
        <is>
          <t>KEYHAIR LABOR</t>
        </is>
      </c>
      <c r="R238" s="8">
        <f>SUM(R237:R237)</f>
        <v/>
      </c>
    </row>
    <row r="240">
      <c r="B240" s="2" t="inlineStr">
        <is>
          <t>ASSTHAIR</t>
        </is>
      </c>
    </row>
    <row r="241">
      <c r="A241" s="5" t="inlineStr">
        <is>
          <t>3112</t>
        </is>
      </c>
      <c r="B241" s="5" t="inlineStr">
        <is>
          <t>Yunea Cruz</t>
        </is>
      </c>
      <c r="C241" s="5" t="inlineStr">
        <is>
          <t>ASSTHAIRSTYLIST#1</t>
        </is>
      </c>
      <c r="D241" s="5" t="inlineStr">
        <is>
          <t>Local706</t>
        </is>
      </c>
      <c r="E241" s="6" t="n">
        <v>23.04</v>
      </c>
      <c r="F241" s="5" t="n"/>
      <c r="G241" s="5" t="n"/>
      <c r="H241" s="5" t="n"/>
      <c r="I241" s="5" t="n"/>
      <c r="J241" s="7">
        <f>IF(AND(N(F241)&gt;0,N(I241)&gt;0),I241-F241-IF(N(G241)&gt;0,0.5,0)-IF(N(H241)&gt;0,0.5,0),0)</f>
        <v/>
      </c>
      <c r="K241" s="5" t="n"/>
      <c r="L241" s="7">
        <f>MIN(J241,10.0)</f>
        <v/>
      </c>
      <c r="M241" s="7">
        <f>MAX(0,MIN(J241,12)-10.0)</f>
        <v/>
      </c>
      <c r="N241" s="7">
        <f>MAX(0,J241-12)</f>
        <v/>
      </c>
      <c r="O241" s="5" t="n"/>
      <c r="P241" s="6">
        <f>E241*(L241+M241*1.5+N241*2+O241*3+N(K241))</f>
        <v/>
      </c>
      <c r="Q241" s="6" t="n">
        <v>397.43</v>
      </c>
      <c r="R241" s="6">
        <f>Q241-P241</f>
        <v/>
      </c>
    </row>
    <row r="242">
      <c r="P242" s="2" t="inlineStr">
        <is>
          <t>ASSTHAIR LABOR</t>
        </is>
      </c>
      <c r="R242" s="8">
        <f>SUM(R241:R241)</f>
        <v/>
      </c>
    </row>
    <row r="244">
      <c r="B244" s="2" t="inlineStr">
        <is>
          <t>ADDITIONALHAIRLABOR</t>
        </is>
      </c>
    </row>
    <row r="245">
      <c r="A245" s="5" t="inlineStr">
        <is>
          <t>3113</t>
        </is>
      </c>
      <c r="B245" s="5" t="inlineStr"/>
      <c r="C245" s="5" t="inlineStr">
        <is>
          <t>ADDLHAIRSTYLISTDAYS</t>
        </is>
      </c>
      <c r="D245" s="5" t="inlineStr">
        <is>
          <t>Local706</t>
        </is>
      </c>
      <c r="E245" s="6" t="n">
        <v>23.04</v>
      </c>
      <c r="F245" s="5" t="n"/>
      <c r="G245" s="5" t="n"/>
      <c r="H245" s="5" t="n"/>
      <c r="I245" s="5" t="n"/>
      <c r="J245" s="7">
        <f>IF(AND(N(F245)&gt;0,N(I245)&gt;0),I245-F245-IF(N(G245)&gt;0,0.5,0)-IF(N(H245)&gt;0,0.5,0),0)</f>
        <v/>
      </c>
      <c r="K245" s="5" t="n"/>
      <c r="L245" s="7">
        <f>MIN(J245,10.0)</f>
        <v/>
      </c>
      <c r="M245" s="7">
        <f>MAX(0,MIN(J245,12)-10.0)</f>
        <v/>
      </c>
      <c r="N245" s="7">
        <f>MAX(0,J245-12)</f>
        <v/>
      </c>
      <c r="O245" s="5" t="n"/>
      <c r="P245" s="6">
        <f>E245*(L245+M245*1.5+N245*2+O245*3+N(K245))</f>
        <v/>
      </c>
      <c r="Q245" s="6" t="n">
        <v>397.43</v>
      </c>
      <c r="R245" s="6">
        <f>Q245-P245</f>
        <v/>
      </c>
    </row>
    <row r="246">
      <c r="P246" s="2" t="inlineStr">
        <is>
          <t>ADDITIONALHAIRLABOR LABOR</t>
        </is>
      </c>
      <c r="R246" s="8">
        <f>SUM(R245:R245)</f>
        <v/>
      </c>
    </row>
    <row r="248">
      <c r="B248" s="2" t="inlineStr">
        <is>
          <t>GAFFER</t>
        </is>
      </c>
    </row>
    <row r="249">
      <c r="A249" s="5" t="inlineStr">
        <is>
          <t>3201</t>
        </is>
      </c>
      <c r="B249" s="5" t="inlineStr">
        <is>
          <t>Nicholas Kaat</t>
        </is>
      </c>
      <c r="C249" s="5" t="inlineStr">
        <is>
          <t>GAFFER</t>
        </is>
      </c>
      <c r="D249" s="5" t="inlineStr">
        <is>
          <t>Local728</t>
        </is>
      </c>
      <c r="E249" s="6" t="n">
        <v>25.5</v>
      </c>
      <c r="F249" s="5" t="n"/>
      <c r="G249" s="5" t="n"/>
      <c r="H249" s="5" t="n"/>
      <c r="I249" s="5" t="n"/>
      <c r="J249" s="7">
        <f>IF(AND(N(F249)&gt;0,N(I249)&gt;0),I249-F249-IF(N(G249)&gt;0,0.5,0)-IF(N(H249)&gt;0,0.5,0),0)</f>
        <v/>
      </c>
      <c r="K249" s="5" t="n"/>
      <c r="L249" s="7">
        <f>MIN(J249,10.0)</f>
        <v/>
      </c>
      <c r="M249" s="7">
        <f>MAX(0,MIN(J249,12)-10.0)</f>
        <v/>
      </c>
      <c r="N249" s="7">
        <f>MAX(0,J249-12)</f>
        <v/>
      </c>
      <c r="O249" s="5" t="n"/>
      <c r="P249" s="6">
        <f>E249*(L249+M249*1.5+N249*2+O249*3+N(K249))</f>
        <v/>
      </c>
      <c r="Q249" s="6" t="n">
        <v>395.25</v>
      </c>
      <c r="R249" s="6">
        <f>Q249-P249</f>
        <v/>
      </c>
    </row>
    <row r="250">
      <c r="P250" s="2" t="inlineStr">
        <is>
          <t>GAFFER LABOR</t>
        </is>
      </c>
      <c r="R250" s="8">
        <f>SUM(R249:R249)</f>
        <v/>
      </c>
    </row>
    <row r="252">
      <c r="B252" s="2" t="inlineStr">
        <is>
          <t>BESTBOYELECTRIC</t>
        </is>
      </c>
    </row>
    <row r="253">
      <c r="A253" s="5" t="inlineStr">
        <is>
          <t>3202</t>
        </is>
      </c>
      <c r="B253" s="5" t="inlineStr">
        <is>
          <t>Nathan Fetzer</t>
        </is>
      </c>
      <c r="C253" s="5" t="inlineStr">
        <is>
          <t>BESTBOYELECTRIC</t>
        </is>
      </c>
      <c r="D253" s="5" t="inlineStr">
        <is>
          <t>Local728</t>
        </is>
      </c>
      <c r="E253" s="6" t="n">
        <v>23.04</v>
      </c>
      <c r="F253" s="5" t="n"/>
      <c r="G253" s="5" t="n"/>
      <c r="H253" s="5" t="n"/>
      <c r="I253" s="5" t="n"/>
      <c r="J253" s="7">
        <f>IF(AND(N(F253)&gt;0,N(I253)&gt;0),I253-F253-IF(N(G253)&gt;0,0.5,0)-IF(N(H253)&gt;0,0.5,0),0)</f>
        <v/>
      </c>
      <c r="K253" s="5" t="n"/>
      <c r="L253" s="7">
        <f>MIN(J253,10.0)</f>
        <v/>
      </c>
      <c r="M253" s="7">
        <f>MAX(0,MIN(J253,12)-10.0)</f>
        <v/>
      </c>
      <c r="N253" s="7">
        <f>MAX(0,J253-12)</f>
        <v/>
      </c>
      <c r="O253" s="5" t="n"/>
      <c r="P253" s="6">
        <f>E253*(L253+M253*1.5+N253*2+O253*3+N(K253))</f>
        <v/>
      </c>
      <c r="Q253" s="6" t="n">
        <v>357.12</v>
      </c>
      <c r="R253" s="6">
        <f>Q253-P253</f>
        <v/>
      </c>
    </row>
    <row r="254">
      <c r="A254" s="5" t="inlineStr">
        <is>
          <t>3202</t>
        </is>
      </c>
      <c r="B254" s="5" t="inlineStr"/>
      <c r="C254" s="5" t="inlineStr">
        <is>
          <t>STUDIOBESTBOYELECTRIC</t>
        </is>
      </c>
      <c r="D254" s="5" t="inlineStr">
        <is>
          <t>Local728</t>
        </is>
      </c>
      <c r="E254" s="6" t="n">
        <v>43.05</v>
      </c>
      <c r="F254" s="5" t="n"/>
      <c r="G254" s="5" t="n"/>
      <c r="H254" s="5" t="n"/>
      <c r="I254" s="5" t="n"/>
      <c r="J254" s="7">
        <f>IF(AND(N(F254)&gt;0,N(I254)&gt;0),I254-F254-IF(N(G254)&gt;0,0.5,0)-IF(N(H254)&gt;0,0.5,0),0)</f>
        <v/>
      </c>
      <c r="K254" s="5" t="n"/>
      <c r="L254" s="7">
        <f>MIN(J254,10.0)</f>
        <v/>
      </c>
      <c r="M254" s="7">
        <f>MAX(0,MIN(J254,12)-10.0)</f>
        <v/>
      </c>
      <c r="N254" s="7">
        <f>MAX(0,J254-12)</f>
        <v/>
      </c>
      <c r="O254" s="5" t="n"/>
      <c r="P254" s="6">
        <f>E254*(L254+M254*1.5+N254*2+O254*3+N(K254))</f>
        <v/>
      </c>
      <c r="Q254" s="6" t="n">
        <v>667.27</v>
      </c>
      <c r="R254" s="6">
        <f>Q254-P254</f>
        <v/>
      </c>
    </row>
    <row r="255">
      <c r="P255" s="2" t="inlineStr">
        <is>
          <t>BESTBOYELECTRIC LABOR</t>
        </is>
      </c>
      <c r="R255" s="8">
        <f>SUM(R253:R254)</f>
        <v/>
      </c>
    </row>
    <row r="257">
      <c r="B257" s="2" t="inlineStr">
        <is>
          <t>ELECTRICIANS</t>
        </is>
      </c>
    </row>
    <row r="258">
      <c r="A258" s="5" t="inlineStr">
        <is>
          <t>3204</t>
        </is>
      </c>
      <c r="B258" s="5" t="inlineStr"/>
      <c r="C258" s="5" t="inlineStr">
        <is>
          <t>ELECTRICIAN#1</t>
        </is>
      </c>
      <c r="D258" s="5" t="inlineStr">
        <is>
          <t>Local728</t>
        </is>
      </c>
      <c r="E258" s="6" t="n">
        <v>20.57</v>
      </c>
      <c r="F258" s="5" t="n"/>
      <c r="G258" s="5" t="n"/>
      <c r="H258" s="5" t="n"/>
      <c r="I258" s="5" t="n"/>
      <c r="J258" s="7">
        <f>IF(AND(N(F258)&gt;0,N(I258)&gt;0),I258-F258-IF(N(G258)&gt;0,0.5,0)-IF(N(H258)&gt;0,0.5,0),0)</f>
        <v/>
      </c>
      <c r="K258" s="5" t="n"/>
      <c r="L258" s="7">
        <f>MIN(J258,10.0)</f>
        <v/>
      </c>
      <c r="M258" s="7">
        <f>MAX(0,MIN(J258,12)-10.0)</f>
        <v/>
      </c>
      <c r="N258" s="7">
        <f>MAX(0,J258-12)</f>
        <v/>
      </c>
      <c r="O258" s="5" t="n"/>
      <c r="P258" s="6">
        <f>E258*(L258+M258*1.5+N258*2+O258*3+N(K258))</f>
        <v/>
      </c>
      <c r="Q258" s="6" t="n">
        <v>318.83</v>
      </c>
      <c r="R258" s="6">
        <f>Q258-P258</f>
        <v/>
      </c>
    </row>
    <row r="259">
      <c r="A259" s="5" t="inlineStr">
        <is>
          <t>3204</t>
        </is>
      </c>
      <c r="B259" s="5" t="inlineStr"/>
      <c r="C259" s="5" t="inlineStr">
        <is>
          <t>ELECTRICIAN#2</t>
        </is>
      </c>
      <c r="D259" s="5" t="inlineStr">
        <is>
          <t>Local728</t>
        </is>
      </c>
      <c r="E259" s="6" t="n">
        <v>20.57</v>
      </c>
      <c r="F259" s="5" t="n"/>
      <c r="G259" s="5" t="n"/>
      <c r="H259" s="5" t="n"/>
      <c r="I259" s="5" t="n"/>
      <c r="J259" s="7">
        <f>IF(AND(N(F259)&gt;0,N(I259)&gt;0),I259-F259-IF(N(G259)&gt;0,0.5,0)-IF(N(H259)&gt;0,0.5,0),0)</f>
        <v/>
      </c>
      <c r="K259" s="5" t="n"/>
      <c r="L259" s="7">
        <f>MIN(J259,10.0)</f>
        <v/>
      </c>
      <c r="M259" s="7">
        <f>MAX(0,MIN(J259,12)-10.0)</f>
        <v/>
      </c>
      <c r="N259" s="7">
        <f>MAX(0,J259-12)</f>
        <v/>
      </c>
      <c r="O259" s="5" t="n"/>
      <c r="P259" s="6">
        <f>E259*(L259+M259*1.5+N259*2+O259*3+N(K259))</f>
        <v/>
      </c>
      <c r="Q259" s="6" t="n">
        <v>318.83</v>
      </c>
      <c r="R259" s="6">
        <f>Q259-P259</f>
        <v/>
      </c>
    </row>
    <row r="260">
      <c r="A260" s="5" t="inlineStr">
        <is>
          <t>3204</t>
        </is>
      </c>
      <c r="B260" s="5" t="inlineStr"/>
      <c r="C260" s="5" t="inlineStr">
        <is>
          <t>ELECTRICIAN#3</t>
        </is>
      </c>
      <c r="D260" s="5" t="inlineStr">
        <is>
          <t>Local728</t>
        </is>
      </c>
      <c r="E260" s="6" t="n">
        <v>20.57</v>
      </c>
      <c r="F260" s="5" t="n"/>
      <c r="G260" s="5" t="n"/>
      <c r="H260" s="5" t="n"/>
      <c r="I260" s="5" t="n"/>
      <c r="J260" s="7">
        <f>IF(AND(N(F260)&gt;0,N(I260)&gt;0),I260-F260-IF(N(G260)&gt;0,0.5,0)-IF(N(H260)&gt;0,0.5,0),0)</f>
        <v/>
      </c>
      <c r="K260" s="5" t="n"/>
      <c r="L260" s="7">
        <f>MIN(J260,10.0)</f>
        <v/>
      </c>
      <c r="M260" s="7">
        <f>MAX(0,MIN(J260,12)-10.0)</f>
        <v/>
      </c>
      <c r="N260" s="7">
        <f>MAX(0,J260-12)</f>
        <v/>
      </c>
      <c r="O260" s="5" t="n"/>
      <c r="P260" s="6">
        <f>E260*(L260+M260*1.5+N260*2+O260*3+N(K260))</f>
        <v/>
      </c>
      <c r="Q260" s="6" t="n">
        <v>318.83</v>
      </c>
      <c r="R260" s="6">
        <f>Q260-P260</f>
        <v/>
      </c>
    </row>
    <row r="261">
      <c r="P261" s="2" t="inlineStr">
        <is>
          <t>ELECTRICIANS LABOR</t>
        </is>
      </c>
      <c r="R261" s="8">
        <f>SUM(R258:R260)</f>
        <v/>
      </c>
    </row>
    <row r="263">
      <c r="B263" s="2" t="inlineStr">
        <is>
          <t>ADDITIONALELECTRICLABOR</t>
        </is>
      </c>
    </row>
    <row r="264">
      <c r="A264" s="5" t="inlineStr">
        <is>
          <t>3206</t>
        </is>
      </c>
      <c r="B264" s="5" t="inlineStr"/>
      <c r="C264" s="5" t="inlineStr">
        <is>
          <t>ELECTRICMANDAYS&amp;RIGGINGMANDAYS</t>
        </is>
      </c>
      <c r="D264" s="5" t="inlineStr">
        <is>
          <t>Local728</t>
        </is>
      </c>
      <c r="E264" s="6" t="n">
        <v>20.57</v>
      </c>
      <c r="F264" s="5" t="n"/>
      <c r="G264" s="5" t="n"/>
      <c r="H264" s="5" t="n"/>
      <c r="I264" s="5" t="n"/>
      <c r="J264" s="7">
        <f>IF(AND(N(F264)&gt;0,N(I264)&gt;0),I264-F264-IF(N(G264)&gt;0,0.5,0)-IF(N(H264)&gt;0,0.5,0),0)</f>
        <v/>
      </c>
      <c r="K264" s="5" t="n"/>
      <c r="L264" s="7">
        <f>MIN(J264,10.0)</f>
        <v/>
      </c>
      <c r="M264" s="7">
        <f>MAX(0,MIN(J264,12)-10.0)</f>
        <v/>
      </c>
      <c r="N264" s="7">
        <f>MAX(0,J264-12)</f>
        <v/>
      </c>
      <c r="O264" s="5" t="n"/>
      <c r="P264" s="6">
        <f>E264*(L264+M264*1.5+N264*2+O264*3+N(K264))</f>
        <v/>
      </c>
      <c r="Q264" s="6" t="n">
        <v>318.83</v>
      </c>
      <c r="R264" s="6">
        <f>Q264-P264</f>
        <v/>
      </c>
    </row>
    <row r="265">
      <c r="P265" s="2" t="inlineStr">
        <is>
          <t>ADDITIONALELECTRICLABOR LABOR</t>
        </is>
      </c>
      <c r="R265" s="8">
        <f>SUM(R264:R264)</f>
        <v/>
      </c>
    </row>
    <row r="267">
      <c r="B267" s="2" t="inlineStr">
        <is>
          <t>DIRECTOROFPHOTOGRAPHY</t>
        </is>
      </c>
    </row>
    <row r="268">
      <c r="A268" s="5" t="inlineStr">
        <is>
          <t>3301</t>
        </is>
      </c>
      <c r="B268" s="5" t="inlineStr">
        <is>
          <t>Michael Burgess</t>
        </is>
      </c>
      <c r="C268" s="5" t="inlineStr">
        <is>
          <t>DIRECTOROFPHOTOGRAPHY</t>
        </is>
      </c>
      <c r="D268" s="5" t="inlineStr">
        <is>
          <t>Local600</t>
        </is>
      </c>
      <c r="E268" s="6" t="n">
        <v>700</v>
      </c>
      <c r="F268" s="5" t="n"/>
      <c r="G268" s="5" t="n"/>
      <c r="H268" s="5" t="n"/>
      <c r="I268" s="5" t="n"/>
      <c r="J268" s="7">
        <f>IF(AND(N(F268)&gt;0,N(I268)&gt;0),I268-F268-IF(N(G268)&gt;0,0.5,0)-IF(N(H268)&gt;0,0.5,0),0)</f>
        <v/>
      </c>
      <c r="K268" s="5" t="n"/>
      <c r="L268" s="7">
        <f>MIN(J268,8.0)</f>
        <v/>
      </c>
      <c r="M268" s="7">
        <f>MAX(0,MIN(J268,12)-8.0)</f>
        <v/>
      </c>
      <c r="N268" s="7">
        <f>MAX(0,J268-12)</f>
        <v/>
      </c>
      <c r="O268" s="5" t="n"/>
      <c r="P268" s="6">
        <f>E268*(L268+M268*1.5+N268*2+O268*3+N(K268))</f>
        <v/>
      </c>
      <c r="Q268" s="6" t="n">
        <v>700</v>
      </c>
      <c r="R268" s="6">
        <f>Q268-P268</f>
        <v/>
      </c>
    </row>
    <row r="269">
      <c r="P269" s="2" t="inlineStr">
        <is>
          <t>DIRECTOROFPHOTOGRAPHY LABOR</t>
        </is>
      </c>
      <c r="R269" s="8">
        <f>SUM(R268:R268)</f>
        <v/>
      </c>
    </row>
    <row r="271">
      <c r="B271" s="2" t="inlineStr">
        <is>
          <t>CAMERAOPERATORS</t>
        </is>
      </c>
    </row>
    <row r="272">
      <c r="A272" s="5" t="inlineStr">
        <is>
          <t>3302</t>
        </is>
      </c>
      <c r="B272" s="5" t="inlineStr">
        <is>
          <t>Craig Bauer</t>
        </is>
      </c>
      <c r="C272" s="5" t="inlineStr">
        <is>
          <t>"B"CAMERAOP</t>
        </is>
      </c>
      <c r="D272" s="5" t="inlineStr">
        <is>
          <t>Local600</t>
        </is>
      </c>
      <c r="E272" s="6" t="n">
        <v>45</v>
      </c>
      <c r="F272" s="5" t="n"/>
      <c r="G272" s="5" t="n"/>
      <c r="H272" s="5" t="n"/>
      <c r="I272" s="5" t="n"/>
      <c r="J272" s="7">
        <f>IF(AND(N(F272)&gt;0,N(I272)&gt;0),I272-F272-IF(N(G272)&gt;0,0.5,0)-IF(N(H272)&gt;0,0.5,0),0)</f>
        <v/>
      </c>
      <c r="K272" s="5" t="n"/>
      <c r="L272" s="7">
        <f>MIN(J272,8.0)</f>
        <v/>
      </c>
      <c r="M272" s="7">
        <f>MAX(0,MIN(J272,12)-8.0)</f>
        <v/>
      </c>
      <c r="N272" s="7">
        <f>MAX(0,J272-12)</f>
        <v/>
      </c>
      <c r="O272" s="5" t="n"/>
      <c r="P272" s="6">
        <f>E272*(L272+M272*1.5+N272*2+O272*3+N(K272))</f>
        <v/>
      </c>
      <c r="Q272" s="6" t="n">
        <v>630</v>
      </c>
      <c r="R272" s="6">
        <f>Q272-P272</f>
        <v/>
      </c>
    </row>
    <row r="273">
      <c r="P273" s="2" t="inlineStr">
        <is>
          <t>CAMERAOPERATORS LABOR</t>
        </is>
      </c>
      <c r="R273" s="8">
        <f>SUM(R272:R272)</f>
        <v/>
      </c>
    </row>
    <row r="275">
      <c r="B275" s="2" t="inlineStr">
        <is>
          <t>DIGITALIMAGINGTECHS</t>
        </is>
      </c>
    </row>
    <row r="276">
      <c r="A276" s="5" t="inlineStr">
        <is>
          <t>3304</t>
        </is>
      </c>
      <c r="B276" s="5" t="inlineStr">
        <is>
          <t>Oliver Mancebo</t>
        </is>
      </c>
      <c r="C276" s="5" t="inlineStr">
        <is>
          <t>DIT</t>
        </is>
      </c>
      <c r="D276" s="5" t="inlineStr">
        <is>
          <t>Local600</t>
        </is>
      </c>
      <c r="E276" s="6" t="n">
        <v>35</v>
      </c>
      <c r="F276" s="5" t="n"/>
      <c r="G276" s="5" t="n"/>
      <c r="H276" s="5" t="n"/>
      <c r="I276" s="5" t="n"/>
      <c r="J276" s="7">
        <f>IF(AND(N(F276)&gt;0,N(I276)&gt;0),I276-F276-IF(N(G276)&gt;0,0.5,0)-IF(N(H276)&gt;0,0.5,0),0)</f>
        <v/>
      </c>
      <c r="K276" s="5" t="n"/>
      <c r="L276" s="7">
        <f>MIN(J276,8.0)</f>
        <v/>
      </c>
      <c r="M276" s="7">
        <f>MAX(0,MIN(J276,12)-8.0)</f>
        <v/>
      </c>
      <c r="N276" s="7">
        <f>MAX(0,J276-12)</f>
        <v/>
      </c>
      <c r="O276" s="5" t="n"/>
      <c r="P276" s="6">
        <f>E276*(L276+M276*1.5+N276*2+O276*3+N(K276))</f>
        <v/>
      </c>
      <c r="Q276" s="6" t="n">
        <v>542.5</v>
      </c>
      <c r="R276" s="6">
        <f>Q276-P276</f>
        <v/>
      </c>
    </row>
    <row r="277">
      <c r="P277" s="2" t="inlineStr">
        <is>
          <t>DIGITALIMAGINGTECHS LABOR</t>
        </is>
      </c>
      <c r="R277" s="8">
        <f>SUM(R276:R276)</f>
        <v/>
      </c>
    </row>
    <row r="279">
      <c r="B279" s="2" t="inlineStr">
        <is>
          <t>1STASSTCAMERA</t>
        </is>
      </c>
    </row>
    <row r="280">
      <c r="A280" s="5" t="inlineStr">
        <is>
          <t>3305</t>
        </is>
      </c>
      <c r="B280" s="5" t="inlineStr">
        <is>
          <t>Steve Cueva</t>
        </is>
      </c>
      <c r="C280" s="5" t="inlineStr">
        <is>
          <t>"A"CAMERA 1STAC</t>
        </is>
      </c>
      <c r="D280" s="5" t="inlineStr">
        <is>
          <t>Local600</t>
        </is>
      </c>
      <c r="E280" s="6" t="n">
        <v>25.5</v>
      </c>
      <c r="F280" s="5" t="n"/>
      <c r="G280" s="5" t="n"/>
      <c r="H280" s="5" t="n"/>
      <c r="I280" s="5" t="n"/>
      <c r="J280" s="7">
        <f>IF(AND(N(F280)&gt;0,N(I280)&gt;0),I280-F280-IF(N(G280)&gt;0,0.5,0)-IF(N(H280)&gt;0,0.5,0),0)</f>
        <v/>
      </c>
      <c r="K280" s="5" t="n"/>
      <c r="L280" s="7">
        <f>MIN(J280,8.0)</f>
        <v/>
      </c>
      <c r="M280" s="7">
        <f>MAX(0,MIN(J280,12)-8.0)</f>
        <v/>
      </c>
      <c r="N280" s="7">
        <f>MAX(0,J280-12)</f>
        <v/>
      </c>
      <c r="O280" s="5" t="n"/>
      <c r="P280" s="6">
        <f>E280*(L280+M280*1.5+N280*2+O280*3+N(K280))</f>
        <v/>
      </c>
      <c r="Q280" s="6" t="n">
        <v>395.25</v>
      </c>
      <c r="R280" s="6">
        <f>Q280-P280</f>
        <v/>
      </c>
    </row>
    <row r="281">
      <c r="A281" s="5" t="inlineStr">
        <is>
          <t>3305</t>
        </is>
      </c>
      <c r="B281" s="5" t="inlineStr">
        <is>
          <t>Chris Garcia</t>
        </is>
      </c>
      <c r="C281" s="5" t="inlineStr">
        <is>
          <t>"B"CAMERA 1STAC</t>
        </is>
      </c>
      <c r="D281" s="5" t="inlineStr">
        <is>
          <t>Local600</t>
        </is>
      </c>
      <c r="E281" s="6" t="n">
        <v>25.5</v>
      </c>
      <c r="F281" s="5" t="n"/>
      <c r="G281" s="5" t="n"/>
      <c r="H281" s="5" t="n"/>
      <c r="I281" s="5" t="n"/>
      <c r="J281" s="7">
        <f>IF(AND(N(F281)&gt;0,N(I281)&gt;0),I281-F281-IF(N(G281)&gt;0,0.5,0)-IF(N(H281)&gt;0,0.5,0),0)</f>
        <v/>
      </c>
      <c r="K281" s="5" t="n"/>
      <c r="L281" s="7">
        <f>MIN(J281,8.0)</f>
        <v/>
      </c>
      <c r="M281" s="7">
        <f>MAX(0,MIN(J281,12)-8.0)</f>
        <v/>
      </c>
      <c r="N281" s="7">
        <f>MAX(0,J281-12)</f>
        <v/>
      </c>
      <c r="O281" s="5" t="n"/>
      <c r="P281" s="6">
        <f>E281*(L281+M281*1.5+N281*2+O281*3+N(K281))</f>
        <v/>
      </c>
      <c r="Q281" s="6" t="n">
        <v>395.25</v>
      </c>
      <c r="R281" s="6">
        <f>Q281-P281</f>
        <v/>
      </c>
    </row>
    <row r="282">
      <c r="P282" s="2" t="inlineStr">
        <is>
          <t>1STASSTCAMERA LABOR</t>
        </is>
      </c>
      <c r="R282" s="8">
        <f>SUM(R280:R281)</f>
        <v/>
      </c>
    </row>
    <row r="284">
      <c r="B284" s="2" t="inlineStr">
        <is>
          <t>2NDASSTCAMERA</t>
        </is>
      </c>
    </row>
    <row r="285">
      <c r="A285" s="5" t="inlineStr">
        <is>
          <t>3306</t>
        </is>
      </c>
      <c r="B285" s="5" t="inlineStr">
        <is>
          <t>Manny Serrano</t>
        </is>
      </c>
      <c r="C285" s="5" t="inlineStr">
        <is>
          <t>"A"CAMERA 2NDAC</t>
        </is>
      </c>
      <c r="D285" s="5" t="inlineStr">
        <is>
          <t>Local600</t>
        </is>
      </c>
      <c r="E285" s="6" t="n">
        <v>23.04</v>
      </c>
      <c r="F285" s="5" t="n"/>
      <c r="G285" s="5" t="n"/>
      <c r="H285" s="5" t="n"/>
      <c r="I285" s="5" t="n"/>
      <c r="J285" s="7">
        <f>IF(AND(N(F285)&gt;0,N(I285)&gt;0),I285-F285-IF(N(G285)&gt;0,0.5,0)-IF(N(H285)&gt;0,0.5,0),0)</f>
        <v/>
      </c>
      <c r="K285" s="5" t="n"/>
      <c r="L285" s="7">
        <f>MIN(J285,8.0)</f>
        <v/>
      </c>
      <c r="M285" s="7">
        <f>MAX(0,MIN(J285,12)-8.0)</f>
        <v/>
      </c>
      <c r="N285" s="7">
        <f>MAX(0,J285-12)</f>
        <v/>
      </c>
      <c r="O285" s="5" t="n"/>
      <c r="P285" s="6">
        <f>E285*(L285+M285*1.5+N285*2+O285*3+N(K285))</f>
        <v/>
      </c>
      <c r="Q285" s="6" t="n">
        <v>357.12</v>
      </c>
      <c r="R285" s="6">
        <f>Q285-P285</f>
        <v/>
      </c>
    </row>
    <row r="286">
      <c r="A286" s="5" t="inlineStr">
        <is>
          <t>3306</t>
        </is>
      </c>
      <c r="B286" s="5" t="inlineStr"/>
      <c r="C286" s="5" t="inlineStr">
        <is>
          <t>"B"CAMERA 2NDAC</t>
        </is>
      </c>
      <c r="D286" s="5" t="inlineStr">
        <is>
          <t>Local600</t>
        </is>
      </c>
      <c r="E286" s="6" t="n">
        <v>23.04</v>
      </c>
      <c r="F286" s="5" t="n"/>
      <c r="G286" s="5" t="n"/>
      <c r="H286" s="5" t="n"/>
      <c r="I286" s="5" t="n"/>
      <c r="J286" s="7">
        <f>IF(AND(N(F286)&gt;0,N(I286)&gt;0),I286-F286-IF(N(G286)&gt;0,0.5,0)-IF(N(H286)&gt;0,0.5,0),0)</f>
        <v/>
      </c>
      <c r="K286" s="5" t="n"/>
      <c r="L286" s="7">
        <f>MIN(J286,8.0)</f>
        <v/>
      </c>
      <c r="M286" s="7">
        <f>MAX(0,MIN(J286,12)-8.0)</f>
        <v/>
      </c>
      <c r="N286" s="7">
        <f>MAX(0,J286-12)</f>
        <v/>
      </c>
      <c r="O286" s="5" t="n"/>
      <c r="P286" s="6">
        <f>E286*(L286+M286*1.5+N286*2+O286*3+N(K286))</f>
        <v/>
      </c>
      <c r="Q286" s="6" t="n">
        <v>357.12</v>
      </c>
      <c r="R286" s="6">
        <f>Q286-P286</f>
        <v/>
      </c>
    </row>
    <row r="287">
      <c r="P287" s="2" t="inlineStr">
        <is>
          <t>2NDASSTCAMERA LABOR</t>
        </is>
      </c>
      <c r="R287" s="8">
        <f>SUM(R285:R286)</f>
        <v/>
      </c>
    </row>
    <row r="289">
      <c r="B289" s="2" t="inlineStr">
        <is>
          <t>STILLPHOTOGRAPHER</t>
        </is>
      </c>
    </row>
    <row r="290">
      <c r="A290" s="5" t="inlineStr">
        <is>
          <t>3308</t>
        </is>
      </c>
      <c r="B290" s="5" t="inlineStr">
        <is>
          <t>Scott Patrick Green</t>
        </is>
      </c>
      <c r="C290" s="5" t="inlineStr">
        <is>
          <t>STILLPHOTOGRAPHER</t>
        </is>
      </c>
      <c r="D290" s="5" t="inlineStr">
        <is>
          <t>Local600</t>
        </is>
      </c>
      <c r="E290" s="6" t="n">
        <v>26.5</v>
      </c>
      <c r="F290" s="5" t="n"/>
      <c r="G290" s="5" t="n"/>
      <c r="H290" s="5" t="n"/>
      <c r="I290" s="5" t="n"/>
      <c r="J290" s="7">
        <f>IF(AND(N(F290)&gt;0,N(I290)&gt;0),I290-F290-IF(N(G290)&gt;0,0.5,0)-IF(N(H290)&gt;0,0.5,0),0)</f>
        <v/>
      </c>
      <c r="K290" s="5" t="n"/>
      <c r="L290" s="7">
        <f>MIN(J290,8.0)</f>
        <v/>
      </c>
      <c r="M290" s="7">
        <f>MAX(0,MIN(J290,12)-8.0)</f>
        <v/>
      </c>
      <c r="N290" s="7">
        <f>MAX(0,J290-12)</f>
        <v/>
      </c>
      <c r="O290" s="5" t="n"/>
      <c r="P290" s="6">
        <f>E290*(L290+M290*1.5+N290*2+O290*3+N(K290))</f>
        <v/>
      </c>
      <c r="Q290" s="6" t="n">
        <v>291.5</v>
      </c>
      <c r="R290" s="6">
        <f>Q290-P290</f>
        <v/>
      </c>
    </row>
    <row r="291">
      <c r="P291" s="2" t="inlineStr">
        <is>
          <t>STILLPHOTOGRAPHER LABOR</t>
        </is>
      </c>
      <c r="R291" s="8">
        <f>SUM(R290:R290)</f>
        <v/>
      </c>
    </row>
    <row r="293">
      <c r="B293" s="2" t="inlineStr">
        <is>
          <t>AERIAL/UNDERWATERPHOTOGRAPHY</t>
        </is>
      </c>
    </row>
    <row r="294">
      <c r="A294" s="5" t="inlineStr">
        <is>
          <t>3385</t>
        </is>
      </c>
      <c r="B294" s="5" t="inlineStr"/>
      <c r="C294" s="5" t="inlineStr">
        <is>
          <t>UNDERWATEROPERATOR</t>
        </is>
      </c>
      <c r="D294" s="5" t="inlineStr">
        <is>
          <t>Local600</t>
        </is>
      </c>
      <c r="E294" s="6" t="n">
        <v>65</v>
      </c>
      <c r="F294" s="5" t="n"/>
      <c r="G294" s="5" t="n"/>
      <c r="H294" s="5" t="n"/>
      <c r="I294" s="5" t="n"/>
      <c r="J294" s="7">
        <f>IF(AND(N(F294)&gt;0,N(I294)&gt;0),I294-F294-IF(N(G294)&gt;0,0.5,0)-IF(N(H294)&gt;0,0.5,0),0)</f>
        <v/>
      </c>
      <c r="K294" s="5" t="n"/>
      <c r="L294" s="7">
        <f>MIN(J294,8.0)</f>
        <v/>
      </c>
      <c r="M294" s="7">
        <f>MAX(0,MIN(J294,12)-8.0)</f>
        <v/>
      </c>
      <c r="N294" s="7">
        <f>MAX(0,J294-12)</f>
        <v/>
      </c>
      <c r="O294" s="5" t="n"/>
      <c r="P294" s="6">
        <f>E294*(L294+M294*1.5+N294*2+O294*3+N(K294))</f>
        <v/>
      </c>
      <c r="Q294" s="6" t="n">
        <v>910</v>
      </c>
      <c r="R294" s="6">
        <f>Q294-P294</f>
        <v/>
      </c>
    </row>
    <row r="295">
      <c r="P295" s="2" t="inlineStr">
        <is>
          <t>AERIAL/UNDERWATERPHOTOGRAPHY LABOR</t>
        </is>
      </c>
      <c r="R295" s="8">
        <f>SUM(R294:R294)</f>
        <v/>
      </c>
    </row>
    <row r="297">
      <c r="B297" s="2" t="inlineStr">
        <is>
          <t>SOUNDMIXER</t>
        </is>
      </c>
    </row>
    <row r="298">
      <c r="A298" s="5" t="inlineStr">
        <is>
          <t>3401</t>
        </is>
      </c>
      <c r="B298" s="5" t="inlineStr">
        <is>
          <t>Julian Howarth</t>
        </is>
      </c>
      <c r="C298" s="5" t="inlineStr">
        <is>
          <t>SOUNDMIXER</t>
        </is>
      </c>
      <c r="D298" s="5" t="inlineStr">
        <is>
          <t>Local695</t>
        </is>
      </c>
      <c r="E298" s="6" t="n">
        <v>26.5</v>
      </c>
      <c r="F298" s="5" t="n"/>
      <c r="G298" s="5" t="n"/>
      <c r="H298" s="5" t="n"/>
      <c r="I298" s="5" t="n"/>
      <c r="J298" s="7">
        <f>IF(AND(N(F298)&gt;0,N(I298)&gt;0),I298-F298-IF(N(G298)&gt;0,0.5,0)-IF(N(H298)&gt;0,0.5,0),0)</f>
        <v/>
      </c>
      <c r="K298" s="5" t="n"/>
      <c r="L298" s="7">
        <f>MIN(J298,10.0)</f>
        <v/>
      </c>
      <c r="M298" s="7">
        <f>MAX(0,MIN(J298,12)-10.0)</f>
        <v/>
      </c>
      <c r="N298" s="7">
        <f>MAX(0,J298-12)</f>
        <v/>
      </c>
      <c r="O298" s="5" t="n"/>
      <c r="P298" s="6">
        <f>E298*(L298+M298*1.5+N298*2+O298*3+N(K298))</f>
        <v/>
      </c>
      <c r="Q298" s="6" t="n">
        <v>410.75</v>
      </c>
      <c r="R298" s="6">
        <f>Q298-P298</f>
        <v/>
      </c>
    </row>
    <row r="299">
      <c r="P299" s="2" t="inlineStr">
        <is>
          <t>SOUNDMIXER LABOR</t>
        </is>
      </c>
      <c r="R299" s="8">
        <f>SUM(R298:R298)</f>
        <v/>
      </c>
    </row>
    <row r="301">
      <c r="B301" s="2" t="inlineStr">
        <is>
          <t>BOOMOPERATOR</t>
        </is>
      </c>
    </row>
    <row r="302">
      <c r="A302" s="5" t="inlineStr">
        <is>
          <t>3402</t>
        </is>
      </c>
      <c r="B302" s="5" t="inlineStr">
        <is>
          <t>Tim Song Jones</t>
        </is>
      </c>
      <c r="C302" s="5" t="inlineStr">
        <is>
          <t>BOOMOPERATOR</t>
        </is>
      </c>
      <c r="D302" s="5" t="inlineStr">
        <is>
          <t>Local695</t>
        </is>
      </c>
      <c r="E302" s="6" t="n">
        <v>23.04</v>
      </c>
      <c r="F302" s="5" t="n"/>
      <c r="G302" s="5" t="n"/>
      <c r="H302" s="5" t="n"/>
      <c r="I302" s="5" t="n"/>
      <c r="J302" s="7">
        <f>IF(AND(N(F302)&gt;0,N(I302)&gt;0),I302-F302-IF(N(G302)&gt;0,0.5,0)-IF(N(H302)&gt;0,0.5,0),0)</f>
        <v/>
      </c>
      <c r="K302" s="5" t="n"/>
      <c r="L302" s="7">
        <f>MIN(J302,10.0)</f>
        <v/>
      </c>
      <c r="M302" s="7">
        <f>MAX(0,MIN(J302,12)-10.0)</f>
        <v/>
      </c>
      <c r="N302" s="7">
        <f>MAX(0,J302-12)</f>
        <v/>
      </c>
      <c r="O302" s="5" t="n"/>
      <c r="P302" s="6">
        <f>E302*(L302+M302*1.5+N302*2+O302*3+N(K302))</f>
        <v/>
      </c>
      <c r="Q302" s="6" t="n">
        <v>357.12</v>
      </c>
      <c r="R302" s="6">
        <f>Q302-P302</f>
        <v/>
      </c>
    </row>
    <row r="303">
      <c r="P303" s="2" t="inlineStr">
        <is>
          <t>BOOMOPERATOR LABOR</t>
        </is>
      </c>
      <c r="R303" s="8">
        <f>SUM(R302:R302)</f>
        <v/>
      </c>
    </row>
    <row r="305">
      <c r="B305" s="2" t="inlineStr">
        <is>
          <t>CABLEPERSON</t>
        </is>
      </c>
    </row>
    <row r="306">
      <c r="A306" s="5" t="inlineStr">
        <is>
          <t>3403</t>
        </is>
      </c>
      <c r="B306" s="5" t="inlineStr"/>
      <c r="C306" s="5" t="inlineStr">
        <is>
          <t>UTILITYSOUND</t>
        </is>
      </c>
      <c r="D306" s="5" t="inlineStr">
        <is>
          <t>Local695</t>
        </is>
      </c>
      <c r="E306" s="6" t="n">
        <v>20.57</v>
      </c>
      <c r="F306" s="5" t="n"/>
      <c r="G306" s="5" t="n"/>
      <c r="H306" s="5" t="n"/>
      <c r="I306" s="5" t="n"/>
      <c r="J306" s="7">
        <f>IF(AND(N(F306)&gt;0,N(I306)&gt;0),I306-F306-IF(N(G306)&gt;0,0.5,0)-IF(N(H306)&gt;0,0.5,0),0)</f>
        <v/>
      </c>
      <c r="K306" s="5" t="n"/>
      <c r="L306" s="7">
        <f>MIN(J306,10.0)</f>
        <v/>
      </c>
      <c r="M306" s="7">
        <f>MAX(0,MIN(J306,12)-10.0)</f>
        <v/>
      </c>
      <c r="N306" s="7">
        <f>MAX(0,J306-12)</f>
        <v/>
      </c>
      <c r="O306" s="5" t="n"/>
      <c r="P306" s="6">
        <f>E306*(L306+M306*1.5+N306*2+O306*3+N(K306))</f>
        <v/>
      </c>
      <c r="Q306" s="6" t="n">
        <v>318.83</v>
      </c>
      <c r="R306" s="6">
        <f>Q306-P306</f>
        <v/>
      </c>
    </row>
    <row r="307">
      <c r="P307" s="2" t="inlineStr">
        <is>
          <t>CABLEPERSON LABOR</t>
        </is>
      </c>
      <c r="R307" s="8">
        <f>SUM(R306:R306)</f>
        <v/>
      </c>
    </row>
    <row r="309">
      <c r="B309" s="2" t="inlineStr">
        <is>
          <t>VIDEOASSIST</t>
        </is>
      </c>
    </row>
    <row r="310">
      <c r="A310" s="5" t="inlineStr">
        <is>
          <t>3404</t>
        </is>
      </c>
      <c r="B310" s="5" t="inlineStr">
        <is>
          <t>Jeff Snyder</t>
        </is>
      </c>
      <c r="C310" s="5" t="inlineStr">
        <is>
          <t>VIDEOASSISTOPERATOR</t>
        </is>
      </c>
      <c r="D310" s="5" t="inlineStr">
        <is>
          <t>Local695</t>
        </is>
      </c>
      <c r="E310" s="6" t="n">
        <v>23.04</v>
      </c>
      <c r="F310" s="5" t="n"/>
      <c r="G310" s="5" t="n"/>
      <c r="H310" s="5" t="n"/>
      <c r="I310" s="5" t="n"/>
      <c r="J310" s="7">
        <f>IF(AND(N(F310)&gt;0,N(I310)&gt;0),I310-F310-IF(N(G310)&gt;0,0.5,0)-IF(N(H310)&gt;0,0.5,0),0)</f>
        <v/>
      </c>
      <c r="K310" s="5" t="n"/>
      <c r="L310" s="7">
        <f>MIN(J310,10.0)</f>
        <v/>
      </c>
      <c r="M310" s="7">
        <f>MAX(0,MIN(J310,12)-10.0)</f>
        <v/>
      </c>
      <c r="N310" s="7">
        <f>MAX(0,J310-12)</f>
        <v/>
      </c>
      <c r="O310" s="5" t="n"/>
      <c r="P310" s="6">
        <f>E310*(L310+M310*1.5+N310*2+O310*3+N(K310))</f>
        <v/>
      </c>
      <c r="Q310" s="6" t="n">
        <v>357.12</v>
      </c>
      <c r="R310" s="6">
        <f>Q310-P310</f>
        <v/>
      </c>
    </row>
    <row r="311">
      <c r="P311" s="2" t="inlineStr">
        <is>
          <t>VIDEOASSIST LABOR</t>
        </is>
      </c>
      <c r="R311" s="8">
        <f>SUM(R310:R310)</f>
        <v/>
      </c>
    </row>
    <row r="313">
      <c r="B313" s="2" t="inlineStr">
        <is>
          <t>CAPTAIN</t>
        </is>
      </c>
    </row>
    <row r="314">
      <c r="A314" s="5" t="inlineStr">
        <is>
          <t>3502</t>
        </is>
      </c>
      <c r="B314" s="5" t="inlineStr">
        <is>
          <t>Kevin Caira</t>
        </is>
      </c>
      <c r="C314" s="5" t="inlineStr">
        <is>
          <t>TRANSPOCAPTAIN(LA)</t>
        </is>
      </c>
      <c r="D314" s="5" t="inlineStr">
        <is>
          <t>Local399</t>
        </is>
      </c>
      <c r="E314" s="6" t="n">
        <v>37.21</v>
      </c>
      <c r="F314" s="5" t="n"/>
      <c r="G314" s="5" t="n"/>
      <c r="H314" s="5" t="n"/>
      <c r="I314" s="5" t="n"/>
      <c r="J314" s="7">
        <f>IF(AND(N(F314)&gt;0,N(I314)&gt;0),I314-F314-IF(N(G314)&gt;0,0.5,0)-IF(N(H314)&gt;0,0.5,0),0)</f>
        <v/>
      </c>
      <c r="K314" s="5" t="n"/>
      <c r="L314" s="7">
        <f>MIN(J314,8.0)</f>
        <v/>
      </c>
      <c r="M314" s="7">
        <f>MAX(0,MIN(J314,12)-8.0)</f>
        <v/>
      </c>
      <c r="N314" s="7">
        <f>MAX(0,J314-12)</f>
        <v/>
      </c>
      <c r="O314" s="5" t="n"/>
      <c r="P314" s="6">
        <f>E314*(L314+M314*1.5+N314*2+O314*3+N(K314))</f>
        <v/>
      </c>
      <c r="Q314" s="6" t="n">
        <v>651.17</v>
      </c>
      <c r="R314" s="6">
        <f>Q314-P314</f>
        <v/>
      </c>
    </row>
    <row r="315">
      <c r="A315" s="5" t="inlineStr">
        <is>
          <t>3502</t>
        </is>
      </c>
      <c r="B315" s="5" t="inlineStr">
        <is>
          <t>Tina Peterson</t>
        </is>
      </c>
      <c r="C315" s="5" t="inlineStr">
        <is>
          <t>CO-CAPTAIN</t>
        </is>
      </c>
      <c r="D315" s="5" t="inlineStr">
        <is>
          <t>Local399</t>
        </is>
      </c>
      <c r="E315" s="6" t="n">
        <v>37.21</v>
      </c>
      <c r="F315" s="5" t="n"/>
      <c r="G315" s="5" t="n"/>
      <c r="H315" s="5" t="n"/>
      <c r="I315" s="5" t="n"/>
      <c r="J315" s="7">
        <f>IF(AND(N(F315)&gt;0,N(I315)&gt;0),I315-F315-IF(N(G315)&gt;0,0.5,0)-IF(N(H315)&gt;0,0.5,0),0)</f>
        <v/>
      </c>
      <c r="K315" s="5" t="n"/>
      <c r="L315" s="7">
        <f>MIN(J315,8.0)</f>
        <v/>
      </c>
      <c r="M315" s="7">
        <f>MAX(0,MIN(J315,12)-8.0)</f>
        <v/>
      </c>
      <c r="N315" s="7">
        <f>MAX(0,J315-12)</f>
        <v/>
      </c>
      <c r="O315" s="5" t="n"/>
      <c r="P315" s="6">
        <f>E315*(L315+M315*1.5+N315*2+O315*3+N(K315))</f>
        <v/>
      </c>
      <c r="Q315" s="6" t="n">
        <v>576.75</v>
      </c>
      <c r="R315" s="6">
        <f>Q315-P315</f>
        <v/>
      </c>
    </row>
    <row r="316">
      <c r="P316" s="2" t="inlineStr">
        <is>
          <t>CAPTAIN LABOR</t>
        </is>
      </c>
      <c r="R316" s="8">
        <f>SUM(R314:R315)</f>
        <v/>
      </c>
    </row>
    <row r="318">
      <c r="B318" s="2" t="inlineStr">
        <is>
          <t>DRIVERS</t>
        </is>
      </c>
    </row>
    <row r="319">
      <c r="A319" s="5" t="inlineStr">
        <is>
          <t>3503</t>
        </is>
      </c>
      <c r="B319" s="5" t="inlineStr"/>
      <c r="C319" s="5" t="inlineStr">
        <is>
          <t>GRIPTRUCK 48'TRACTORTRAILERDRIVER</t>
        </is>
      </c>
      <c r="D319" s="5" t="inlineStr"/>
      <c r="E319" s="6" t="n">
        <v>32.36</v>
      </c>
      <c r="F319" s="5" t="n"/>
      <c r="G319" s="5" t="n"/>
      <c r="H319" s="5" t="n"/>
      <c r="I319" s="5" t="n"/>
      <c r="J319" s="7">
        <f>IF(AND(N(F319)&gt;0,N(I319)&gt;0),I319-F319-IF(N(G319)&gt;0,0.5,0)-IF(N(H319)&gt;0,0.5,0),0)</f>
        <v/>
      </c>
      <c r="K319" s="5" t="n"/>
      <c r="L319" s="7">
        <f>MIN(J319,8.0)</f>
        <v/>
      </c>
      <c r="M319" s="7">
        <f>MAX(0,MIN(J319,12)-8.0)</f>
        <v/>
      </c>
      <c r="N319" s="7">
        <f>MAX(0,J319-12)</f>
        <v/>
      </c>
      <c r="O319" s="5" t="n"/>
      <c r="P319" s="6">
        <f>E319*(L319+M319*1.5+N319*2+O319*3+N(K319))</f>
        <v/>
      </c>
      <c r="Q319" s="6" t="n">
        <v>501.58</v>
      </c>
      <c r="R319" s="6">
        <f>Q319-P319</f>
        <v/>
      </c>
    </row>
    <row r="320">
      <c r="A320" s="5" t="inlineStr">
        <is>
          <t>3503</t>
        </is>
      </c>
      <c r="B320" s="5" t="inlineStr">
        <is>
          <t>Donald Wilson</t>
        </is>
      </c>
      <c r="C320" s="5" t="inlineStr">
        <is>
          <t>PROP 5-TON(ENCLOSED)</t>
        </is>
      </c>
      <c r="D320" s="5" t="inlineStr"/>
      <c r="E320" s="6" t="n">
        <v>32.36</v>
      </c>
      <c r="F320" s="5" t="n"/>
      <c r="G320" s="5" t="n"/>
      <c r="H320" s="5" t="n"/>
      <c r="I320" s="5" t="n"/>
      <c r="J320" s="7">
        <f>IF(AND(N(F320)&gt;0,N(I320)&gt;0),I320-F320-IF(N(G320)&gt;0,0.5,0)-IF(N(H320)&gt;0,0.5,0),0)</f>
        <v/>
      </c>
      <c r="K320" s="5" t="n"/>
      <c r="L320" s="7">
        <f>MIN(J320,8.0)</f>
        <v/>
      </c>
      <c r="M320" s="7">
        <f>MAX(0,MIN(J320,12)-8.0)</f>
        <v/>
      </c>
      <c r="N320" s="7">
        <f>MAX(0,J320-12)</f>
        <v/>
      </c>
      <c r="O320" s="5" t="n"/>
      <c r="P320" s="6">
        <f>E320*(L320+M320*1.5+N320*2+O320*3+N(K320))</f>
        <v/>
      </c>
      <c r="Q320" s="6" t="n">
        <v>501.58</v>
      </c>
      <c r="R320" s="6">
        <f>Q320-P320</f>
        <v/>
      </c>
    </row>
    <row r="321">
      <c r="A321" s="5" t="inlineStr">
        <is>
          <t>3503</t>
        </is>
      </c>
      <c r="B321" s="5" t="inlineStr"/>
      <c r="C321" s="5" t="inlineStr">
        <is>
          <t>WARDROBESTAKEBEDDRIVER#1</t>
        </is>
      </c>
      <c r="D321" s="5" t="inlineStr"/>
      <c r="E321" s="6" t="n">
        <v>37.99</v>
      </c>
      <c r="F321" s="5" t="n"/>
      <c r="G321" s="5" t="n"/>
      <c r="H321" s="5" t="n"/>
      <c r="I321" s="5" t="n"/>
      <c r="J321" s="7">
        <f>IF(AND(N(F321)&gt;0,N(I321)&gt;0),I321-F321-IF(N(G321)&gt;0,0.5,0)-IF(N(H321)&gt;0,0.5,0),0)</f>
        <v/>
      </c>
      <c r="K321" s="5" t="n"/>
      <c r="L321" s="7">
        <f>MIN(J321,8.0)</f>
        <v/>
      </c>
      <c r="M321" s="7">
        <f>MAX(0,MIN(J321,12)-8.0)</f>
        <v/>
      </c>
      <c r="N321" s="7">
        <f>MAX(0,J321-12)</f>
        <v/>
      </c>
      <c r="O321" s="5" t="n"/>
      <c r="P321" s="6">
        <f>E321*(L321+M321*1.5+N321*2+O321*3+N(K321))</f>
        <v/>
      </c>
      <c r="Q321" s="6" t="n">
        <v>588.85</v>
      </c>
      <c r="R321" s="6">
        <f>Q321-P321</f>
        <v/>
      </c>
    </row>
    <row r="322">
      <c r="A322" s="5" t="inlineStr">
        <is>
          <t>3503</t>
        </is>
      </c>
      <c r="B322" s="5" t="inlineStr"/>
      <c r="C322" s="5" t="inlineStr">
        <is>
          <t>MAKEUPHAIRTRAILERDRIVER</t>
        </is>
      </c>
      <c r="D322" s="5" t="inlineStr"/>
      <c r="E322" s="6" t="n">
        <v>32.36</v>
      </c>
      <c r="F322" s="5" t="n"/>
      <c r="G322" s="5" t="n"/>
      <c r="H322" s="5" t="n"/>
      <c r="I322" s="5" t="n"/>
      <c r="J322" s="7">
        <f>IF(AND(N(F322)&gt;0,N(I322)&gt;0),I322-F322-IF(N(G322)&gt;0,0.5,0)-IF(N(H322)&gt;0,0.5,0),0)</f>
        <v/>
      </c>
      <c r="K322" s="5" t="n"/>
      <c r="L322" s="7">
        <f>MIN(J322,8.0)</f>
        <v/>
      </c>
      <c r="M322" s="7">
        <f>MAX(0,MIN(J322,12)-8.0)</f>
        <v/>
      </c>
      <c r="N322" s="7">
        <f>MAX(0,J322-12)</f>
        <v/>
      </c>
      <c r="O322" s="5" t="n"/>
      <c r="P322" s="6">
        <f>E322*(L322+M322*1.5+N322*2+O322*3+N(K322))</f>
        <v/>
      </c>
      <c r="Q322" s="6" t="n">
        <v>501.58</v>
      </c>
      <c r="R322" s="6">
        <f>Q322-P322</f>
        <v/>
      </c>
    </row>
    <row r="323">
      <c r="A323" s="5" t="inlineStr">
        <is>
          <t>3503</t>
        </is>
      </c>
      <c r="B323" s="5" t="inlineStr"/>
      <c r="C323" s="5" t="inlineStr">
        <is>
          <t>ELECTRIC 10TONDRIVER(GENIEOPERATOR)</t>
        </is>
      </c>
      <c r="D323" s="5" t="inlineStr"/>
      <c r="E323" s="6" t="n">
        <v>37.99</v>
      </c>
      <c r="F323" s="5" t="n"/>
      <c r="G323" s="5" t="n"/>
      <c r="H323" s="5" t="n"/>
      <c r="I323" s="5" t="n"/>
      <c r="J323" s="7">
        <f>IF(AND(N(F323)&gt;0,N(I323)&gt;0),I323-F323-IF(N(G323)&gt;0,0.5,0)-IF(N(H323)&gt;0,0.5,0),0)</f>
        <v/>
      </c>
      <c r="K323" s="5" t="n"/>
      <c r="L323" s="7">
        <f>MIN(J323,8.0)</f>
        <v/>
      </c>
      <c r="M323" s="7">
        <f>MAX(0,MIN(J323,12)-8.0)</f>
        <v/>
      </c>
      <c r="N323" s="7">
        <f>MAX(0,J323-12)</f>
        <v/>
      </c>
      <c r="O323" s="5" t="n"/>
      <c r="P323" s="6">
        <f>E323*(L323+M323*1.5+N323*2+O323*3+N(K323))</f>
        <v/>
      </c>
      <c r="Q323" s="6" t="n">
        <v>588.85</v>
      </c>
      <c r="R323" s="6">
        <f>Q323-P323</f>
        <v/>
      </c>
    </row>
    <row r="324">
      <c r="A324" s="5" t="inlineStr">
        <is>
          <t>3503</t>
        </is>
      </c>
      <c r="B324" s="5" t="inlineStr"/>
      <c r="C324" s="5" t="inlineStr">
        <is>
          <t>SOUNDCCSTAKEBEDFUELTRUCKDRIVER</t>
        </is>
      </c>
      <c r="D324" s="5" t="inlineStr"/>
      <c r="E324" s="6" t="n">
        <v>32.36</v>
      </c>
      <c r="F324" s="5" t="n"/>
      <c r="G324" s="5" t="n"/>
      <c r="H324" s="5" t="n"/>
      <c r="I324" s="5" t="n"/>
      <c r="J324" s="7">
        <f>IF(AND(N(F324)&gt;0,N(I324)&gt;0),I324-F324-IF(N(G324)&gt;0,0.5,0)-IF(N(H324)&gt;0,0.5,0),0)</f>
        <v/>
      </c>
      <c r="K324" s="5" t="n"/>
      <c r="L324" s="7">
        <f>MIN(J324,8.0)</f>
        <v/>
      </c>
      <c r="M324" s="7">
        <f>MAX(0,MIN(J324,12)-8.0)</f>
        <v/>
      </c>
      <c r="N324" s="7">
        <f>MAX(0,J324-12)</f>
        <v/>
      </c>
      <c r="O324" s="5" t="n"/>
      <c r="P324" s="6">
        <f>E324*(L324+M324*1.5+N324*2+O324*3+N(K324))</f>
        <v/>
      </c>
      <c r="Q324" s="6" t="n">
        <v>501.58</v>
      </c>
      <c r="R324" s="6">
        <f>Q324-P324</f>
        <v/>
      </c>
    </row>
    <row r="325">
      <c r="A325" s="5" t="inlineStr">
        <is>
          <t>3503</t>
        </is>
      </c>
      <c r="B325" s="5" t="inlineStr"/>
      <c r="C325" s="5" t="inlineStr">
        <is>
          <t>9-ROOMHONEYWAGONTRACTORDRIVER</t>
        </is>
      </c>
      <c r="D325" s="5" t="inlineStr"/>
      <c r="E325" s="6" t="n">
        <v>32.36</v>
      </c>
      <c r="F325" s="5" t="n"/>
      <c r="G325" s="5" t="n"/>
      <c r="H325" s="5" t="n"/>
      <c r="I325" s="5" t="n"/>
      <c r="J325" s="7">
        <f>IF(AND(N(F325)&gt;0,N(I325)&gt;0),I325-F325-IF(N(G325)&gt;0,0.5,0)-IF(N(H325)&gt;0,0.5,0),0)</f>
        <v/>
      </c>
      <c r="K325" s="5" t="n"/>
      <c r="L325" s="7">
        <f>MIN(J325,8.0)</f>
        <v/>
      </c>
      <c r="M325" s="7">
        <f>MAX(0,MIN(J325,12)-8.0)</f>
        <v/>
      </c>
      <c r="N325" s="7">
        <f>MAX(0,J325-12)</f>
        <v/>
      </c>
      <c r="O325" s="5" t="n"/>
      <c r="P325" s="6">
        <f>E325*(L325+M325*1.5+N325*2+O325*3+N(K325))</f>
        <v/>
      </c>
      <c r="Q325" s="6" t="n">
        <v>501.58</v>
      </c>
      <c r="R325" s="6">
        <f>Q325-P325</f>
        <v/>
      </c>
    </row>
    <row r="326">
      <c r="A326" s="5" t="inlineStr">
        <is>
          <t>3503</t>
        </is>
      </c>
      <c r="B326" s="5" t="inlineStr"/>
      <c r="C326" s="5" t="inlineStr">
        <is>
          <t>FORDTRANSITVANDRIVER#1</t>
        </is>
      </c>
      <c r="D326" s="5" t="inlineStr"/>
      <c r="E326" s="6" t="n">
        <v>32.36</v>
      </c>
      <c r="F326" s="5" t="n"/>
      <c r="G326" s="5" t="n"/>
      <c r="H326" s="5" t="n"/>
      <c r="I326" s="5" t="n"/>
      <c r="J326" s="7">
        <f>IF(AND(N(F326)&gt;0,N(I326)&gt;0),I326-F326-IF(N(G326)&gt;0,0.5,0)-IF(N(H326)&gt;0,0.5,0),0)</f>
        <v/>
      </c>
      <c r="K326" s="5" t="n"/>
      <c r="L326" s="7">
        <f>MIN(J326,8.0)</f>
        <v/>
      </c>
      <c r="M326" s="7">
        <f>MAX(0,MIN(J326,12)-8.0)</f>
        <v/>
      </c>
      <c r="N326" s="7">
        <f>MAX(0,J326-12)</f>
        <v/>
      </c>
      <c r="O326" s="5" t="n"/>
      <c r="P326" s="6">
        <f>E326*(L326+M326*1.5+N326*2+O326*3+N(K326))</f>
        <v/>
      </c>
      <c r="Q326" s="6" t="n">
        <v>501.58</v>
      </c>
      <c r="R326" s="6">
        <f>Q326-P326</f>
        <v/>
      </c>
    </row>
    <row r="327">
      <c r="A327" s="5" t="inlineStr">
        <is>
          <t>3503</t>
        </is>
      </c>
      <c r="B327" s="5" t="inlineStr">
        <is>
          <t>Kaiser Clark</t>
        </is>
      </c>
      <c r="C327" s="5" t="inlineStr">
        <is>
          <t>CSETDECTRUCKDRIVER#1</t>
        </is>
      </c>
      <c r="D327" s="5" t="inlineStr"/>
      <c r="E327" s="6" t="n">
        <v>32.36</v>
      </c>
      <c r="F327" s="5" t="n"/>
      <c r="G327" s="5" t="n"/>
      <c r="H327" s="5" t="n"/>
      <c r="I327" s="5" t="n"/>
      <c r="J327" s="7">
        <f>IF(AND(N(F327)&gt;0,N(I327)&gt;0),I327-F327-IF(N(G327)&gt;0,0.5,0)-IF(N(H327)&gt;0,0.5,0),0)</f>
        <v/>
      </c>
      <c r="K327" s="5" t="n"/>
      <c r="L327" s="7">
        <f>MIN(J327,8.0)</f>
        <v/>
      </c>
      <c r="M327" s="7">
        <f>MAX(0,MIN(J327,12)-8.0)</f>
        <v/>
      </c>
      <c r="N327" s="7">
        <f>MAX(0,J327-12)</f>
        <v/>
      </c>
      <c r="O327" s="5" t="n"/>
      <c r="P327" s="6">
        <f>E327*(L327+M327*1.5+N327*2+O327*3+N(K327))</f>
        <v/>
      </c>
      <c r="Q327" s="6" t="n">
        <v>501.58</v>
      </c>
      <c r="R327" s="6">
        <f>Q327-P327</f>
        <v/>
      </c>
    </row>
    <row r="328">
      <c r="A328" s="5" t="inlineStr">
        <is>
          <t>3503</t>
        </is>
      </c>
      <c r="B328" s="5" t="inlineStr"/>
      <c r="C328" s="5" t="inlineStr">
        <is>
          <t>C 5-TONENCLOSEDRIGGINGGRIPDRIVER</t>
        </is>
      </c>
      <c r="D328" s="5" t="inlineStr"/>
      <c r="E328" s="6" t="n">
        <v>32.36</v>
      </c>
      <c r="F328" s="5" t="n"/>
      <c r="G328" s="5" t="n"/>
      <c r="H328" s="5" t="n"/>
      <c r="I328" s="5" t="n"/>
      <c r="J328" s="7">
        <f>IF(AND(N(F328)&gt;0,N(I328)&gt;0),I328-F328-IF(N(G328)&gt;0,0.5,0)-IF(N(H328)&gt;0,0.5,0),0)</f>
        <v/>
      </c>
      <c r="K328" s="5" t="n"/>
      <c r="L328" s="7">
        <f>MIN(J328,8.0)</f>
        <v/>
      </c>
      <c r="M328" s="7">
        <f>MAX(0,MIN(J328,12)-8.0)</f>
        <v/>
      </c>
      <c r="N328" s="7">
        <f>MAX(0,J328-12)</f>
        <v/>
      </c>
      <c r="O328" s="5" t="n"/>
      <c r="P328" s="6">
        <f>E328*(L328+M328*1.5+N328*2+O328*3+N(K328))</f>
        <v/>
      </c>
      <c r="Q328" s="5" t="n"/>
      <c r="R328" s="6">
        <f>Q328-P328</f>
        <v/>
      </c>
    </row>
    <row r="329">
      <c r="A329" s="5" t="inlineStr">
        <is>
          <t>3503</t>
        </is>
      </c>
      <c r="B329" s="5" t="inlineStr"/>
      <c r="C329" s="5" t="inlineStr">
        <is>
          <t>SCOUTBUS</t>
        </is>
      </c>
      <c r="D329" s="5" t="inlineStr"/>
      <c r="E329" s="6" t="n">
        <v>32.36</v>
      </c>
      <c r="F329" s="5" t="n"/>
      <c r="G329" s="5" t="n"/>
      <c r="H329" s="5" t="n"/>
      <c r="I329" s="5" t="n"/>
      <c r="J329" s="7">
        <f>IF(AND(N(F329)&gt;0,N(I329)&gt;0),I329-F329-IF(N(G329)&gt;0,0.5,0)-IF(N(H329)&gt;0,0.5,0),0)</f>
        <v/>
      </c>
      <c r="K329" s="5" t="n"/>
      <c r="L329" s="7">
        <f>MIN(J329,8.0)</f>
        <v/>
      </c>
      <c r="M329" s="7">
        <f>MAX(0,MIN(J329,12)-8.0)</f>
        <v/>
      </c>
      <c r="N329" s="7">
        <f>MAX(0,J329-12)</f>
        <v/>
      </c>
      <c r="O329" s="5" t="n"/>
      <c r="P329" s="6">
        <f>E329*(L329+M329*1.5+N329*2+O329*3+N(K329))</f>
        <v/>
      </c>
      <c r="Q329" s="5" t="n"/>
      <c r="R329" s="6">
        <f>Q329-P329</f>
        <v/>
      </c>
    </row>
    <row r="330">
      <c r="A330" s="5" t="inlineStr">
        <is>
          <t>3503</t>
        </is>
      </c>
      <c r="B330" s="5" t="inlineStr"/>
      <c r="C330" s="5" t="inlineStr">
        <is>
          <t>DRIVERMANDAYS</t>
        </is>
      </c>
      <c r="D330" s="5" t="inlineStr"/>
      <c r="E330" s="6" t="n">
        <v>32.36</v>
      </c>
      <c r="F330" s="5" t="n"/>
      <c r="G330" s="5" t="n"/>
      <c r="H330" s="5" t="n"/>
      <c r="I330" s="5" t="n"/>
      <c r="J330" s="7">
        <f>IF(AND(N(F330)&gt;0,N(I330)&gt;0),I330-F330-IF(N(G330)&gt;0,0.5,0)-IF(N(H330)&gt;0,0.5,0),0)</f>
        <v/>
      </c>
      <c r="K330" s="5" t="n"/>
      <c r="L330" s="7">
        <f>MIN(J330,8.0)</f>
        <v/>
      </c>
      <c r="M330" s="7">
        <f>MAX(0,MIN(J330,12)-8.0)</f>
        <v/>
      </c>
      <c r="N330" s="7">
        <f>MAX(0,J330-12)</f>
        <v/>
      </c>
      <c r="O330" s="5" t="n"/>
      <c r="P330" s="6">
        <f>E330*(L330+M330*1.5+N330*2+O330*3+N(K330))</f>
        <v/>
      </c>
      <c r="Q330" s="5" t="n"/>
      <c r="R330" s="6">
        <f>Q330-P330</f>
        <v/>
      </c>
    </row>
    <row r="331">
      <c r="P331" s="2" t="inlineStr">
        <is>
          <t>DRIVERS LABOR</t>
        </is>
      </c>
      <c r="R331" s="8">
        <f>SUM(R319:R330)</f>
        <v/>
      </c>
    </row>
    <row r="333">
      <c r="B333" s="2" t="inlineStr">
        <is>
          <t>LOCATIONSITEFEES</t>
        </is>
      </c>
    </row>
    <row r="334">
      <c r="A334" s="5" t="inlineStr">
        <is>
          <t>3607</t>
        </is>
      </c>
      <c r="B334" s="5" t="inlineStr"/>
      <c r="C334" s="5" t="inlineStr">
        <is>
          <t>Location#1(Hospital ER, LACountry Childrens Shelter, Shelter Dorm, Dept...</t>
        </is>
      </c>
      <c r="D334" s="5" t="inlineStr">
        <is>
          <t>Local400</t>
        </is>
      </c>
      <c r="E334" s="6" t="n">
        <v>50000</v>
      </c>
      <c r="F334" s="5" t="n"/>
      <c r="G334" s="5" t="n"/>
      <c r="H334" s="5" t="n"/>
      <c r="I334" s="5" t="n"/>
      <c r="J334" s="7">
        <f>IF(AND(N(F334)&gt;0,N(I334)&gt;0),I334-F334-IF(N(G334)&gt;0,0.5,0)-IF(N(H334)&gt;0,0.5,0),0)</f>
        <v/>
      </c>
      <c r="K334" s="5" t="n"/>
      <c r="L334" s="7">
        <f>MIN(J334,8.0)</f>
        <v/>
      </c>
      <c r="M334" s="7">
        <f>MAX(0,MIN(J334,12)-8.0)</f>
        <v/>
      </c>
      <c r="N334" s="7">
        <f>MAX(0,J334-12)</f>
        <v/>
      </c>
      <c r="O334" s="5" t="n"/>
      <c r="P334" s="6">
        <f>E334*(L334+M334*1.5+N334*2+O334*3+N(K334))</f>
        <v/>
      </c>
      <c r="Q334" s="6" t="n">
        <v>50000</v>
      </c>
      <c r="R334" s="6">
        <f>Q334-P334</f>
        <v/>
      </c>
    </row>
    <row r="335">
      <c r="P335" s="2" t="inlineStr">
        <is>
          <t>LOCATIONSITEFEES LABOR</t>
        </is>
      </c>
      <c r="R335" s="8">
        <f>SUM(R334:R334)</f>
        <v/>
      </c>
    </row>
    <row r="337">
      <c r="B337" s="2" t="inlineStr">
        <is>
          <t>CATERINGLABOR</t>
        </is>
      </c>
    </row>
    <row r="338">
      <c r="A338" s="5" t="inlineStr">
        <is>
          <t>3621</t>
        </is>
      </c>
      <c r="B338" s="5" t="inlineStr"/>
      <c r="C338" s="5" t="inlineStr">
        <is>
          <t>COOKDRIVER#1</t>
        </is>
      </c>
      <c r="D338" s="5" t="inlineStr">
        <is>
          <t>Local399</t>
        </is>
      </c>
      <c r="E338" s="6" t="n">
        <v>32.36</v>
      </c>
      <c r="F338" s="5" t="n"/>
      <c r="G338" s="5" t="n"/>
      <c r="H338" s="5" t="n"/>
      <c r="I338" s="5" t="n"/>
      <c r="J338" s="7">
        <f>IF(AND(N(F338)&gt;0,N(I338)&gt;0),I338-F338-IF(N(G338)&gt;0,0.5,0)-IF(N(H338)&gt;0,0.5,0),0)</f>
        <v/>
      </c>
      <c r="K338" s="5" t="n"/>
      <c r="L338" s="7">
        <f>MIN(J338,8.0)</f>
        <v/>
      </c>
      <c r="M338" s="7">
        <f>MAX(0,MIN(J338,12)-8.0)</f>
        <v/>
      </c>
      <c r="N338" s="7">
        <f>MAX(0,J338-12)</f>
        <v/>
      </c>
      <c r="O338" s="5" t="n"/>
      <c r="P338" s="6">
        <f>E338*(L338+M338*1.5+N338*2+O338*3+N(K338))</f>
        <v/>
      </c>
      <c r="Q338" s="6" t="n">
        <v>647.2</v>
      </c>
      <c r="R338" s="6">
        <f>Q338-P338</f>
        <v/>
      </c>
    </row>
    <row r="339">
      <c r="A339" s="5" t="inlineStr">
        <is>
          <t>3621</t>
        </is>
      </c>
      <c r="B339" s="5" t="inlineStr"/>
      <c r="C339" s="5" t="inlineStr">
        <is>
          <t>1STASSTCATERER#1</t>
        </is>
      </c>
      <c r="D339" s="5" t="inlineStr"/>
      <c r="E339" s="6" t="n">
        <v>17</v>
      </c>
      <c r="F339" s="5" t="n"/>
      <c r="G339" s="5" t="n"/>
      <c r="H339" s="5" t="n"/>
      <c r="I339" s="5" t="n"/>
      <c r="J339" s="7">
        <f>IF(AND(N(F339)&gt;0,N(I339)&gt;0),I339-F339-IF(N(G339)&gt;0,0.5,0)-IF(N(H339)&gt;0,0.5,0),0)</f>
        <v/>
      </c>
      <c r="K339" s="5" t="n"/>
      <c r="L339" s="7">
        <f>MIN(J339,8.0)</f>
        <v/>
      </c>
      <c r="M339" s="7">
        <f>MAX(0,MIN(J339,12)-8.0)</f>
        <v/>
      </c>
      <c r="N339" s="7">
        <f>MAX(0,J339-12)</f>
        <v/>
      </c>
      <c r="O339" s="5" t="n"/>
      <c r="P339" s="6">
        <f>E339*(L339+M339*1.5+N339*2+O339*3+N(K339))</f>
        <v/>
      </c>
      <c r="Q339" s="6" t="n">
        <v>340</v>
      </c>
      <c r="R339" s="6">
        <f>Q339-P339</f>
        <v/>
      </c>
    </row>
    <row r="340">
      <c r="A340" s="5" t="inlineStr">
        <is>
          <t>3621</t>
        </is>
      </c>
      <c r="B340" s="5" t="inlineStr"/>
      <c r="C340" s="5" t="inlineStr">
        <is>
          <t>1STASSTCATERER#2</t>
        </is>
      </c>
      <c r="D340" s="5" t="inlineStr"/>
      <c r="E340" s="6" t="n">
        <v>16</v>
      </c>
      <c r="F340" s="5" t="n"/>
      <c r="G340" s="5" t="n"/>
      <c r="H340" s="5" t="n"/>
      <c r="I340" s="5" t="n"/>
      <c r="J340" s="7">
        <f>IF(AND(N(F340)&gt;0,N(I340)&gt;0),I340-F340-IF(N(G340)&gt;0,0.5,0)-IF(N(H340)&gt;0,0.5,0),0)</f>
        <v/>
      </c>
      <c r="K340" s="5" t="n"/>
      <c r="L340" s="7">
        <f>MIN(J340,8.0)</f>
        <v/>
      </c>
      <c r="M340" s="7">
        <f>MAX(0,MIN(J340,12)-8.0)</f>
        <v/>
      </c>
      <c r="N340" s="7">
        <f>MAX(0,J340-12)</f>
        <v/>
      </c>
      <c r="O340" s="5" t="n"/>
      <c r="P340" s="6">
        <f>E340*(L340+M340*1.5+N340*2+O340*3+N(K340))</f>
        <v/>
      </c>
      <c r="Q340" s="6" t="n">
        <v>320</v>
      </c>
      <c r="R340" s="6">
        <f>Q340-P340</f>
        <v/>
      </c>
    </row>
    <row r="341">
      <c r="P341" s="2" t="inlineStr">
        <is>
          <t>CATERINGLABOR LABOR</t>
        </is>
      </c>
      <c r="R341" s="8">
        <f>SUM(R338:R340)</f>
        <v/>
      </c>
    </row>
    <row r="343">
      <c r="K343" s="9" t="inlineStr">
        <is>
          <t>TOTAL</t>
        </is>
      </c>
      <c r="P343" s="9" t="inlineStr">
        <is>
          <t>ACTUAL</t>
        </is>
      </c>
      <c r="Q343" s="9" t="inlineStr">
        <is>
          <t>BUDGET</t>
        </is>
      </c>
      <c r="R343" s="9" t="inlineStr">
        <is>
          <t>TOTAL VAR</t>
        </is>
      </c>
    </row>
    <row r="344">
      <c r="P344" s="9" t="inlineStr">
        <is>
          <t>DAY COST</t>
        </is>
      </c>
      <c r="Q344" s="9" t="inlineStr">
        <is>
          <t>DY COST</t>
        </is>
      </c>
      <c r="R344" s="9" t="inlineStr">
        <is>
          <t>(OVER) / UNDER</t>
        </is>
      </c>
    </row>
    <row r="345">
      <c r="P345" s="10">
        <f>SUM(P6:P6)+SUM(P10:P11)+SUM(P15:P17)+SUM(P21:P22)+SUM(P26:P32)+SUM(P36:P36)+SUM(P40:P41)+SUM(P45:P45)+SUM(P49:P49)+SUM(P53:P54)+SUM(P58:P58)+SUM(P62:P62)+SUM(P66:P67)+SUM(P71:P71)+SUM(P75:P75)+SUM(P79:P80)+SUM(P84:P84)+SUM(P88:P88)+SUM(P92:P93)+SUM(P97:P100)+SUM(P104:P104)+SUM(P108:P109)+SUM(P113:P113)+SUM(P117:P117)+SUM(P121:P121)+SUM(P125:P125)+SUM(P129:P130)+SUM(P134:P134)+SUM(P138:P139)+SUM(P143:P145)+SUM(P149:P149)+SUM(P153:P153)+SUM(P157:P158)+SUM(P162:P163)+SUM(P167:P167)+SUM(P171:P173)+SUM(P177:P177)+SUM(P181:P181)+SUM(P185:P187)+SUM(P191:P191)+SUM(P195:P195)+SUM(P199:P199)+SUM(P203:P203)+SUM(P207:P207)+SUM(P211:P211)+SUM(P215:P216)+SUM(P220:P220)+SUM(P224:P224)+SUM(P228:P228)+SUM(P232:P233)+SUM(P237:P237)+SUM(P241:P241)+SUM(P245:P245)+SUM(P249:P249)+SUM(P253:P254)+SUM(P258:P260)+SUM(P264:P264)+SUM(P268:P268)+SUM(P272:P272)+SUM(P276:P276)+SUM(P280:P281)+SUM(P285:P286)+SUM(P290:P290)+SUM(P294:P294)+SUM(P298:P298)+SUM(P302:P302)+SUM(P306:P306)+SUM(P310:P310)+SUM(P314:P315)+SUM(P319:P330)+SUM(P334:P334)+SUM(P338:P340)</f>
        <v/>
      </c>
      <c r="Q345" s="10">
        <f>SUM(Q6:Q6)+SUM(Q10:Q11)+SUM(Q15:Q17)+SUM(Q21:Q22)+SUM(Q26:Q32)+SUM(Q36:Q36)+SUM(Q40:Q41)+SUM(Q45:Q45)+SUM(Q49:Q49)+SUM(Q53:Q54)+SUM(Q58:Q58)+SUM(Q62:Q62)+SUM(Q66:Q67)+SUM(Q71:Q71)+SUM(Q75:Q75)+SUM(Q79:Q80)+SUM(Q84:Q84)+SUM(Q88:Q88)+SUM(Q92:Q93)+SUM(Q97:Q100)+SUM(Q104:Q104)+SUM(Q108:Q109)+SUM(Q113:Q113)+SUM(Q117:Q117)+SUM(Q121:Q121)+SUM(Q125:Q125)+SUM(Q129:Q130)+SUM(Q134:Q134)+SUM(Q138:Q139)+SUM(Q143:Q145)+SUM(Q149:Q149)+SUM(Q153:Q153)+SUM(Q157:Q158)+SUM(Q162:Q163)+SUM(Q167:Q167)+SUM(Q171:Q173)+SUM(Q177:Q177)+SUM(Q181:Q181)+SUM(Q185:Q187)+SUM(Q191:Q191)+SUM(Q195:Q195)+SUM(Q199:Q199)+SUM(Q203:Q203)+SUM(Q207:Q207)+SUM(Q211:Q211)+SUM(Q215:Q216)+SUM(Q220:Q220)+SUM(Q224:Q224)+SUM(Q228:Q228)+SUM(Q232:Q233)+SUM(Q237:Q237)+SUM(Q241:Q241)+SUM(Q245:Q245)+SUM(Q249:Q249)+SUM(Q253:Q254)+SUM(Q258:Q260)+SUM(Q264:Q264)+SUM(Q268:Q268)+SUM(Q272:Q272)+SUM(Q276:Q276)+SUM(Q280:Q281)+SUM(Q285:Q286)+SUM(Q290:Q290)+SUM(Q294:Q294)+SUM(Q298:Q298)+SUM(Q302:Q302)+SUM(Q306:Q306)+SUM(Q310:Q310)+SUM(Q314:Q315)+SUM(Q319:Q330)+SUM(Q334:Q334)+SUM(Q338:Q340)</f>
        <v/>
      </c>
      <c r="R345" s="10">
        <f>SUM(R6:R6)+SUM(R10:R11)+SUM(R15:R17)+SUM(R21:R22)+SUM(R26:R32)+SUM(R36:R36)+SUM(R40:R41)+SUM(R45:R45)+SUM(R49:R49)+SUM(R53:R54)+SUM(R58:R58)+SUM(R62:R62)+SUM(R66:R67)+SUM(R71:R71)+SUM(R75:R75)+SUM(R79:R80)+SUM(R84:R84)+SUM(R88:R88)+SUM(R92:R93)+SUM(R97:R100)+SUM(R104:R104)+SUM(R108:R109)+SUM(R113:R113)+SUM(R117:R117)+SUM(R121:R121)+SUM(R125:R125)+SUM(R129:R130)+SUM(R134:R134)+SUM(R138:R139)+SUM(R143:R145)+SUM(R149:R149)+SUM(R153:R153)+SUM(R157:R158)+SUM(R162:R163)+SUM(R167:R167)+SUM(R171:R173)+SUM(R177:R177)+SUM(R181:R181)+SUM(R185:R187)+SUM(R191:R191)+SUM(R195:R195)+SUM(R199:R199)+SUM(R203:R203)+SUM(R207:R207)+SUM(R211:R211)+SUM(R215:R216)+SUM(R220:R220)+SUM(R224:R224)+SUM(R228:R228)+SUM(R232:R233)+SUM(R237:R237)+SUM(R241:R241)+SUM(R245:R245)+SUM(R249:R249)+SUM(R253:R254)+SUM(R258:R260)+SUM(R264:R264)+SUM(R268:R268)+SUM(R272:R272)+SUM(R276:R276)+SUM(R280:R281)+SUM(R285:R286)+SUM(R290:R290)+SUM(R294:R294)+SUM(R298:R298)+SUM(R302:R302)+SUM(R306:R306)+SUM(R310:R310)+SUM(R314:R315)+SUM(R319:R330)+SUM(R334:R334)+SUM(R338:R340)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34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20" customWidth="1" min="3" max="3"/>
    <col width="9" customWidth="1" min="4" max="4"/>
    <col width="9" customWidth="1" min="5" max="5"/>
    <col width="7" customWidth="1" min="6" max="6"/>
    <col width="7" customWidth="1" min="7" max="7"/>
    <col width="8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12" customWidth="1" min="16" max="16"/>
    <col width="13" customWidth="1" min="17" max="17"/>
    <col width="14" customWidth="1" min="18" max="18"/>
  </cols>
  <sheetData>
    <row r="1">
      <c r="A1" s="1" t="inlineStr">
        <is>
          <t>HOT COST</t>
        </is>
      </c>
      <c r="C1" t="inlineStr">
        <is>
          <t>Thursday 19 Oct 2017</t>
        </is>
      </c>
      <c r="F1" s="2" t="inlineStr">
        <is>
          <t>DAY #4</t>
        </is>
      </c>
    </row>
    <row r="2">
      <c r="A2" s="3" t="inlineStr">
        <is>
          <t>enter CALL, LUNCH, WRAP as decimal hours (e.g. 7.5) — everything right of WRAP computes</t>
        </is>
      </c>
    </row>
    <row r="4">
      <c r="A4" s="4" t="inlineStr">
        <is>
          <t>ACCT</t>
        </is>
      </c>
      <c r="B4" s="4" t="inlineStr">
        <is>
          <t>NAME</t>
        </is>
      </c>
      <c r="C4" s="4" t="inlineStr">
        <is>
          <t>POSITION</t>
        </is>
      </c>
      <c r="D4" s="4" t="inlineStr">
        <is>
          <t>UNION</t>
        </is>
      </c>
      <c r="E4" s="4" t="inlineStr">
        <is>
          <t>RATE</t>
        </is>
      </c>
      <c r="F4" s="4" t="inlineStr">
        <is>
          <t>CALL</t>
        </is>
      </c>
      <c r="G4" s="4" t="inlineStr">
        <is>
          <t>LUNCH</t>
        </is>
      </c>
      <c r="H4" s="4" t="inlineStr">
        <is>
          <t>LUNCH 2</t>
        </is>
      </c>
      <c r="I4" s="4" t="inlineStr">
        <is>
          <t>WRAP</t>
        </is>
      </c>
      <c r="J4" s="4" t="inlineStr">
        <is>
          <t>HRS</t>
        </is>
      </c>
      <c r="K4" s="4" t="inlineStr">
        <is>
          <t>MP'S</t>
        </is>
      </c>
      <c r="L4" s="4" t="inlineStr">
        <is>
          <t>ST</t>
        </is>
      </c>
      <c r="M4" s="4" t="inlineStr">
        <is>
          <t>1.5X</t>
        </is>
      </c>
      <c r="N4" s="4" t="inlineStr">
        <is>
          <t>2X</t>
        </is>
      </c>
      <c r="O4" s="4" t="inlineStr">
        <is>
          <t>3X</t>
        </is>
      </c>
      <c r="P4" s="4" t="inlineStr">
        <is>
          <t>TOTAL / DAY</t>
        </is>
      </c>
      <c r="Q4" s="4" t="inlineStr">
        <is>
          <t>BUDGET / DAY</t>
        </is>
      </c>
      <c r="R4" s="4" t="inlineStr">
        <is>
          <t>(OVER) / UNDER</t>
        </is>
      </c>
    </row>
    <row r="5">
      <c r="B5" s="2" t="inlineStr">
        <is>
          <t>LEAD#</t>
        </is>
      </c>
    </row>
    <row r="6">
      <c r="A6" s="5" t="inlineStr">
        <is>
          <t>1401</t>
        </is>
      </c>
      <c r="B6" s="5" t="inlineStr">
        <is>
          <t>Linda Cardellini</t>
        </is>
      </c>
      <c r="C6" s="5" t="inlineStr">
        <is>
          <t>"ANNA"</t>
        </is>
      </c>
      <c r="D6" s="5" t="inlineStr"/>
      <c r="E6" s="6" t="n">
        <v>1211.8</v>
      </c>
      <c r="F6" s="5" t="n"/>
      <c r="G6" s="5" t="n"/>
      <c r="H6" s="5" t="n"/>
      <c r="I6" s="5" t="n"/>
      <c r="J6" s="7">
        <f>IF(AND(N(F6)&gt;0,N(I6)&gt;0),I6-F6-IF(N(G6)&gt;0,0.5,0)-IF(N(H6)&gt;0,0.5,0),0)</f>
        <v/>
      </c>
      <c r="K6" s="5" t="n"/>
      <c r="L6" s="7">
        <f>MIN(J6,8.0)</f>
        <v/>
      </c>
      <c r="M6" s="7">
        <f>MAX(0,MIN(J6,12)-8.0)</f>
        <v/>
      </c>
      <c r="N6" s="7">
        <f>MAX(0,J6-12)</f>
        <v/>
      </c>
      <c r="O6" s="5" t="n"/>
      <c r="P6" s="6">
        <f>E6*(L6+M6*1.5+N6*2+O6*3+N(K6))</f>
        <v/>
      </c>
      <c r="Q6" s="6" t="n">
        <v>1211.8</v>
      </c>
      <c r="R6" s="6">
        <f>Q6-P6</f>
        <v/>
      </c>
    </row>
    <row r="7">
      <c r="P7" s="2" t="inlineStr">
        <is>
          <t>LEAD# LABOR</t>
        </is>
      </c>
      <c r="R7" s="8">
        <f>SUM(R6:R6)</f>
        <v/>
      </c>
    </row>
    <row r="9">
      <c r="B9" s="2" t="inlineStr">
        <is>
          <t>LEAD#2&amp;#</t>
        </is>
      </c>
    </row>
    <row r="10">
      <c r="A10" s="5" t="inlineStr">
        <is>
          <t>1402</t>
        </is>
      </c>
      <c r="B10" s="5" t="inlineStr">
        <is>
          <t>Roman Christou</t>
        </is>
      </c>
      <c r="C10" s="5" t="inlineStr">
        <is>
          <t>"CHRIS"(Minor)</t>
        </is>
      </c>
      <c r="D10" s="5" t="inlineStr"/>
      <c r="E10" s="6" t="n">
        <v>755.4</v>
      </c>
      <c r="F10" s="5" t="n"/>
      <c r="G10" s="5" t="n"/>
      <c r="H10" s="5" t="n"/>
      <c r="I10" s="5" t="n"/>
      <c r="J10" s="7">
        <f>IF(AND(N(F10)&gt;0,N(I10)&gt;0),I10-F10-IF(N(G10)&gt;0,0.5,0)-IF(N(H10)&gt;0,0.5,0),0)</f>
        <v/>
      </c>
      <c r="K10" s="5" t="n"/>
      <c r="L10" s="7">
        <f>MIN(J10,8.0)</f>
        <v/>
      </c>
      <c r="M10" s="7">
        <f>MAX(0,MIN(J10,12)-8.0)</f>
        <v/>
      </c>
      <c r="N10" s="7">
        <f>MAX(0,J10-12)</f>
        <v/>
      </c>
      <c r="O10" s="5" t="n"/>
      <c r="P10" s="6">
        <f>E10*(L10+M10*1.5+N10*2+O10*3+N(K10))</f>
        <v/>
      </c>
      <c r="Q10" s="6" t="n">
        <v>755.4</v>
      </c>
      <c r="R10" s="6">
        <f>Q10-P10</f>
        <v/>
      </c>
    </row>
    <row r="11">
      <c r="A11" s="5" t="inlineStr">
        <is>
          <t>1402</t>
        </is>
      </c>
      <c r="B11" s="5" t="inlineStr">
        <is>
          <t>Jaynee Lynee Kinchen</t>
        </is>
      </c>
      <c r="C11" s="5" t="inlineStr">
        <is>
          <t>"SAMANTHA"(Minor)</t>
        </is>
      </c>
      <c r="D11" s="5" t="inlineStr"/>
      <c r="E11" s="6" t="n">
        <v>755.4</v>
      </c>
      <c r="F11" s="5" t="n"/>
      <c r="G11" s="5" t="n"/>
      <c r="H11" s="5" t="n"/>
      <c r="I11" s="5" t="n"/>
      <c r="J11" s="7">
        <f>IF(AND(N(F11)&gt;0,N(I11)&gt;0),I11-F11-IF(N(G11)&gt;0,0.5,0)-IF(N(H11)&gt;0,0.5,0),0)</f>
        <v/>
      </c>
      <c r="K11" s="5" t="n"/>
      <c r="L11" s="7">
        <f>MIN(J11,8.0)</f>
        <v/>
      </c>
      <c r="M11" s="7">
        <f>MAX(0,MIN(J11,12)-8.0)</f>
        <v/>
      </c>
      <c r="N11" s="7">
        <f>MAX(0,J11-12)</f>
        <v/>
      </c>
      <c r="O11" s="5" t="n"/>
      <c r="P11" s="6">
        <f>E11*(L11+M11*1.5+N11*2+O11*3+N(K11))</f>
        <v/>
      </c>
      <c r="Q11" s="6" t="n">
        <v>755.4</v>
      </c>
      <c r="R11" s="6">
        <f>Q11-P11</f>
        <v/>
      </c>
    </row>
    <row r="12">
      <c r="P12" s="2" t="inlineStr">
        <is>
          <t>LEAD#2&amp;# LABOR</t>
        </is>
      </c>
      <c r="R12" s="8">
        <f>SUM(R10:R11)</f>
        <v/>
      </c>
    </row>
    <row r="14">
      <c r="B14" s="2" t="inlineStr">
        <is>
          <t>OTHERLEADCAST</t>
        </is>
      </c>
    </row>
    <row r="15">
      <c r="A15" s="5" t="inlineStr">
        <is>
          <t>1403</t>
        </is>
      </c>
      <c r="B15" s="5" t="inlineStr">
        <is>
          <t>Raymond Cruz</t>
        </is>
      </c>
      <c r="C15" s="5" t="inlineStr">
        <is>
          <t>"RAFAELOLVERA"</t>
        </is>
      </c>
      <c r="D15" s="5" t="inlineStr"/>
      <c r="E15" s="6" t="n">
        <v>1211.8</v>
      </c>
      <c r="F15" s="5" t="n"/>
      <c r="G15" s="5" t="n"/>
      <c r="H15" s="5" t="n"/>
      <c r="I15" s="5" t="n"/>
      <c r="J15" s="7">
        <f>IF(AND(N(F15)&gt;0,N(I15)&gt;0),I15-F15-IF(N(G15)&gt;0,0.5,0)-IF(N(H15)&gt;0,0.5,0),0)</f>
        <v/>
      </c>
      <c r="K15" s="5" t="n"/>
      <c r="L15" s="7">
        <f>MIN(J15,8.0)</f>
        <v/>
      </c>
      <c r="M15" s="7">
        <f>MAX(0,MIN(J15,12)-8.0)</f>
        <v/>
      </c>
      <c r="N15" s="7">
        <f>MAX(0,J15-12)</f>
        <v/>
      </c>
      <c r="O15" s="5" t="n"/>
      <c r="P15" s="6">
        <f>E15*(L15+M15*1.5+N15*2+O15*3+N(K15))</f>
        <v/>
      </c>
      <c r="Q15" s="6" t="n">
        <v>1211.8</v>
      </c>
      <c r="R15" s="6">
        <f>Q15-P15</f>
        <v/>
      </c>
    </row>
    <row r="16">
      <c r="A16" s="5" t="inlineStr">
        <is>
          <t>1403</t>
        </is>
      </c>
      <c r="B16" s="5" t="inlineStr">
        <is>
          <t>Marisol Ramirez</t>
        </is>
      </c>
      <c r="C16" s="5" t="inlineStr">
        <is>
          <t>"LALLORONA"</t>
        </is>
      </c>
      <c r="D16" s="5" t="inlineStr"/>
      <c r="E16" s="6" t="n">
        <v>1211.8</v>
      </c>
      <c r="F16" s="5" t="n"/>
      <c r="G16" s="5" t="n"/>
      <c r="H16" s="5" t="n"/>
      <c r="I16" s="5" t="n"/>
      <c r="J16" s="7">
        <f>IF(AND(N(F16)&gt;0,N(I16)&gt;0),I16-F16-IF(N(G16)&gt;0,0.5,0)-IF(N(H16)&gt;0,0.5,0),0)</f>
        <v/>
      </c>
      <c r="K16" s="5" t="n"/>
      <c r="L16" s="7">
        <f>MIN(J16,8.0)</f>
        <v/>
      </c>
      <c r="M16" s="7">
        <f>MAX(0,MIN(J16,12)-8.0)</f>
        <v/>
      </c>
      <c r="N16" s="7">
        <f>MAX(0,J16-12)</f>
        <v/>
      </c>
      <c r="O16" s="5" t="n"/>
      <c r="P16" s="6">
        <f>E16*(L16+M16*1.5+N16*2+O16*3+N(K16))</f>
        <v/>
      </c>
      <c r="Q16" s="6" t="n">
        <v>1211.8</v>
      </c>
      <c r="R16" s="6">
        <f>Q16-P16</f>
        <v/>
      </c>
    </row>
    <row r="17">
      <c r="A17" s="5" t="inlineStr">
        <is>
          <t>1403</t>
        </is>
      </c>
      <c r="B17" s="5" t="inlineStr">
        <is>
          <t>Patrica Velasquez</t>
        </is>
      </c>
      <c r="C17" s="5" t="inlineStr">
        <is>
          <t>"PATRICIA"</t>
        </is>
      </c>
      <c r="D17" s="5" t="inlineStr"/>
      <c r="E17" s="6" t="n">
        <v>1972</v>
      </c>
      <c r="F17" s="5" t="n"/>
      <c r="G17" s="5" t="n"/>
      <c r="H17" s="5" t="n"/>
      <c r="I17" s="5" t="n"/>
      <c r="J17" s="7">
        <f>IF(AND(N(F17)&gt;0,N(I17)&gt;0),I17-F17-IF(N(G17)&gt;0,0.5,0)-IF(N(H17)&gt;0,0.5,0),0)</f>
        <v/>
      </c>
      <c r="K17" s="5" t="n"/>
      <c r="L17" s="7">
        <f>MIN(J17,8.0)</f>
        <v/>
      </c>
      <c r="M17" s="7">
        <f>MAX(0,MIN(J17,12)-8.0)</f>
        <v/>
      </c>
      <c r="N17" s="7">
        <f>MAX(0,J17-12)</f>
        <v/>
      </c>
      <c r="O17" s="5" t="n"/>
      <c r="P17" s="6">
        <f>E17*(L17+M17*1.5+N17*2+O17*3+N(K17))</f>
        <v/>
      </c>
      <c r="Q17" s="6" t="n">
        <v>1972</v>
      </c>
      <c r="R17" s="6">
        <f>Q17-P17</f>
        <v/>
      </c>
    </row>
    <row r="18">
      <c r="P18" s="2" t="inlineStr">
        <is>
          <t>OTHERLEADCAST LABOR</t>
        </is>
      </c>
      <c r="R18" s="8">
        <f>SUM(R15:R17)</f>
        <v/>
      </c>
    </row>
    <row r="20">
      <c r="B20" s="2" t="inlineStr">
        <is>
          <t>SUPPORTINGCAST</t>
        </is>
      </c>
    </row>
    <row r="21">
      <c r="A21" s="5" t="inlineStr">
        <is>
          <t>1404</t>
        </is>
      </c>
      <c r="B21" s="5" t="inlineStr">
        <is>
          <t>Sean Patrick Thomas</t>
        </is>
      </c>
      <c r="C21" s="5" t="inlineStr">
        <is>
          <t>DETCOOPER</t>
        </is>
      </c>
      <c r="D21" s="5" t="inlineStr"/>
      <c r="E21" s="6" t="n">
        <v>1211.8</v>
      </c>
      <c r="F21" s="5" t="n"/>
      <c r="G21" s="5" t="n"/>
      <c r="H21" s="5" t="n"/>
      <c r="I21" s="5" t="n"/>
      <c r="J21" s="7">
        <f>IF(AND(N(F21)&gt;0,N(I21)&gt;0),I21-F21-IF(N(G21)&gt;0,0.5,0)-IF(N(H21)&gt;0,0.5,0),0)</f>
        <v/>
      </c>
      <c r="K21" s="5" t="n"/>
      <c r="L21" s="7">
        <f>MIN(J21,8.0)</f>
        <v/>
      </c>
      <c r="M21" s="7">
        <f>MAX(0,MIN(J21,12)-8.0)</f>
        <v/>
      </c>
      <c r="N21" s="7">
        <f>MAX(0,J21-12)</f>
        <v/>
      </c>
      <c r="O21" s="5" t="n"/>
      <c r="P21" s="6">
        <f>E21*(L21+M21*1.5+N21*2+O21*3+N(K21))</f>
        <v/>
      </c>
      <c r="Q21" s="6" t="n">
        <v>1211.8</v>
      </c>
      <c r="R21" s="6">
        <f>Q21-P21</f>
        <v/>
      </c>
    </row>
    <row r="22">
      <c r="A22" s="5" t="inlineStr">
        <is>
          <t>1404</t>
        </is>
      </c>
      <c r="B22" s="5" t="inlineStr">
        <is>
          <t>Tony Amendola</t>
        </is>
      </c>
      <c r="C22" s="5" t="inlineStr">
        <is>
          <t>"FATHERPEREZ"</t>
        </is>
      </c>
      <c r="D22" s="5" t="inlineStr"/>
      <c r="E22" s="6" t="n">
        <v>1972</v>
      </c>
      <c r="F22" s="5" t="n"/>
      <c r="G22" s="5" t="n"/>
      <c r="H22" s="5" t="n"/>
      <c r="I22" s="5" t="n"/>
      <c r="J22" s="7">
        <f>IF(AND(N(F22)&gt;0,N(I22)&gt;0),I22-F22-IF(N(G22)&gt;0,0.5,0)-IF(N(H22)&gt;0,0.5,0),0)</f>
        <v/>
      </c>
      <c r="K22" s="5" t="n"/>
      <c r="L22" s="7">
        <f>MIN(J22,8.0)</f>
        <v/>
      </c>
      <c r="M22" s="7">
        <f>MAX(0,MIN(J22,12)-8.0)</f>
        <v/>
      </c>
      <c r="N22" s="7">
        <f>MAX(0,J22-12)</f>
        <v/>
      </c>
      <c r="O22" s="5" t="n"/>
      <c r="P22" s="6">
        <f>E22*(L22+M22*1.5+N22*2+O22*3+N(K22))</f>
        <v/>
      </c>
      <c r="Q22" s="6" t="n">
        <v>1972</v>
      </c>
      <c r="R22" s="6">
        <f>Q22-P22</f>
        <v/>
      </c>
    </row>
    <row r="23">
      <c r="P23" s="2" t="inlineStr">
        <is>
          <t>SUPPORTINGCAST LABOR</t>
        </is>
      </c>
      <c r="R23" s="8">
        <f>SUM(R21:R22)</f>
        <v/>
      </c>
    </row>
    <row r="25">
      <c r="B25" s="2" t="inlineStr">
        <is>
          <t>DAYPLAYERS</t>
        </is>
      </c>
    </row>
    <row r="26">
      <c r="A26" s="5" t="inlineStr">
        <is>
          <t>1405</t>
        </is>
      </c>
      <c r="B26" s="5" t="inlineStr">
        <is>
          <t>Kristy Keng(Drop/Pickup)</t>
        </is>
      </c>
      <c r="C26" s="5" t="inlineStr">
        <is>
          <t>"DONNA"</t>
        </is>
      </c>
      <c r="D26" s="5" t="inlineStr"/>
      <c r="E26" s="6" t="n">
        <v>1972</v>
      </c>
      <c r="F26" s="5" t="n"/>
      <c r="G26" s="5" t="n"/>
      <c r="H26" s="5" t="n"/>
      <c r="I26" s="5" t="n"/>
      <c r="J26" s="7">
        <f>IF(AND(N(F26)&gt;0,N(I26)&gt;0),I26-F26-IF(N(G26)&gt;0,0.5,0)-IF(N(H26)&gt;0,0.5,0),0)</f>
        <v/>
      </c>
      <c r="K26" s="5" t="n"/>
      <c r="L26" s="7">
        <f>MIN(J26,8.0)</f>
        <v/>
      </c>
      <c r="M26" s="7">
        <f>MAX(0,MIN(J26,12)-8.0)</f>
        <v/>
      </c>
      <c r="N26" s="7">
        <f>MAX(0,J26-12)</f>
        <v/>
      </c>
      <c r="O26" s="5" t="n"/>
      <c r="P26" s="6">
        <f>E26*(L26+M26*1.5+N26*2+O26*3+N(K26))</f>
        <v/>
      </c>
      <c r="Q26" s="6" t="n">
        <v>1972</v>
      </c>
      <c r="R26" s="6">
        <f>Q26-P26</f>
        <v/>
      </c>
    </row>
    <row r="27">
      <c r="A27" s="5" t="inlineStr">
        <is>
          <t>1405</t>
        </is>
      </c>
      <c r="B27" s="5" t="inlineStr">
        <is>
          <t>Oliver Alexander</t>
        </is>
      </c>
      <c r="C27" s="5" t="inlineStr">
        <is>
          <t>"CARLOS"(Minor)</t>
        </is>
      </c>
      <c r="D27" s="5" t="inlineStr"/>
      <c r="E27" s="6" t="n">
        <v>1249</v>
      </c>
      <c r="F27" s="5" t="n"/>
      <c r="G27" s="5" t="n"/>
      <c r="H27" s="5" t="n"/>
      <c r="I27" s="5" t="n"/>
      <c r="J27" s="7">
        <f>IF(AND(N(F27)&gt;0,N(I27)&gt;0),I27-F27-IF(N(G27)&gt;0,0.5,0)-IF(N(H27)&gt;0,0.5,0),0)</f>
        <v/>
      </c>
      <c r="K27" s="5" t="n"/>
      <c r="L27" s="7">
        <f>MIN(J27,8.0)</f>
        <v/>
      </c>
      <c r="M27" s="7">
        <f>MAX(0,MIN(J27,12)-8.0)</f>
        <v/>
      </c>
      <c r="N27" s="7">
        <f>MAX(0,J27-12)</f>
        <v/>
      </c>
      <c r="O27" s="5" t="n"/>
      <c r="P27" s="6">
        <f>E27*(L27+M27*1.5+N27*2+O27*3+N(K27))</f>
        <v/>
      </c>
      <c r="Q27" s="6" t="n">
        <v>1249</v>
      </c>
      <c r="R27" s="6">
        <f>Q27-P27</f>
        <v/>
      </c>
    </row>
    <row r="28">
      <c r="A28" s="5" t="inlineStr">
        <is>
          <t>1405</t>
        </is>
      </c>
      <c r="B28" s="5" t="inlineStr">
        <is>
          <t>Adam Lewandowski</t>
        </is>
      </c>
      <c r="C28" s="5" t="inlineStr">
        <is>
          <t>"TOMAS"(Minor)</t>
        </is>
      </c>
      <c r="D28" s="5" t="inlineStr"/>
      <c r="E28" s="6" t="n">
        <v>1249</v>
      </c>
      <c r="F28" s="5" t="n"/>
      <c r="G28" s="5" t="n"/>
      <c r="H28" s="5" t="n"/>
      <c r="I28" s="5" t="n"/>
      <c r="J28" s="7">
        <f>IF(AND(N(F28)&gt;0,N(I28)&gt;0),I28-F28-IF(N(G28)&gt;0,0.5,0)-IF(N(H28)&gt;0,0.5,0),0)</f>
        <v/>
      </c>
      <c r="K28" s="5" t="n"/>
      <c r="L28" s="7">
        <f>MIN(J28,8.0)</f>
        <v/>
      </c>
      <c r="M28" s="7">
        <f>MAX(0,MIN(J28,12)-8.0)</f>
        <v/>
      </c>
      <c r="N28" s="7">
        <f>MAX(0,J28-12)</f>
        <v/>
      </c>
      <c r="O28" s="5" t="n"/>
      <c r="P28" s="6">
        <f>E28*(L28+M28*1.5+N28*2+O28*3+N(K28))</f>
        <v/>
      </c>
      <c r="Q28" s="6" t="n">
        <v>1249</v>
      </c>
      <c r="R28" s="6">
        <f>Q28-P28</f>
        <v/>
      </c>
    </row>
    <row r="29">
      <c r="A29" s="5" t="inlineStr">
        <is>
          <t>1405</t>
        </is>
      </c>
      <c r="B29" s="5" t="inlineStr">
        <is>
          <t>Paul Rodriquez Jr.</t>
        </is>
      </c>
      <c r="C29" s="5" t="inlineStr">
        <is>
          <t>"OFFICERCLARO"</t>
        </is>
      </c>
      <c r="D29" s="5" t="inlineStr"/>
      <c r="E29" s="6" t="n">
        <v>1972</v>
      </c>
      <c r="F29" s="5" t="n"/>
      <c r="G29" s="5" t="n"/>
      <c r="H29" s="5" t="n"/>
      <c r="I29" s="5" t="n"/>
      <c r="J29" s="7">
        <f>IF(AND(N(F29)&gt;0,N(I29)&gt;0),I29-F29-IF(N(G29)&gt;0,0.5,0)-IF(N(H29)&gt;0,0.5,0),0)</f>
        <v/>
      </c>
      <c r="K29" s="5" t="n"/>
      <c r="L29" s="7">
        <f>MIN(J29,8.0)</f>
        <v/>
      </c>
      <c r="M29" s="7">
        <f>MAX(0,MIN(J29,12)-8.0)</f>
        <v/>
      </c>
      <c r="N29" s="7">
        <f>MAX(0,J29-12)</f>
        <v/>
      </c>
      <c r="O29" s="5" t="n"/>
      <c r="P29" s="6">
        <f>E29*(L29+M29*1.5+N29*2+O29*3+N(K29))</f>
        <v/>
      </c>
      <c r="Q29" s="6" t="n">
        <v>1972</v>
      </c>
      <c r="R29" s="6">
        <f>Q29-P29</f>
        <v/>
      </c>
    </row>
    <row r="30">
      <c r="A30" s="5" t="inlineStr">
        <is>
          <t>1405</t>
        </is>
      </c>
      <c r="B30" s="5" t="inlineStr">
        <is>
          <t>Sophia Santi</t>
        </is>
      </c>
      <c r="C30" s="5" t="inlineStr">
        <is>
          <t>"FEMALECUSTOMER"</t>
        </is>
      </c>
      <c r="D30" s="5" t="inlineStr"/>
      <c r="E30" s="6" t="n">
        <v>1972</v>
      </c>
      <c r="F30" s="5" t="n"/>
      <c r="G30" s="5" t="n"/>
      <c r="H30" s="5" t="n"/>
      <c r="I30" s="5" t="n"/>
      <c r="J30" s="7">
        <f>IF(AND(N(F30)&gt;0,N(I30)&gt;0),I30-F30-IF(N(G30)&gt;0,0.5,0)-IF(N(H30)&gt;0,0.5,0),0)</f>
        <v/>
      </c>
      <c r="K30" s="5" t="n"/>
      <c r="L30" s="7">
        <f>MIN(J30,8.0)</f>
        <v/>
      </c>
      <c r="M30" s="7">
        <f>MAX(0,MIN(J30,12)-8.0)</f>
        <v/>
      </c>
      <c r="N30" s="7">
        <f>MAX(0,J30-12)</f>
        <v/>
      </c>
      <c r="O30" s="5" t="n"/>
      <c r="P30" s="6">
        <f>E30*(L30+M30*1.5+N30*2+O30*3+N(K30))</f>
        <v/>
      </c>
      <c r="Q30" s="6" t="n">
        <v>1972</v>
      </c>
      <c r="R30" s="6">
        <f>Q30-P30</f>
        <v/>
      </c>
    </row>
    <row r="31">
      <c r="A31" s="5" t="inlineStr">
        <is>
          <t>1405</t>
        </is>
      </c>
      <c r="B31" s="5" t="inlineStr">
        <is>
          <t>John Marshall Jones</t>
        </is>
      </c>
      <c r="C31" s="5" t="inlineStr">
        <is>
          <t>"MRHANKINS"</t>
        </is>
      </c>
      <c r="D31" s="5" t="inlineStr"/>
      <c r="E31" s="6" t="n">
        <v>1972</v>
      </c>
      <c r="F31" s="5" t="n"/>
      <c r="G31" s="5" t="n"/>
      <c r="H31" s="5" t="n"/>
      <c r="I31" s="5" t="n"/>
      <c r="J31" s="7">
        <f>IF(AND(N(F31)&gt;0,N(I31)&gt;0),I31-F31-IF(N(G31)&gt;0,0.5,0)-IF(N(H31)&gt;0,0.5,0),0)</f>
        <v/>
      </c>
      <c r="K31" s="5" t="n"/>
      <c r="L31" s="7">
        <f>MIN(J31,8.0)</f>
        <v/>
      </c>
      <c r="M31" s="7">
        <f>MAX(0,MIN(J31,12)-8.0)</f>
        <v/>
      </c>
      <c r="N31" s="7">
        <f>MAX(0,J31-12)</f>
        <v/>
      </c>
      <c r="O31" s="5" t="n"/>
      <c r="P31" s="6">
        <f>E31*(L31+M31*1.5+N31*2+O31*3+N(K31))</f>
        <v/>
      </c>
      <c r="Q31" s="6" t="n">
        <v>1972</v>
      </c>
      <c r="R31" s="6">
        <f>Q31-P31</f>
        <v/>
      </c>
    </row>
    <row r="32">
      <c r="A32" s="5" t="inlineStr">
        <is>
          <t>1405</t>
        </is>
      </c>
      <c r="B32" s="5" t="inlineStr">
        <is>
          <t>Madeleine Mcgraw</t>
        </is>
      </c>
      <c r="C32" s="5" t="inlineStr">
        <is>
          <t>"APRIL"(Minor)</t>
        </is>
      </c>
      <c r="D32" s="5" t="inlineStr"/>
      <c r="E32" s="6" t="n">
        <v>1249</v>
      </c>
      <c r="F32" s="5" t="n"/>
      <c r="G32" s="5" t="n"/>
      <c r="H32" s="5" t="n"/>
      <c r="I32" s="5" t="n"/>
      <c r="J32" s="7">
        <f>IF(AND(N(F32)&gt;0,N(I32)&gt;0),I32-F32-IF(N(G32)&gt;0,0.5,0)-IF(N(H32)&gt;0,0.5,0),0)</f>
        <v/>
      </c>
      <c r="K32" s="5" t="n"/>
      <c r="L32" s="7">
        <f>MIN(J32,8.0)</f>
        <v/>
      </c>
      <c r="M32" s="7">
        <f>MAX(0,MIN(J32,12)-8.0)</f>
        <v/>
      </c>
      <c r="N32" s="7">
        <f>MAX(0,J32-12)</f>
        <v/>
      </c>
      <c r="O32" s="5" t="n"/>
      <c r="P32" s="6">
        <f>E32*(L32+M32*1.5+N32*2+O32*3+N(K32))</f>
        <v/>
      </c>
      <c r="Q32" s="6" t="n">
        <v>1249</v>
      </c>
      <c r="R32" s="6">
        <f>Q32-P32</f>
        <v/>
      </c>
    </row>
    <row r="33">
      <c r="P33" s="2" t="inlineStr">
        <is>
          <t>DAYPLAYERS LABOR</t>
        </is>
      </c>
      <c r="R33" s="8">
        <f>SUM(R26:R32)</f>
        <v/>
      </c>
    </row>
    <row r="35">
      <c r="B35" s="2" t="inlineStr">
        <is>
          <t>STUNTCOORD</t>
        </is>
      </c>
    </row>
    <row r="36">
      <c r="A36" s="5" t="inlineStr">
        <is>
          <t>1406</t>
        </is>
      </c>
      <c r="B36" s="5" t="inlineStr">
        <is>
          <t>Rob King</t>
        </is>
      </c>
      <c r="C36" s="5" t="inlineStr">
        <is>
          <t>STUNTCOORDINATOR</t>
        </is>
      </c>
      <c r="D36" s="5" t="inlineStr"/>
      <c r="E36" s="6" t="n">
        <v>1173</v>
      </c>
      <c r="F36" s="5" t="n"/>
      <c r="G36" s="5" t="n"/>
      <c r="H36" s="5" t="n"/>
      <c r="I36" s="5" t="n"/>
      <c r="J36" s="7">
        <f>IF(AND(N(F36)&gt;0,N(I36)&gt;0),I36-F36-IF(N(G36)&gt;0,0.5,0)-IF(N(H36)&gt;0,0.5,0),0)</f>
        <v/>
      </c>
      <c r="K36" s="5" t="n"/>
      <c r="L36" s="7">
        <f>MIN(J36,8.0)</f>
        <v/>
      </c>
      <c r="M36" s="7">
        <f>MAX(0,MIN(J36,12)-8.0)</f>
        <v/>
      </c>
      <c r="N36" s="7">
        <f>MAX(0,J36-12)</f>
        <v/>
      </c>
      <c r="O36" s="5" t="n"/>
      <c r="P36" s="6">
        <f>E36*(L36+M36*1.5+N36*2+O36*3+N(K36))</f>
        <v/>
      </c>
      <c r="Q36" s="6" t="n">
        <v>1173</v>
      </c>
      <c r="R36" s="6">
        <f>Q36-P36</f>
        <v/>
      </c>
    </row>
    <row r="37">
      <c r="P37" s="2" t="inlineStr">
        <is>
          <t>STUNTCOORD LABOR</t>
        </is>
      </c>
      <c r="R37" s="8">
        <f>SUM(R36:R36)</f>
        <v/>
      </c>
    </row>
    <row r="39">
      <c r="B39" s="2" t="inlineStr">
        <is>
          <t>TEACHER/WELFAREWORKER</t>
        </is>
      </c>
    </row>
    <row r="40">
      <c r="A40" s="5" t="inlineStr">
        <is>
          <t>1412</t>
        </is>
      </c>
      <c r="B40" s="5" t="inlineStr"/>
      <c r="C40" s="5" t="inlineStr">
        <is>
          <t>WELFAREWORKER</t>
        </is>
      </c>
      <c r="D40" s="5" t="inlineStr">
        <is>
          <t>Local884</t>
        </is>
      </c>
      <c r="E40" s="6" t="n">
        <v>25.5</v>
      </c>
      <c r="F40" s="5" t="n"/>
      <c r="G40" s="5" t="n"/>
      <c r="H40" s="5" t="n"/>
      <c r="I40" s="5" t="n"/>
      <c r="J40" s="7">
        <f>IF(AND(N(F40)&gt;0,N(I40)&gt;0),I40-F40-IF(N(G40)&gt;0,0.5,0)-IF(N(H40)&gt;0,0.5,0),0)</f>
        <v/>
      </c>
      <c r="K40" s="5" t="n"/>
      <c r="L40" s="7">
        <f>MIN(J40,8.0)</f>
        <v/>
      </c>
      <c r="M40" s="7">
        <f>MAX(0,MIN(J40,12)-8.0)</f>
        <v/>
      </c>
      <c r="N40" s="7">
        <f>MAX(0,J40-12)</f>
        <v/>
      </c>
      <c r="O40" s="5" t="n"/>
      <c r="P40" s="6">
        <f>E40*(L40+M40*1.5+N40*2+O40*3+N(K40))</f>
        <v/>
      </c>
      <c r="Q40" s="6" t="n">
        <v>280.5</v>
      </c>
      <c r="R40" s="6">
        <f>Q40-P40</f>
        <v/>
      </c>
    </row>
    <row r="41">
      <c r="A41" s="5" t="inlineStr">
        <is>
          <t>1412</t>
        </is>
      </c>
      <c r="B41" s="5" t="inlineStr"/>
      <c r="C41" s="5" t="inlineStr">
        <is>
          <t>ADDLWELFAREWORKER</t>
        </is>
      </c>
      <c r="D41" s="5" t="inlineStr">
        <is>
          <t>Local884</t>
        </is>
      </c>
      <c r="E41" s="6" t="n">
        <v>25.5</v>
      </c>
      <c r="F41" s="5" t="n"/>
      <c r="G41" s="5" t="n"/>
      <c r="H41" s="5" t="n"/>
      <c r="I41" s="5" t="n"/>
      <c r="J41" s="7">
        <f>IF(AND(N(F41)&gt;0,N(I41)&gt;0),I41-F41-IF(N(G41)&gt;0,0.5,0)-IF(N(H41)&gt;0,0.5,0),0)</f>
        <v/>
      </c>
      <c r="K41" s="5" t="n"/>
      <c r="L41" s="7">
        <f>MIN(J41,8.0)</f>
        <v/>
      </c>
      <c r="M41" s="7">
        <f>MAX(0,MIN(J41,12)-8.0)</f>
        <v/>
      </c>
      <c r="N41" s="7">
        <f>MAX(0,J41-12)</f>
        <v/>
      </c>
      <c r="O41" s="5" t="n"/>
      <c r="P41" s="6">
        <f>E41*(L41+M41*1.5+N41*2+O41*3+N(K41))</f>
        <v/>
      </c>
      <c r="Q41" s="6" t="n">
        <v>280.5</v>
      </c>
      <c r="R41" s="6">
        <f>Q41-P41</f>
        <v/>
      </c>
    </row>
    <row r="42">
      <c r="P42" s="2" t="inlineStr">
        <is>
          <t>TEACHER/WELFAREWORKER LABOR</t>
        </is>
      </c>
      <c r="R42" s="8">
        <f>SUM(R40:R41)</f>
        <v/>
      </c>
    </row>
    <row r="44">
      <c r="B44" s="2" t="inlineStr">
        <is>
          <t>CASTINGDIRECTORS</t>
        </is>
      </c>
    </row>
    <row r="45">
      <c r="A45" s="5" t="inlineStr">
        <is>
          <t>1413</t>
        </is>
      </c>
      <c r="B45" s="5" t="inlineStr">
        <is>
          <t>Rich Delia</t>
        </is>
      </c>
      <c r="C45" s="5" t="inlineStr">
        <is>
          <t>CASTINGDIRECTOR</t>
        </is>
      </c>
      <c r="D45" s="5" t="inlineStr"/>
      <c r="E45" s="6" t="n">
        <v>600</v>
      </c>
      <c r="F45" s="5" t="n"/>
      <c r="G45" s="5" t="n"/>
      <c r="H45" s="5" t="n"/>
      <c r="I45" s="5" t="n"/>
      <c r="J45" s="7">
        <f>IF(AND(N(F45)&gt;0,N(I45)&gt;0),I45-F45-IF(N(G45)&gt;0,0.5,0)-IF(N(H45)&gt;0,0.5,0),0)</f>
        <v/>
      </c>
      <c r="K45" s="5" t="n"/>
      <c r="L45" s="7">
        <f>MIN(J45,8.0)</f>
        <v/>
      </c>
      <c r="M45" s="7">
        <f>MAX(0,MIN(J45,12)-8.0)</f>
        <v/>
      </c>
      <c r="N45" s="7">
        <f>MAX(0,J45-12)</f>
        <v/>
      </c>
      <c r="O45" s="5" t="n"/>
      <c r="P45" s="6">
        <f>E45*(L45+M45*1.5+N45*2+O45*3+N(K45))</f>
        <v/>
      </c>
      <c r="Q45" s="5" t="n"/>
      <c r="R45" s="6">
        <f>Q45-P45</f>
        <v/>
      </c>
    </row>
    <row r="46">
      <c r="P46" s="2" t="inlineStr">
        <is>
          <t>CASTINGDIRECTORS LABOR</t>
        </is>
      </c>
      <c r="R46" s="8">
        <f>SUM(R45:R45)</f>
        <v/>
      </c>
    </row>
    <row r="48">
      <c r="B48" s="2" t="inlineStr">
        <is>
          <t>CASTINGASSOCIATES/ASSISTANTS</t>
        </is>
      </c>
    </row>
    <row r="49">
      <c r="A49" s="5" t="inlineStr">
        <is>
          <t>1414</t>
        </is>
      </c>
      <c r="B49" s="5" t="inlineStr">
        <is>
          <t>Adam Richards</t>
        </is>
      </c>
      <c r="C49" s="5" t="inlineStr">
        <is>
          <t>CASTINGASSOCIATE</t>
        </is>
      </c>
      <c r="D49" s="5" t="inlineStr"/>
      <c r="E49" s="6" t="n">
        <v>200</v>
      </c>
      <c r="F49" s="5" t="n"/>
      <c r="G49" s="5" t="n"/>
      <c r="H49" s="5" t="n"/>
      <c r="I49" s="5" t="n"/>
      <c r="J49" s="7">
        <f>IF(AND(N(F49)&gt;0,N(I49)&gt;0),I49-F49-IF(N(G49)&gt;0,0.5,0)-IF(N(H49)&gt;0,0.5,0),0)</f>
        <v/>
      </c>
      <c r="K49" s="5" t="n"/>
      <c r="L49" s="7">
        <f>MIN(J49,8.0)</f>
        <v/>
      </c>
      <c r="M49" s="7">
        <f>MAX(0,MIN(J49,12)-8.0)</f>
        <v/>
      </c>
      <c r="N49" s="7">
        <f>MAX(0,J49-12)</f>
        <v/>
      </c>
      <c r="O49" s="5" t="n"/>
      <c r="P49" s="6">
        <f>E49*(L49+M49*1.5+N49*2+O49*3+N(K49))</f>
        <v/>
      </c>
      <c r="Q49" s="5" t="n"/>
      <c r="R49" s="6">
        <f>Q49-P49</f>
        <v/>
      </c>
    </row>
    <row r="50">
      <c r="P50" s="2" t="inlineStr">
        <is>
          <t>CASTINGASSOCIATES/ASSISTANTS LABOR</t>
        </is>
      </c>
      <c r="R50" s="8">
        <f>SUM(R49:R49)</f>
        <v/>
      </c>
    </row>
    <row r="52">
      <c r="B52" s="2" t="inlineStr">
        <is>
          <t>CASTDRIVERS/VEHICLES</t>
        </is>
      </c>
    </row>
    <row r="53">
      <c r="A53" s="5" t="inlineStr">
        <is>
          <t>1455</t>
        </is>
      </c>
      <c r="B53" s="5" t="inlineStr"/>
      <c r="C53" s="5" t="inlineStr">
        <is>
          <t>CAST 3-RMDRIVER</t>
        </is>
      </c>
      <c r="D53" s="5" t="inlineStr">
        <is>
          <t>Local399</t>
        </is>
      </c>
      <c r="E53" s="6" t="n">
        <v>32.36</v>
      </c>
      <c r="F53" s="5" t="n"/>
      <c r="G53" s="5" t="n"/>
      <c r="H53" s="5" t="n"/>
      <c r="I53" s="5" t="n"/>
      <c r="J53" s="7">
        <f>IF(AND(N(F53)&gt;0,N(I53)&gt;0),I53-F53-IF(N(G53)&gt;0,0.5,0)-IF(N(H53)&gt;0,0.5,0),0)</f>
        <v/>
      </c>
      <c r="K53" s="5" t="n"/>
      <c r="L53" s="7">
        <f>MIN(J53,8.0)</f>
        <v/>
      </c>
      <c r="M53" s="7">
        <f>MAX(0,MIN(J53,12)-8.0)</f>
        <v/>
      </c>
      <c r="N53" s="7">
        <f>MAX(0,J53-12)</f>
        <v/>
      </c>
      <c r="O53" s="5" t="n"/>
      <c r="P53" s="6">
        <f>E53*(L53+M53*1.5+N53*2+O53*3+N(K53))</f>
        <v/>
      </c>
      <c r="Q53" s="6" t="n">
        <v>501.58</v>
      </c>
      <c r="R53" s="6">
        <f>Q53-P53</f>
        <v/>
      </c>
    </row>
    <row r="54">
      <c r="A54" s="5" t="inlineStr">
        <is>
          <t>1455</t>
        </is>
      </c>
      <c r="B54" s="5" t="inlineStr"/>
      <c r="C54" s="5" t="inlineStr">
        <is>
          <t>CASTMINIVANDRIVER</t>
        </is>
      </c>
      <c r="D54" s="5" t="inlineStr">
        <is>
          <t>Local399</t>
        </is>
      </c>
      <c r="E54" s="6" t="n">
        <v>32.36</v>
      </c>
      <c r="F54" s="5" t="n"/>
      <c r="G54" s="5" t="n"/>
      <c r="H54" s="5" t="n"/>
      <c r="I54" s="5" t="n"/>
      <c r="J54" s="7">
        <f>IF(AND(N(F54)&gt;0,N(I54)&gt;0),I54-F54-IF(N(G54)&gt;0,0.5,0)-IF(N(H54)&gt;0,0.5,0),0)</f>
        <v/>
      </c>
      <c r="K54" s="5" t="n"/>
      <c r="L54" s="7">
        <f>MIN(J54,8.0)</f>
        <v/>
      </c>
      <c r="M54" s="7">
        <f>MAX(0,MIN(J54,12)-8.0)</f>
        <v/>
      </c>
      <c r="N54" s="7">
        <f>MAX(0,J54-12)</f>
        <v/>
      </c>
      <c r="O54" s="5" t="n"/>
      <c r="P54" s="6">
        <f>E54*(L54+M54*1.5+N54*2+O54*3+N(K54))</f>
        <v/>
      </c>
      <c r="Q54" s="6" t="n">
        <v>501.58</v>
      </c>
      <c r="R54" s="6">
        <f>Q54-P54</f>
        <v/>
      </c>
    </row>
    <row r="55">
      <c r="P55" s="2" t="inlineStr">
        <is>
          <t>CASTDRIVERS/VEHICLES LABOR</t>
        </is>
      </c>
      <c r="R55" s="8">
        <f>SUM(R53:R54)</f>
        <v/>
      </c>
    </row>
    <row r="57">
      <c r="B57" s="2" t="inlineStr">
        <is>
          <t>PRODUCTIONMANAGER</t>
        </is>
      </c>
    </row>
    <row r="58">
      <c r="A58" s="5" t="inlineStr">
        <is>
          <t>2001</t>
        </is>
      </c>
      <c r="B58" s="5" t="inlineStr">
        <is>
          <t>Carrie Morrow</t>
        </is>
      </c>
      <c r="C58" s="5" t="inlineStr">
        <is>
          <t>UPM</t>
        </is>
      </c>
      <c r="D58" s="5" t="inlineStr">
        <is>
          <t>DGA</t>
        </is>
      </c>
      <c r="E58" s="6" t="n">
        <v>1063.6</v>
      </c>
      <c r="F58" s="5" t="n"/>
      <c r="G58" s="5" t="n"/>
      <c r="H58" s="5" t="n"/>
      <c r="I58" s="5" t="n"/>
      <c r="J58" s="7">
        <f>IF(AND(N(F58)&gt;0,N(I58)&gt;0),I58-F58-IF(N(G58)&gt;0,0.5,0)-IF(N(H58)&gt;0,0.5,0),0)</f>
        <v/>
      </c>
      <c r="K58" s="5" t="n"/>
      <c r="L58" s="7">
        <f>MIN(J58,8.0)</f>
        <v/>
      </c>
      <c r="M58" s="7">
        <f>MAX(0,MIN(J58,12)-8.0)</f>
        <v/>
      </c>
      <c r="N58" s="7">
        <f>MAX(0,J58-12)</f>
        <v/>
      </c>
      <c r="O58" s="5" t="n"/>
      <c r="P58" s="6">
        <f>E58*(L58+M58*1.5+N58*2+O58*3+N(K58))</f>
        <v/>
      </c>
      <c r="Q58" s="6" t="n">
        <v>1063.6</v>
      </c>
      <c r="R58" s="6">
        <f>Q58-P58</f>
        <v/>
      </c>
    </row>
    <row r="59">
      <c r="P59" s="2" t="inlineStr">
        <is>
          <t>PRODUCTIONMANAGER LABOR</t>
        </is>
      </c>
      <c r="R59" s="8">
        <f>SUM(R58:R58)</f>
        <v/>
      </c>
    </row>
    <row r="61">
      <c r="B61" s="2" t="inlineStr">
        <is>
          <t>1STASSTDIRECTOR</t>
        </is>
      </c>
    </row>
    <row r="62">
      <c r="A62" s="5" t="inlineStr">
        <is>
          <t>2002</t>
        </is>
      </c>
      <c r="B62" s="5" t="inlineStr">
        <is>
          <t>James Moran</t>
        </is>
      </c>
      <c r="C62" s="5" t="inlineStr">
        <is>
          <t>1STASSTDIRECTOR</t>
        </is>
      </c>
      <c r="D62" s="5" t="inlineStr">
        <is>
          <t>DGA</t>
        </is>
      </c>
      <c r="E62" s="6" t="n">
        <v>985.6</v>
      </c>
      <c r="F62" s="5" t="n"/>
      <c r="G62" s="5" t="n"/>
      <c r="H62" s="5" t="n"/>
      <c r="I62" s="5" t="n"/>
      <c r="J62" s="7">
        <f>IF(AND(N(F62)&gt;0,N(I62)&gt;0),I62-F62-IF(N(G62)&gt;0,0.5,0)-IF(N(H62)&gt;0,0.5,0),0)</f>
        <v/>
      </c>
      <c r="K62" s="5" t="n"/>
      <c r="L62" s="7">
        <f>MIN(J62,8.0)</f>
        <v/>
      </c>
      <c r="M62" s="7">
        <f>MAX(0,MIN(J62,12)-8.0)</f>
        <v/>
      </c>
      <c r="N62" s="7">
        <f>MAX(0,J62-12)</f>
        <v/>
      </c>
      <c r="O62" s="5" t="n"/>
      <c r="P62" s="6">
        <f>E62*(L62+M62*1.5+N62*2+O62*3+N(K62))</f>
        <v/>
      </c>
      <c r="Q62" s="6" t="n">
        <v>985.6</v>
      </c>
      <c r="R62" s="6">
        <f>Q62-P62</f>
        <v/>
      </c>
    </row>
    <row r="63">
      <c r="P63" s="2" t="inlineStr">
        <is>
          <t>1STASSTDIRECTOR LABOR</t>
        </is>
      </c>
      <c r="R63" s="8">
        <f>SUM(R62:R62)</f>
        <v/>
      </c>
    </row>
    <row r="65">
      <c r="B65" s="2" t="inlineStr">
        <is>
          <t>2NDASSTDIRECTORS</t>
        </is>
      </c>
    </row>
    <row r="66">
      <c r="A66" s="5" t="inlineStr">
        <is>
          <t>2003</t>
        </is>
      </c>
      <c r="B66" s="5" t="inlineStr">
        <is>
          <t>Mark Newland</t>
        </is>
      </c>
      <c r="C66" s="5" t="inlineStr">
        <is>
          <t>KEY 2NDA. D.</t>
        </is>
      </c>
      <c r="D66" s="5" t="inlineStr">
        <is>
          <t>DGA</t>
        </is>
      </c>
      <c r="E66" s="6" t="n">
        <v>674.6</v>
      </c>
      <c r="F66" s="5" t="n"/>
      <c r="G66" s="5" t="n"/>
      <c r="H66" s="5" t="n"/>
      <c r="I66" s="5" t="n"/>
      <c r="J66" s="7">
        <f>IF(AND(N(F66)&gt;0,N(I66)&gt;0),I66-F66-IF(N(G66)&gt;0,0.5,0)-IF(N(H66)&gt;0,0.5,0),0)</f>
        <v/>
      </c>
      <c r="K66" s="5" t="n"/>
      <c r="L66" s="7">
        <f>MIN(J66,8.0)</f>
        <v/>
      </c>
      <c r="M66" s="7">
        <f>MAX(0,MIN(J66,12)-8.0)</f>
        <v/>
      </c>
      <c r="N66" s="7">
        <f>MAX(0,J66-12)</f>
        <v/>
      </c>
      <c r="O66" s="5" t="n"/>
      <c r="P66" s="6">
        <f>E66*(L66+M66*1.5+N66*2+O66*3+N(K66))</f>
        <v/>
      </c>
      <c r="Q66" s="6" t="n">
        <v>674.6</v>
      </c>
      <c r="R66" s="6">
        <f>Q66-P66</f>
        <v/>
      </c>
    </row>
    <row r="67">
      <c r="A67" s="5" t="inlineStr">
        <is>
          <t>2003</t>
        </is>
      </c>
      <c r="B67" s="5" t="inlineStr"/>
      <c r="C67" s="5" t="inlineStr">
        <is>
          <t>2ND 2NDA. D.</t>
        </is>
      </c>
      <c r="D67" s="5" t="inlineStr">
        <is>
          <t>DGA</t>
        </is>
      </c>
      <c r="E67" s="6" t="n">
        <v>526</v>
      </c>
      <c r="F67" s="5" t="n"/>
      <c r="G67" s="5" t="n"/>
      <c r="H67" s="5" t="n"/>
      <c r="I67" s="5" t="n"/>
      <c r="J67" s="7">
        <f>IF(AND(N(F67)&gt;0,N(I67)&gt;0),I67-F67-IF(N(G67)&gt;0,0.5,0)-IF(N(H67)&gt;0,0.5,0),0)</f>
        <v/>
      </c>
      <c r="K67" s="5" t="n"/>
      <c r="L67" s="7">
        <f>MIN(J67,8.0)</f>
        <v/>
      </c>
      <c r="M67" s="7">
        <f>MAX(0,MIN(J67,12)-8.0)</f>
        <v/>
      </c>
      <c r="N67" s="7">
        <f>MAX(0,J67-12)</f>
        <v/>
      </c>
      <c r="O67" s="5" t="n"/>
      <c r="P67" s="6">
        <f>E67*(L67+M67*1.5+N67*2+O67*3+N(K67))</f>
        <v/>
      </c>
      <c r="Q67" s="6" t="n">
        <v>526</v>
      </c>
      <c r="R67" s="6">
        <f>Q67-P67</f>
        <v/>
      </c>
    </row>
    <row r="68">
      <c r="P68" s="2" t="inlineStr">
        <is>
          <t>2NDASSTDIRECTORS LABOR</t>
        </is>
      </c>
      <c r="R68" s="8">
        <f>SUM(R66:R67)</f>
        <v/>
      </c>
    </row>
    <row r="70">
      <c r="B70" s="2" t="inlineStr">
        <is>
          <t>SCRIPTSUPERVISOR</t>
        </is>
      </c>
    </row>
    <row r="71">
      <c r="A71" s="5" t="inlineStr">
        <is>
          <t>2005</t>
        </is>
      </c>
      <c r="B71" s="5" t="inlineStr">
        <is>
          <t>Renata Amador</t>
        </is>
      </c>
      <c r="C71" s="5" t="inlineStr">
        <is>
          <t>SCRIPTSUPERVISOR</t>
        </is>
      </c>
      <c r="D71" s="5" t="inlineStr">
        <is>
          <t>Local871</t>
        </is>
      </c>
      <c r="E71" s="6" t="n">
        <v>25.5</v>
      </c>
      <c r="F71" s="5" t="n"/>
      <c r="G71" s="5" t="n"/>
      <c r="H71" s="5" t="n"/>
      <c r="I71" s="5" t="n"/>
      <c r="J71" s="7">
        <f>IF(AND(N(F71)&gt;0,N(I71)&gt;0),I71-F71-IF(N(G71)&gt;0,0.5,0)-IF(N(H71)&gt;0,0.5,0),0)</f>
        <v/>
      </c>
      <c r="K71" s="5" t="n"/>
      <c r="L71" s="7">
        <f>MIN(J71,10.0)</f>
        <v/>
      </c>
      <c r="M71" s="7">
        <f>MAX(0,MIN(J71,12)-10.0)</f>
        <v/>
      </c>
      <c r="N71" s="7">
        <f>MAX(0,J71-12)</f>
        <v/>
      </c>
      <c r="O71" s="5" t="n"/>
      <c r="P71" s="6">
        <f>E71*(L71+M71*1.5+N71*2+O71*3+N(K71))</f>
        <v/>
      </c>
      <c r="Q71" s="6" t="n">
        <v>439.87</v>
      </c>
      <c r="R71" s="6">
        <f>Q71-P71</f>
        <v/>
      </c>
    </row>
    <row r="72">
      <c r="P72" s="2" t="inlineStr">
        <is>
          <t>SCRIPTSUPERVISOR LABOR</t>
        </is>
      </c>
      <c r="R72" s="8">
        <f>SUM(R71:R71)</f>
        <v/>
      </c>
    </row>
    <row r="74">
      <c r="B74" s="2" t="inlineStr">
        <is>
          <t>LOCATIONMANAGERS</t>
        </is>
      </c>
    </row>
    <row r="75">
      <c r="A75" s="5" t="inlineStr">
        <is>
          <t>2007</t>
        </is>
      </c>
      <c r="B75" s="5" t="inlineStr">
        <is>
          <t>Stacey Brashear-Rodriquez</t>
        </is>
      </c>
      <c r="C75" s="5" t="inlineStr">
        <is>
          <t>LOCATIONMANAGER</t>
        </is>
      </c>
      <c r="D75" s="5" t="inlineStr">
        <is>
          <t>Local399</t>
        </is>
      </c>
      <c r="E75" s="6" t="n">
        <v>557.6</v>
      </c>
      <c r="F75" s="5" t="n"/>
      <c r="G75" s="5" t="n"/>
      <c r="H75" s="5" t="n"/>
      <c r="I75" s="5" t="n"/>
      <c r="J75" s="7">
        <f>IF(AND(N(F75)&gt;0,N(I75)&gt;0),I75-F75-IF(N(G75)&gt;0,0.5,0)-IF(N(H75)&gt;0,0.5,0),0)</f>
        <v/>
      </c>
      <c r="K75" s="5" t="n"/>
      <c r="L75" s="7">
        <f>MIN(J75,8.0)</f>
        <v/>
      </c>
      <c r="M75" s="7">
        <f>MAX(0,MIN(J75,12)-8.0)</f>
        <v/>
      </c>
      <c r="N75" s="7">
        <f>MAX(0,J75-12)</f>
        <v/>
      </c>
      <c r="O75" s="5" t="n"/>
      <c r="P75" s="6">
        <f>E75*(L75+M75*1.5+N75*2+O75*3+N(K75))</f>
        <v/>
      </c>
      <c r="Q75" s="6" t="n">
        <v>557.6</v>
      </c>
      <c r="R75" s="6">
        <f>Q75-P75</f>
        <v/>
      </c>
    </row>
    <row r="76">
      <c r="P76" s="2" t="inlineStr">
        <is>
          <t>LOCATIONMANAGERS LABOR</t>
        </is>
      </c>
      <c r="R76" s="8">
        <f>SUM(R75:R75)</f>
        <v/>
      </c>
    </row>
    <row r="78">
      <c r="B78" s="2" t="inlineStr">
        <is>
          <t>ASSISTANTLOCATIONMANAGERS</t>
        </is>
      </c>
    </row>
    <row r="79">
      <c r="A79" s="5" t="inlineStr">
        <is>
          <t>2008</t>
        </is>
      </c>
      <c r="B79" s="5" t="inlineStr">
        <is>
          <t>Rich Heichel</t>
        </is>
      </c>
      <c r="C79" s="5" t="inlineStr">
        <is>
          <t>KEYASSTLOCATIONMGR#1</t>
        </is>
      </c>
      <c r="D79" s="5" t="inlineStr">
        <is>
          <t>Local399</t>
        </is>
      </c>
      <c r="E79" s="6" t="n">
        <v>334.2</v>
      </c>
      <c r="F79" s="5" t="n"/>
      <c r="G79" s="5" t="n"/>
      <c r="H79" s="5" t="n"/>
      <c r="I79" s="5" t="n"/>
      <c r="J79" s="7">
        <f>IF(AND(N(F79)&gt;0,N(I79)&gt;0),I79-F79-IF(N(G79)&gt;0,0.5,0)-IF(N(H79)&gt;0,0.5,0),0)</f>
        <v/>
      </c>
      <c r="K79" s="5" t="n"/>
      <c r="L79" s="7">
        <f>MIN(J79,8.0)</f>
        <v/>
      </c>
      <c r="M79" s="7">
        <f>MAX(0,MIN(J79,12)-8.0)</f>
        <v/>
      </c>
      <c r="N79" s="7">
        <f>MAX(0,J79-12)</f>
        <v/>
      </c>
      <c r="O79" s="5" t="n"/>
      <c r="P79" s="6">
        <f>E79*(L79+M79*1.5+N79*2+O79*3+N(K79))</f>
        <v/>
      </c>
      <c r="Q79" s="6" t="n">
        <v>334.2</v>
      </c>
      <c r="R79" s="6">
        <f>Q79-P79</f>
        <v/>
      </c>
    </row>
    <row r="80">
      <c r="A80" s="5" t="inlineStr">
        <is>
          <t>2008</t>
        </is>
      </c>
      <c r="B80" s="5" t="inlineStr">
        <is>
          <t>Jason Mc Cauley</t>
        </is>
      </c>
      <c r="C80" s="5" t="inlineStr">
        <is>
          <t>LOCATIONASST</t>
        </is>
      </c>
      <c r="D80" s="5" t="inlineStr">
        <is>
          <t>Local399</t>
        </is>
      </c>
      <c r="E80" s="6" t="n">
        <v>229</v>
      </c>
      <c r="F80" s="5" t="n"/>
      <c r="G80" s="5" t="n"/>
      <c r="H80" s="5" t="n"/>
      <c r="I80" s="5" t="n"/>
      <c r="J80" s="7">
        <f>IF(AND(N(F80)&gt;0,N(I80)&gt;0),I80-F80-IF(N(G80)&gt;0,0.5,0)-IF(N(H80)&gt;0,0.5,0),0)</f>
        <v/>
      </c>
      <c r="K80" s="5" t="n"/>
      <c r="L80" s="7">
        <f>MIN(J80,8.0)</f>
        <v/>
      </c>
      <c r="M80" s="7">
        <f>MAX(0,MIN(J80,12)-8.0)</f>
        <v/>
      </c>
      <c r="N80" s="7">
        <f>MAX(0,J80-12)</f>
        <v/>
      </c>
      <c r="O80" s="5" t="n"/>
      <c r="P80" s="6">
        <f>E80*(L80+M80*1.5+N80*2+O80*3+N(K80))</f>
        <v/>
      </c>
      <c r="Q80" s="6" t="n">
        <v>229</v>
      </c>
      <c r="R80" s="6">
        <f>Q80-P80</f>
        <v/>
      </c>
    </row>
    <row r="81">
      <c r="P81" s="2" t="inlineStr">
        <is>
          <t>ASSISTANTLOCATIONMANAGERS LABOR</t>
        </is>
      </c>
      <c r="R81" s="8">
        <f>SUM(R79:R80)</f>
        <v/>
      </c>
    </row>
    <row r="83">
      <c r="B83" s="2" t="inlineStr">
        <is>
          <t>PRODUCTIONCOORDINATOR</t>
        </is>
      </c>
    </row>
    <row r="84">
      <c r="A84" s="5" t="inlineStr">
        <is>
          <t>2009</t>
        </is>
      </c>
      <c r="B84" s="5" t="inlineStr">
        <is>
          <t>Ali Griffith</t>
        </is>
      </c>
      <c r="C84" s="5" t="inlineStr">
        <is>
          <t>PRODUCTIONOFCCOORD</t>
        </is>
      </c>
      <c r="D84" s="5" t="inlineStr"/>
      <c r="E84" s="6" t="n">
        <v>360</v>
      </c>
      <c r="F84" s="5" t="n"/>
      <c r="G84" s="5" t="n"/>
      <c r="H84" s="5" t="n"/>
      <c r="I84" s="5" t="n"/>
      <c r="J84" s="7">
        <f>IF(AND(N(F84)&gt;0,N(I84)&gt;0),I84-F84-IF(N(G84)&gt;0,0.5,0)-IF(N(H84)&gt;0,0.5,0),0)</f>
        <v/>
      </c>
      <c r="K84" s="5" t="n"/>
      <c r="L84" s="7">
        <f>MIN(J84,8.0)</f>
        <v/>
      </c>
      <c r="M84" s="7">
        <f>MAX(0,MIN(J84,12)-8.0)</f>
        <v/>
      </c>
      <c r="N84" s="7">
        <f>MAX(0,J84-12)</f>
        <v/>
      </c>
      <c r="O84" s="5" t="n"/>
      <c r="P84" s="6">
        <f>E84*(L84+M84*1.5+N84*2+O84*3+N(K84))</f>
        <v/>
      </c>
      <c r="Q84" s="6" t="n">
        <v>360</v>
      </c>
      <c r="R84" s="6">
        <f>Q84-P84</f>
        <v/>
      </c>
    </row>
    <row r="85">
      <c r="P85" s="2" t="inlineStr">
        <is>
          <t>PRODUCTIONCOORDINATOR LABOR</t>
        </is>
      </c>
      <c r="R85" s="8">
        <f>SUM(R84:R84)</f>
        <v/>
      </c>
    </row>
    <row r="87">
      <c r="B87" s="2" t="inlineStr">
        <is>
          <t>ASSTPRODUCTIONCOORDINATOR</t>
        </is>
      </c>
    </row>
    <row r="88">
      <c r="A88" s="5" t="inlineStr">
        <is>
          <t>2010</t>
        </is>
      </c>
      <c r="B88" s="5" t="inlineStr">
        <is>
          <t>Holly Dellocono</t>
        </is>
      </c>
      <c r="C88" s="5" t="inlineStr">
        <is>
          <t>APOC</t>
        </is>
      </c>
      <c r="D88" s="5" t="inlineStr">
        <is>
          <t>Local871</t>
        </is>
      </c>
      <c r="E88" s="6" t="n">
        <v>20.57</v>
      </c>
      <c r="F88" s="5" t="n"/>
      <c r="G88" s="5" t="n"/>
      <c r="H88" s="5" t="n"/>
      <c r="I88" s="5" t="n"/>
      <c r="J88" s="7">
        <f>IF(AND(N(F88)&gt;0,N(I88)&gt;0),I88-F88-IF(N(G88)&gt;0,0.5,0)-IF(N(H88)&gt;0,0.5,0),0)</f>
        <v/>
      </c>
      <c r="K88" s="5" t="n"/>
      <c r="L88" s="7">
        <f>MIN(J88,10.0)</f>
        <v/>
      </c>
      <c r="M88" s="7">
        <f>MAX(0,MIN(J88,12)-10.0)</f>
        <v/>
      </c>
      <c r="N88" s="7">
        <f>MAX(0,J88-12)</f>
        <v/>
      </c>
      <c r="O88" s="5" t="n"/>
      <c r="P88" s="6">
        <f>E88*(L88+M88*1.5+N88*2+O88*3+N(K88))</f>
        <v/>
      </c>
      <c r="Q88" s="6" t="n">
        <v>287.98</v>
      </c>
      <c r="R88" s="6">
        <f>Q88-P88</f>
        <v/>
      </c>
    </row>
    <row r="89">
      <c r="P89" s="2" t="inlineStr">
        <is>
          <t>ASSTPRODUCTIONCOORDINATOR LABOR</t>
        </is>
      </c>
      <c r="R89" s="8">
        <f>SUM(R88:R88)</f>
        <v/>
      </c>
    </row>
    <row r="91">
      <c r="B91" s="2" t="inlineStr">
        <is>
          <t>OFFICESTAFFASSISTANTS</t>
        </is>
      </c>
    </row>
    <row r="92">
      <c r="A92" s="5" t="inlineStr">
        <is>
          <t>2011</t>
        </is>
      </c>
      <c r="B92" s="5" t="inlineStr">
        <is>
          <t>John Humber</t>
        </is>
      </c>
      <c r="C92" s="5" t="inlineStr">
        <is>
          <t>OFFICEPA#1</t>
        </is>
      </c>
      <c r="D92" s="5" t="inlineStr"/>
      <c r="E92" s="6" t="n">
        <v>22.5</v>
      </c>
      <c r="F92" s="5" t="n"/>
      <c r="G92" s="5" t="n"/>
      <c r="H92" s="5" t="n"/>
      <c r="I92" s="5" t="n"/>
      <c r="J92" s="7">
        <f>IF(AND(N(F92)&gt;0,N(I92)&gt;0),I92-F92-IF(N(G92)&gt;0,0.5,0)-IF(N(H92)&gt;0,0.5,0),0)</f>
        <v/>
      </c>
      <c r="K92" s="5" t="n"/>
      <c r="L92" s="7">
        <f>MIN(J92,8.0)</f>
        <v/>
      </c>
      <c r="M92" s="7">
        <f>MAX(0,MIN(J92,12)-8.0)</f>
        <v/>
      </c>
      <c r="N92" s="7">
        <f>MAX(0,J92-12)</f>
        <v/>
      </c>
      <c r="O92" s="5" t="n"/>
      <c r="P92" s="6">
        <f>E92*(L92+M92*1.5+N92*2+O92*3+N(K92))</f>
        <v/>
      </c>
      <c r="Q92" s="6" t="n">
        <v>168</v>
      </c>
      <c r="R92" s="6">
        <f>Q92-P92</f>
        <v/>
      </c>
    </row>
    <row r="93">
      <c r="A93" s="5" t="inlineStr">
        <is>
          <t>2011</t>
        </is>
      </c>
      <c r="B93" s="5" t="inlineStr">
        <is>
          <t>Sarah Semenas</t>
        </is>
      </c>
      <c r="C93" s="5" t="inlineStr">
        <is>
          <t>OFFICEPA#2</t>
        </is>
      </c>
      <c r="D93" s="5" t="inlineStr"/>
      <c r="E93" s="6" t="n">
        <v>22.5</v>
      </c>
      <c r="F93" s="5" t="n"/>
      <c r="G93" s="5" t="n"/>
      <c r="H93" s="5" t="n"/>
      <c r="I93" s="5" t="n"/>
      <c r="J93" s="7">
        <f>IF(AND(N(F93)&gt;0,N(I93)&gt;0),I93-F93-IF(N(G93)&gt;0,0.5,0)-IF(N(H93)&gt;0,0.5,0),0)</f>
        <v/>
      </c>
      <c r="K93" s="5" t="n"/>
      <c r="L93" s="7">
        <f>MIN(J93,8.0)</f>
        <v/>
      </c>
      <c r="M93" s="7">
        <f>MAX(0,MIN(J93,12)-8.0)</f>
        <v/>
      </c>
      <c r="N93" s="7">
        <f>MAX(0,J93-12)</f>
        <v/>
      </c>
      <c r="O93" s="5" t="n"/>
      <c r="P93" s="6">
        <f>E93*(L93+M93*1.5+N93*2+O93*3+N(K93))</f>
        <v/>
      </c>
      <c r="Q93" s="6" t="n">
        <v>168</v>
      </c>
      <c r="R93" s="6">
        <f>Q93-P93</f>
        <v/>
      </c>
    </row>
    <row r="94">
      <c r="P94" s="2" t="inlineStr">
        <is>
          <t>OFFICESTAFFASSISTANTS LABOR</t>
        </is>
      </c>
      <c r="R94" s="8">
        <f>SUM(R92:R93)</f>
        <v/>
      </c>
    </row>
    <row r="96">
      <c r="B96" s="2" t="inlineStr">
        <is>
          <t>SETSTAFFASSISTANTS</t>
        </is>
      </c>
    </row>
    <row r="97">
      <c r="A97" s="5" t="inlineStr">
        <is>
          <t>2012</t>
        </is>
      </c>
      <c r="B97" s="5" t="inlineStr">
        <is>
          <t>Paula Henry</t>
        </is>
      </c>
      <c r="C97" s="5" t="inlineStr">
        <is>
          <t>KEYSETPA</t>
        </is>
      </c>
      <c r="D97" s="5" t="inlineStr"/>
      <c r="E97" s="6" t="n">
        <v>12</v>
      </c>
      <c r="F97" s="5" t="n"/>
      <c r="G97" s="5" t="n"/>
      <c r="H97" s="5" t="n"/>
      <c r="I97" s="5" t="n"/>
      <c r="J97" s="7">
        <f>IF(AND(N(F97)&gt;0,N(I97)&gt;0),I97-F97-IF(N(G97)&gt;0,0.5,0)-IF(N(H97)&gt;0,0.5,0),0)</f>
        <v/>
      </c>
      <c r="K97" s="5" t="n"/>
      <c r="L97" s="7">
        <f>MIN(J97,8.0)</f>
        <v/>
      </c>
      <c r="M97" s="7">
        <f>MAX(0,MIN(J97,12)-8.0)</f>
        <v/>
      </c>
      <c r="N97" s="7">
        <f>MAX(0,J97-12)</f>
        <v/>
      </c>
      <c r="O97" s="5" t="n"/>
      <c r="P97" s="6">
        <f>E97*(L97+M97*1.5+N97*2+O97*3+N(K97))</f>
        <v/>
      </c>
      <c r="Q97" s="6" t="n">
        <v>216</v>
      </c>
      <c r="R97" s="6">
        <f>Q97-P97</f>
        <v/>
      </c>
    </row>
    <row r="98">
      <c r="A98" s="5" t="inlineStr">
        <is>
          <t>2012</t>
        </is>
      </c>
      <c r="B98" s="5" t="inlineStr"/>
      <c r="C98" s="5" t="inlineStr">
        <is>
          <t>SETPA#2</t>
        </is>
      </c>
      <c r="D98" s="5" t="inlineStr"/>
      <c r="E98" s="6" t="n">
        <v>12</v>
      </c>
      <c r="F98" s="5" t="n"/>
      <c r="G98" s="5" t="n"/>
      <c r="H98" s="5" t="n"/>
      <c r="I98" s="5" t="n"/>
      <c r="J98" s="7">
        <f>IF(AND(N(F98)&gt;0,N(I98)&gt;0),I98-F98-IF(N(G98)&gt;0,0.5,0)-IF(N(H98)&gt;0,0.5,0),0)</f>
        <v/>
      </c>
      <c r="K98" s="5" t="n"/>
      <c r="L98" s="7">
        <f>MIN(J98,8.0)</f>
        <v/>
      </c>
      <c r="M98" s="7">
        <f>MAX(0,MIN(J98,12)-8.0)</f>
        <v/>
      </c>
      <c r="N98" s="7">
        <f>MAX(0,J98-12)</f>
        <v/>
      </c>
      <c r="O98" s="5" t="n"/>
      <c r="P98" s="6">
        <f>E98*(L98+M98*1.5+N98*2+O98*3+N(K98))</f>
        <v/>
      </c>
      <c r="Q98" s="6" t="n">
        <v>216</v>
      </c>
      <c r="R98" s="6">
        <f>Q98-P98</f>
        <v/>
      </c>
    </row>
    <row r="99">
      <c r="A99" s="5" t="inlineStr">
        <is>
          <t>2012</t>
        </is>
      </c>
      <c r="B99" s="5" t="inlineStr"/>
      <c r="C99" s="5" t="inlineStr">
        <is>
          <t>SETPA#3</t>
        </is>
      </c>
      <c r="D99" s="5" t="inlineStr"/>
      <c r="E99" s="6" t="n">
        <v>12</v>
      </c>
      <c r="F99" s="5" t="n"/>
      <c r="G99" s="5" t="n"/>
      <c r="H99" s="5" t="n"/>
      <c r="I99" s="5" t="n"/>
      <c r="J99" s="7">
        <f>IF(AND(N(F99)&gt;0,N(I99)&gt;0),I99-F99-IF(N(G99)&gt;0,0.5,0)-IF(N(H99)&gt;0,0.5,0),0)</f>
        <v/>
      </c>
      <c r="K99" s="5" t="n"/>
      <c r="L99" s="7">
        <f>MIN(J99,8.0)</f>
        <v/>
      </c>
      <c r="M99" s="7">
        <f>MAX(0,MIN(J99,12)-8.0)</f>
        <v/>
      </c>
      <c r="N99" s="7">
        <f>MAX(0,J99-12)</f>
        <v/>
      </c>
      <c r="O99" s="5" t="n"/>
      <c r="P99" s="6">
        <f>E99*(L99+M99*1.5+N99*2+O99*3+N(K99))</f>
        <v/>
      </c>
      <c r="Q99" s="6" t="n">
        <v>216</v>
      </c>
      <c r="R99" s="6">
        <f>Q99-P99</f>
        <v/>
      </c>
    </row>
    <row r="100">
      <c r="A100" s="5" t="inlineStr">
        <is>
          <t>2012</t>
        </is>
      </c>
      <c r="B100" s="5" t="inlineStr"/>
      <c r="C100" s="5" t="inlineStr">
        <is>
          <t>SETPA#4</t>
        </is>
      </c>
      <c r="D100" s="5" t="inlineStr"/>
      <c r="E100" s="6" t="n">
        <v>12</v>
      </c>
      <c r="F100" s="5" t="n"/>
      <c r="G100" s="5" t="n"/>
      <c r="H100" s="5" t="n"/>
      <c r="I100" s="5" t="n"/>
      <c r="J100" s="7">
        <f>IF(AND(N(F100)&gt;0,N(I100)&gt;0),I100-F100-IF(N(G100)&gt;0,0.5,0)-IF(N(H100)&gt;0,0.5,0),0)</f>
        <v/>
      </c>
      <c r="K100" s="5" t="n"/>
      <c r="L100" s="7">
        <f>MIN(J100,8.0)</f>
        <v/>
      </c>
      <c r="M100" s="7">
        <f>MAX(0,MIN(J100,12)-8.0)</f>
        <v/>
      </c>
      <c r="N100" s="7">
        <f>MAX(0,J100-12)</f>
        <v/>
      </c>
      <c r="O100" s="5" t="n"/>
      <c r="P100" s="6">
        <f>E100*(L100+M100*1.5+N100*2+O100*3+N(K100))</f>
        <v/>
      </c>
      <c r="Q100" s="6" t="n">
        <v>216</v>
      </c>
      <c r="R100" s="6">
        <f>Q100-P100</f>
        <v/>
      </c>
    </row>
    <row r="101">
      <c r="P101" s="2" t="inlineStr">
        <is>
          <t>SETSTAFFASSISTANTS LABOR</t>
        </is>
      </c>
      <c r="R101" s="8">
        <f>SUM(R97:R100)</f>
        <v/>
      </c>
    </row>
    <row r="103">
      <c r="B103" s="2" t="inlineStr">
        <is>
          <t>PRODUCTIONACCOUNTANT</t>
        </is>
      </c>
    </row>
    <row r="104">
      <c r="A104" s="5" t="inlineStr">
        <is>
          <t>2013</t>
        </is>
      </c>
      <c r="B104" s="5" t="inlineStr">
        <is>
          <t>Joel Tokarsky</t>
        </is>
      </c>
      <c r="C104" s="5" t="inlineStr">
        <is>
          <t>PRODUCTIONACCOUNTANT</t>
        </is>
      </c>
      <c r="D104" s="5" t="inlineStr">
        <is>
          <t>Local871</t>
        </is>
      </c>
      <c r="E104" s="6" t="n">
        <v>740</v>
      </c>
      <c r="F104" s="5" t="n"/>
      <c r="G104" s="5" t="n"/>
      <c r="H104" s="5" t="n"/>
      <c r="I104" s="5" t="n"/>
      <c r="J104" s="7">
        <f>IF(AND(N(F104)&gt;0,N(I104)&gt;0),I104-F104-IF(N(G104)&gt;0,0.5,0)-IF(N(H104)&gt;0,0.5,0),0)</f>
        <v/>
      </c>
      <c r="K104" s="5" t="n"/>
      <c r="L104" s="7">
        <f>MIN(J104,10.0)</f>
        <v/>
      </c>
      <c r="M104" s="7">
        <f>MAX(0,MIN(J104,12)-10.0)</f>
        <v/>
      </c>
      <c r="N104" s="7">
        <f>MAX(0,J104-12)</f>
        <v/>
      </c>
      <c r="O104" s="5" t="n"/>
      <c r="P104" s="6">
        <f>E104*(L104+M104*1.5+N104*2+O104*3+N(K104))</f>
        <v/>
      </c>
      <c r="Q104" s="6" t="n">
        <v>740</v>
      </c>
      <c r="R104" s="6">
        <f>Q104-P104</f>
        <v/>
      </c>
    </row>
    <row r="105">
      <c r="P105" s="2" t="inlineStr">
        <is>
          <t>PRODUCTIONACCOUNTANT LABOR</t>
        </is>
      </c>
      <c r="R105" s="8">
        <f>SUM(R104:R104)</f>
        <v/>
      </c>
    </row>
    <row r="107">
      <c r="B107" s="2" t="inlineStr">
        <is>
          <t>ASSTPRODUCTIONACCOUNTANTS</t>
        </is>
      </c>
    </row>
    <row r="108">
      <c r="A108" s="5" t="inlineStr">
        <is>
          <t>2014</t>
        </is>
      </c>
      <c r="B108" s="5" t="inlineStr">
        <is>
          <t>Co-Co Aiello</t>
        </is>
      </c>
      <c r="C108" s="5" t="inlineStr">
        <is>
          <t>1STASSTACCT</t>
        </is>
      </c>
      <c r="D108" s="5" t="inlineStr">
        <is>
          <t>Local871</t>
        </is>
      </c>
      <c r="E108" s="6" t="n">
        <v>480</v>
      </c>
      <c r="F108" s="5" t="n"/>
      <c r="G108" s="5" t="n"/>
      <c r="H108" s="5" t="n"/>
      <c r="I108" s="5" t="n"/>
      <c r="J108" s="7">
        <f>IF(AND(N(F108)&gt;0,N(I108)&gt;0),I108-F108-IF(N(G108)&gt;0,0.5,0)-IF(N(H108)&gt;0,0.5,0),0)</f>
        <v/>
      </c>
      <c r="K108" s="5" t="n"/>
      <c r="L108" s="7">
        <f>MIN(J108,10.0)</f>
        <v/>
      </c>
      <c r="M108" s="7">
        <f>MAX(0,MIN(J108,12)-10.0)</f>
        <v/>
      </c>
      <c r="N108" s="7">
        <f>MAX(0,J108-12)</f>
        <v/>
      </c>
      <c r="O108" s="5" t="n"/>
      <c r="P108" s="6">
        <f>E108*(L108+M108*1.5+N108*2+O108*3+N(K108))</f>
        <v/>
      </c>
      <c r="Q108" s="6" t="n">
        <v>480</v>
      </c>
      <c r="R108" s="6">
        <f>Q108-P108</f>
        <v/>
      </c>
    </row>
    <row r="109">
      <c r="A109" s="5" t="inlineStr">
        <is>
          <t>2014</t>
        </is>
      </c>
      <c r="B109" s="5" t="inlineStr">
        <is>
          <t>Steve Goldstein</t>
        </is>
      </c>
      <c r="C109" s="5" t="inlineStr">
        <is>
          <t>PAYROLLACCT</t>
        </is>
      </c>
      <c r="D109" s="5" t="inlineStr">
        <is>
          <t>Local871</t>
        </is>
      </c>
      <c r="E109" s="6" t="n">
        <v>420</v>
      </c>
      <c r="F109" s="5" t="n"/>
      <c r="G109" s="5" t="n"/>
      <c r="H109" s="5" t="n"/>
      <c r="I109" s="5" t="n"/>
      <c r="J109" s="7">
        <f>IF(AND(N(F109)&gt;0,N(I109)&gt;0),I109-F109-IF(N(G109)&gt;0,0.5,0)-IF(N(H109)&gt;0,0.5,0),0)</f>
        <v/>
      </c>
      <c r="K109" s="5" t="n"/>
      <c r="L109" s="7">
        <f>MIN(J109,10.0)</f>
        <v/>
      </c>
      <c r="M109" s="7">
        <f>MAX(0,MIN(J109,12)-10.0)</f>
        <v/>
      </c>
      <c r="N109" s="7">
        <f>MAX(0,J109-12)</f>
        <v/>
      </c>
      <c r="O109" s="5" t="n"/>
      <c r="P109" s="6">
        <f>E109*(L109+M109*1.5+N109*2+O109*3+N(K109))</f>
        <v/>
      </c>
      <c r="Q109" s="6" t="n">
        <v>420</v>
      </c>
      <c r="R109" s="6">
        <f>Q109-P109</f>
        <v/>
      </c>
    </row>
    <row r="110">
      <c r="P110" s="2" t="inlineStr">
        <is>
          <t>ASSTPRODUCTIONACCOUNTANTS LABOR</t>
        </is>
      </c>
      <c r="R110" s="8">
        <f>SUM(R108:R109)</f>
        <v/>
      </c>
    </row>
    <row r="112">
      <c r="B112" s="2" t="inlineStr">
        <is>
          <t>CONSTRUCTIONCOORDINATOR</t>
        </is>
      </c>
    </row>
    <row r="113">
      <c r="A113" s="5" t="inlineStr">
        <is>
          <t>2302</t>
        </is>
      </c>
      <c r="B113" s="5" t="inlineStr">
        <is>
          <t>Drew Rebelin</t>
        </is>
      </c>
      <c r="C113" s="5" t="inlineStr">
        <is>
          <t>CONSTCOORDINATOR</t>
        </is>
      </c>
      <c r="D113" s="5" t="inlineStr">
        <is>
          <t>Local44</t>
        </is>
      </c>
      <c r="E113" s="6" t="n">
        <v>400</v>
      </c>
      <c r="F113" s="5" t="n"/>
      <c r="G113" s="5" t="n"/>
      <c r="H113" s="5" t="n"/>
      <c r="I113" s="5" t="n"/>
      <c r="J113" s="7">
        <f>IF(AND(N(F113)&gt;0,N(I113)&gt;0),I113-F113-IF(N(G113)&gt;0,0.5,0)-IF(N(H113)&gt;0,0.5,0),0)</f>
        <v/>
      </c>
      <c r="K113" s="5" t="n"/>
      <c r="L113" s="7">
        <f>MIN(J113,10.0)</f>
        <v/>
      </c>
      <c r="M113" s="7">
        <f>MAX(0,MIN(J113,12)-10.0)</f>
        <v/>
      </c>
      <c r="N113" s="7">
        <f>MAX(0,J113-12)</f>
        <v/>
      </c>
      <c r="O113" s="5" t="n"/>
      <c r="P113" s="6">
        <f>E113*(L113+M113*1.5+N113*2+O113*3+N(K113))</f>
        <v/>
      </c>
      <c r="Q113" s="5" t="n"/>
      <c r="R113" s="6">
        <f>Q113-P113</f>
        <v/>
      </c>
    </row>
    <row r="114">
      <c r="P114" s="2" t="inlineStr">
        <is>
          <t>CONSTRUCTIONCOORDINATOR LABOR</t>
        </is>
      </c>
      <c r="R114" s="8">
        <f>SUM(R113:R113)</f>
        <v/>
      </c>
    </row>
    <row r="116">
      <c r="B116" s="2" t="inlineStr">
        <is>
          <t>PAINTFOREMAN</t>
        </is>
      </c>
    </row>
    <row r="117">
      <c r="A117" s="5" t="inlineStr">
        <is>
          <t>2304</t>
        </is>
      </c>
      <c r="B117" s="5" t="inlineStr">
        <is>
          <t>Kristeen Reimnitz</t>
        </is>
      </c>
      <c r="C117" s="5" t="inlineStr">
        <is>
          <t>PAINTER</t>
        </is>
      </c>
      <c r="D117" s="5" t="inlineStr">
        <is>
          <t>Local729</t>
        </is>
      </c>
      <c r="E117" s="6" t="n">
        <v>23.04</v>
      </c>
      <c r="F117" s="5" t="n"/>
      <c r="G117" s="5" t="n"/>
      <c r="H117" s="5" t="n"/>
      <c r="I117" s="5" t="n"/>
      <c r="J117" s="7">
        <f>IF(AND(N(F117)&gt;0,N(I117)&gt;0),I117-F117-IF(N(G117)&gt;0,0.5,0)-IF(N(H117)&gt;0,0.5,0),0)</f>
        <v/>
      </c>
      <c r="K117" s="5" t="n"/>
      <c r="L117" s="7">
        <f>MIN(J117,10.0)</f>
        <v/>
      </c>
      <c r="M117" s="7">
        <f>MAX(0,MIN(J117,12)-10.0)</f>
        <v/>
      </c>
      <c r="N117" s="7">
        <f>MAX(0,J117-12)</f>
        <v/>
      </c>
      <c r="O117" s="5" t="n"/>
      <c r="P117" s="6">
        <f>E117*(L117+M117*1.5+N117*2+O117*3+N(K117))</f>
        <v/>
      </c>
      <c r="Q117" s="5" t="n"/>
      <c r="R117" s="6">
        <f>Q117-P117</f>
        <v/>
      </c>
    </row>
    <row r="118">
      <c r="P118" s="2" t="inlineStr">
        <is>
          <t>PAINTFOREMAN LABOR</t>
        </is>
      </c>
      <c r="R118" s="8">
        <f>SUM(R117:R117)</f>
        <v/>
      </c>
    </row>
    <row r="120">
      <c r="B120" s="2" t="inlineStr">
        <is>
          <t>FIRSTAIDLABOR</t>
        </is>
      </c>
    </row>
    <row r="121">
      <c r="A121" s="5" t="inlineStr">
        <is>
          <t>2310</t>
        </is>
      </c>
      <c r="B121" s="5" t="inlineStr"/>
      <c r="C121" s="5" t="inlineStr">
        <is>
          <t>CONSTRUCTIONMEDIC</t>
        </is>
      </c>
      <c r="D121" s="5" t="inlineStr">
        <is>
          <t>Local80</t>
        </is>
      </c>
      <c r="E121" s="6" t="n">
        <v>23.04</v>
      </c>
      <c r="F121" s="5" t="n"/>
      <c r="G121" s="5" t="n"/>
      <c r="H121" s="5" t="n"/>
      <c r="I121" s="5" t="n"/>
      <c r="J121" s="7">
        <f>IF(AND(N(F121)&gt;0,N(I121)&gt;0),I121-F121-IF(N(G121)&gt;0,0.5,0)-IF(N(H121)&gt;0,0.5,0),0)</f>
        <v/>
      </c>
      <c r="K121" s="5" t="n"/>
      <c r="L121" s="7">
        <f>MIN(J121,10.0)</f>
        <v/>
      </c>
      <c r="M121" s="7">
        <f>MAX(0,MIN(J121,12)-10.0)</f>
        <v/>
      </c>
      <c r="N121" s="7">
        <f>MAX(0,J121-12)</f>
        <v/>
      </c>
      <c r="O121" s="5" t="n"/>
      <c r="P121" s="6">
        <f>E121*(L121+M121*1.5+N121*2+O121*3+N(K121))</f>
        <v/>
      </c>
      <c r="Q121" s="5" t="n"/>
      <c r="R121" s="6">
        <f>Q121-P121</f>
        <v/>
      </c>
    </row>
    <row r="122">
      <c r="P122" s="2" t="inlineStr">
        <is>
          <t>FIRSTAIDLABOR LABOR</t>
        </is>
      </c>
      <c r="R122" s="8">
        <f>SUM(R121:R121)</f>
        <v/>
      </c>
    </row>
    <row r="124">
      <c r="B124" s="2" t="inlineStr">
        <is>
          <t>KEYGRIP</t>
        </is>
      </c>
    </row>
    <row r="125">
      <c r="A125" s="5" t="inlineStr">
        <is>
          <t>2501</t>
        </is>
      </c>
      <c r="B125" s="5" t="inlineStr">
        <is>
          <t>Pat O'Mara</t>
        </is>
      </c>
      <c r="C125" s="5" t="inlineStr">
        <is>
          <t>KEYGRIP</t>
        </is>
      </c>
      <c r="D125" s="5" t="inlineStr">
        <is>
          <t>Local80</t>
        </is>
      </c>
      <c r="E125" s="6" t="n">
        <v>25.5</v>
      </c>
      <c r="F125" s="5" t="n"/>
      <c r="G125" s="5" t="n"/>
      <c r="H125" s="5" t="n"/>
      <c r="I125" s="5" t="n"/>
      <c r="J125" s="7">
        <f>IF(AND(N(F125)&gt;0,N(I125)&gt;0),I125-F125-IF(N(G125)&gt;0,0.5,0)-IF(N(H125)&gt;0,0.5,0),0)</f>
        <v/>
      </c>
      <c r="K125" s="5" t="n"/>
      <c r="L125" s="7">
        <f>MIN(J125,10.0)</f>
        <v/>
      </c>
      <c r="M125" s="7">
        <f>MAX(0,MIN(J125,12)-10.0)</f>
        <v/>
      </c>
      <c r="N125" s="7">
        <f>MAX(0,J125-12)</f>
        <v/>
      </c>
      <c r="O125" s="5" t="n"/>
      <c r="P125" s="6">
        <f>E125*(L125+M125*1.5+N125*2+O125*3+N(K125))</f>
        <v/>
      </c>
      <c r="Q125" s="6" t="n">
        <v>395.25</v>
      </c>
      <c r="R125" s="6">
        <f>Q125-P125</f>
        <v/>
      </c>
    </row>
    <row r="126">
      <c r="P126" s="2" t="inlineStr">
        <is>
          <t>KEYGRIP LABOR</t>
        </is>
      </c>
      <c r="R126" s="8">
        <f>SUM(R125:R125)</f>
        <v/>
      </c>
    </row>
    <row r="128">
      <c r="B128" s="2" t="inlineStr">
        <is>
          <t>BESTBOYGRIP</t>
        </is>
      </c>
    </row>
    <row r="129">
      <c r="A129" s="5" t="inlineStr">
        <is>
          <t>2502</t>
        </is>
      </c>
      <c r="B129" s="5" t="inlineStr">
        <is>
          <t>Aaron Fairley</t>
        </is>
      </c>
      <c r="C129" s="5" t="inlineStr">
        <is>
          <t>BESTBOYGRIP</t>
        </is>
      </c>
      <c r="D129" s="5" t="inlineStr">
        <is>
          <t>Local80</t>
        </is>
      </c>
      <c r="E129" s="6" t="n">
        <v>23.04</v>
      </c>
      <c r="F129" s="5" t="n"/>
      <c r="G129" s="5" t="n"/>
      <c r="H129" s="5" t="n"/>
      <c r="I129" s="5" t="n"/>
      <c r="J129" s="7">
        <f>IF(AND(N(F129)&gt;0,N(I129)&gt;0),I129-F129-IF(N(G129)&gt;0,0.5,0)-IF(N(H129)&gt;0,0.5,0),0)</f>
        <v/>
      </c>
      <c r="K129" s="5" t="n"/>
      <c r="L129" s="7">
        <f>MIN(J129,10.0)</f>
        <v/>
      </c>
      <c r="M129" s="7">
        <f>MAX(0,MIN(J129,12)-10.0)</f>
        <v/>
      </c>
      <c r="N129" s="7">
        <f>MAX(0,J129-12)</f>
        <v/>
      </c>
      <c r="O129" s="5" t="n"/>
      <c r="P129" s="6">
        <f>E129*(L129+M129*1.5+N129*2+O129*3+N(K129))</f>
        <v/>
      </c>
      <c r="Q129" s="6" t="n">
        <v>357.12</v>
      </c>
      <c r="R129" s="6">
        <f>Q129-P129</f>
        <v/>
      </c>
    </row>
    <row r="130">
      <c r="A130" s="5" t="inlineStr">
        <is>
          <t>2502</t>
        </is>
      </c>
      <c r="B130" s="5" t="inlineStr"/>
      <c r="C130" s="5" t="inlineStr">
        <is>
          <t>STUDIOBESTBOYGRIP</t>
        </is>
      </c>
      <c r="D130" s="5" t="inlineStr">
        <is>
          <t>Local80</t>
        </is>
      </c>
      <c r="E130" s="6" t="n">
        <v>43.05</v>
      </c>
      <c r="F130" s="5" t="n"/>
      <c r="G130" s="5" t="n"/>
      <c r="H130" s="5" t="n"/>
      <c r="I130" s="5" t="n"/>
      <c r="J130" s="7">
        <f>IF(AND(N(F130)&gt;0,N(I130)&gt;0),I130-F130-IF(N(G130)&gt;0,0.5,0)-IF(N(H130)&gt;0,0.5,0),0)</f>
        <v/>
      </c>
      <c r="K130" s="5" t="n"/>
      <c r="L130" s="7">
        <f>MIN(J130,10.0)</f>
        <v/>
      </c>
      <c r="M130" s="7">
        <f>MAX(0,MIN(J130,12)-10.0)</f>
        <v/>
      </c>
      <c r="N130" s="7">
        <f>MAX(0,J130-12)</f>
        <v/>
      </c>
      <c r="O130" s="5" t="n"/>
      <c r="P130" s="6">
        <f>E130*(L130+M130*1.5+N130*2+O130*3+N(K130))</f>
        <v/>
      </c>
      <c r="Q130" s="6" t="n">
        <v>667.27</v>
      </c>
      <c r="R130" s="6">
        <f>Q130-P130</f>
        <v/>
      </c>
    </row>
    <row r="131">
      <c r="P131" s="2" t="inlineStr">
        <is>
          <t>BESTBOYGRIP LABOR</t>
        </is>
      </c>
      <c r="R131" s="8">
        <f>SUM(R129:R130)</f>
        <v/>
      </c>
    </row>
    <row r="133">
      <c r="B133" s="2" t="inlineStr">
        <is>
          <t>DOLLYGRIP</t>
        </is>
      </c>
    </row>
    <row r="134">
      <c r="A134" s="5" t="inlineStr">
        <is>
          <t>2503</t>
        </is>
      </c>
      <c r="B134" s="5" t="inlineStr">
        <is>
          <t>Peter Weidenfeller</t>
        </is>
      </c>
      <c r="C134" s="5" t="inlineStr">
        <is>
          <t>"A"DOLLYGRIP</t>
        </is>
      </c>
      <c r="D134" s="5" t="inlineStr">
        <is>
          <t>Local80</t>
        </is>
      </c>
      <c r="E134" s="6" t="n">
        <v>23.04</v>
      </c>
      <c r="F134" s="5" t="n"/>
      <c r="G134" s="5" t="n"/>
      <c r="H134" s="5" t="n"/>
      <c r="I134" s="5" t="n"/>
      <c r="J134" s="7">
        <f>IF(AND(N(F134)&gt;0,N(I134)&gt;0),I134-F134-IF(N(G134)&gt;0,0.5,0)-IF(N(H134)&gt;0,0.5,0),0)</f>
        <v/>
      </c>
      <c r="K134" s="5" t="n"/>
      <c r="L134" s="7">
        <f>MIN(J134,10.0)</f>
        <v/>
      </c>
      <c r="M134" s="7">
        <f>MAX(0,MIN(J134,12)-10.0)</f>
        <v/>
      </c>
      <c r="N134" s="7">
        <f>MAX(0,J134-12)</f>
        <v/>
      </c>
      <c r="O134" s="5" t="n"/>
      <c r="P134" s="6">
        <f>E134*(L134+M134*1.5+N134*2+O134*3+N(K134))</f>
        <v/>
      </c>
      <c r="Q134" s="6" t="n">
        <v>357.12</v>
      </c>
      <c r="R134" s="6">
        <f>Q134-P134</f>
        <v/>
      </c>
    </row>
    <row r="135">
      <c r="P135" s="2" t="inlineStr">
        <is>
          <t>DOLLYGRIP LABOR</t>
        </is>
      </c>
      <c r="R135" s="8">
        <f>SUM(R134:R134)</f>
        <v/>
      </c>
    </row>
    <row r="137">
      <c r="B137" s="2" t="inlineStr">
        <is>
          <t>CRANEGRIPS</t>
        </is>
      </c>
    </row>
    <row r="138">
      <c r="A138" s="5" t="inlineStr">
        <is>
          <t>2504</t>
        </is>
      </c>
      <c r="B138" s="5" t="inlineStr"/>
      <c r="C138" s="5" t="inlineStr">
        <is>
          <t>CRANEOPERATOR</t>
        </is>
      </c>
      <c r="D138" s="5" t="inlineStr">
        <is>
          <t>Local80</t>
        </is>
      </c>
      <c r="E138" s="6" t="n">
        <v>792</v>
      </c>
      <c r="F138" s="5" t="n"/>
      <c r="G138" s="5" t="n"/>
      <c r="H138" s="5" t="n"/>
      <c r="I138" s="5" t="n"/>
      <c r="J138" s="7">
        <f>IF(AND(N(F138)&gt;0,N(I138)&gt;0),I138-F138-IF(N(G138)&gt;0,0.5,0)-IF(N(H138)&gt;0,0.5,0),0)</f>
        <v/>
      </c>
      <c r="K138" s="5" t="n"/>
      <c r="L138" s="7">
        <f>MIN(J138,10.0)</f>
        <v/>
      </c>
      <c r="M138" s="7">
        <f>MAX(0,MIN(J138,12)-10.0)</f>
        <v/>
      </c>
      <c r="N138" s="7">
        <f>MAX(0,J138-12)</f>
        <v/>
      </c>
      <c r="O138" s="5" t="n"/>
      <c r="P138" s="6">
        <f>E138*(L138+M138*1.5+N138*2+O138*3+N(K138))</f>
        <v/>
      </c>
      <c r="Q138" s="6" t="n">
        <v>924</v>
      </c>
      <c r="R138" s="6">
        <f>Q138-P138</f>
        <v/>
      </c>
    </row>
    <row r="139">
      <c r="A139" s="5" t="inlineStr">
        <is>
          <t>2504</t>
        </is>
      </c>
      <c r="B139" s="5" t="inlineStr"/>
      <c r="C139" s="5" t="inlineStr">
        <is>
          <t>CRANEASSISTANT</t>
        </is>
      </c>
      <c r="D139" s="5" t="inlineStr">
        <is>
          <t>Local80</t>
        </is>
      </c>
      <c r="E139" s="6" t="n">
        <v>660</v>
      </c>
      <c r="F139" s="5" t="n"/>
      <c r="G139" s="5" t="n"/>
      <c r="H139" s="5" t="n"/>
      <c r="I139" s="5" t="n"/>
      <c r="J139" s="7">
        <f>IF(AND(N(F139)&gt;0,N(I139)&gt;0),I139-F139-IF(N(G139)&gt;0,0.5,0)-IF(N(H139)&gt;0,0.5,0),0)</f>
        <v/>
      </c>
      <c r="K139" s="5" t="n"/>
      <c r="L139" s="7">
        <f>MIN(J139,10.0)</f>
        <v/>
      </c>
      <c r="M139" s="7">
        <f>MAX(0,MIN(J139,12)-10.0)</f>
        <v/>
      </c>
      <c r="N139" s="7">
        <f>MAX(0,J139-12)</f>
        <v/>
      </c>
      <c r="O139" s="5" t="n"/>
      <c r="P139" s="6">
        <f>E139*(L139+M139*1.5+N139*2+O139*3+N(K139))</f>
        <v/>
      </c>
      <c r="Q139" s="6" t="n">
        <v>770</v>
      </c>
      <c r="R139" s="6">
        <f>Q139-P139</f>
        <v/>
      </c>
    </row>
    <row r="140">
      <c r="P140" s="2" t="inlineStr">
        <is>
          <t>CRANEGRIPS LABOR</t>
        </is>
      </c>
      <c r="R140" s="8">
        <f>SUM(R138:R139)</f>
        <v/>
      </c>
    </row>
    <row r="142">
      <c r="B142" s="2" t="inlineStr">
        <is>
          <t>COMPANYGRIPS</t>
        </is>
      </c>
    </row>
    <row r="143">
      <c r="A143" s="5" t="inlineStr">
        <is>
          <t>2505</t>
        </is>
      </c>
      <c r="B143" s="5" t="inlineStr"/>
      <c r="C143" s="5" t="inlineStr">
        <is>
          <t>GRIP#1</t>
        </is>
      </c>
      <c r="D143" s="5" t="inlineStr">
        <is>
          <t>Local80</t>
        </is>
      </c>
      <c r="E143" s="6" t="n">
        <v>20.57</v>
      </c>
      <c r="F143" s="5" t="n"/>
      <c r="G143" s="5" t="n"/>
      <c r="H143" s="5" t="n"/>
      <c r="I143" s="5" t="n"/>
      <c r="J143" s="7">
        <f>IF(AND(N(F143)&gt;0,N(I143)&gt;0),I143-F143-IF(N(G143)&gt;0,0.5,0)-IF(N(H143)&gt;0,0.5,0),0)</f>
        <v/>
      </c>
      <c r="K143" s="5" t="n"/>
      <c r="L143" s="7">
        <f>MIN(J143,10.0)</f>
        <v/>
      </c>
      <c r="M143" s="7">
        <f>MAX(0,MIN(J143,12)-10.0)</f>
        <v/>
      </c>
      <c r="N143" s="7">
        <f>MAX(0,J143-12)</f>
        <v/>
      </c>
      <c r="O143" s="5" t="n"/>
      <c r="P143" s="6">
        <f>E143*(L143+M143*1.5+N143*2+O143*3+N(K143))</f>
        <v/>
      </c>
      <c r="Q143" s="6" t="n">
        <v>318.83</v>
      </c>
      <c r="R143" s="6">
        <f>Q143-P143</f>
        <v/>
      </c>
    </row>
    <row r="144">
      <c r="A144" s="5" t="inlineStr">
        <is>
          <t>2505</t>
        </is>
      </c>
      <c r="B144" s="5" t="inlineStr"/>
      <c r="C144" s="5" t="inlineStr">
        <is>
          <t>GRIP#2</t>
        </is>
      </c>
      <c r="D144" s="5" t="inlineStr">
        <is>
          <t>Local80</t>
        </is>
      </c>
      <c r="E144" s="6" t="n">
        <v>20.57</v>
      </c>
      <c r="F144" s="5" t="n"/>
      <c r="G144" s="5" t="n"/>
      <c r="H144" s="5" t="n"/>
      <c r="I144" s="5" t="n"/>
      <c r="J144" s="7">
        <f>IF(AND(N(F144)&gt;0,N(I144)&gt;0),I144-F144-IF(N(G144)&gt;0,0.5,0)-IF(N(H144)&gt;0,0.5,0),0)</f>
        <v/>
      </c>
      <c r="K144" s="5" t="n"/>
      <c r="L144" s="7">
        <f>MIN(J144,10.0)</f>
        <v/>
      </c>
      <c r="M144" s="7">
        <f>MAX(0,MIN(J144,12)-10.0)</f>
        <v/>
      </c>
      <c r="N144" s="7">
        <f>MAX(0,J144-12)</f>
        <v/>
      </c>
      <c r="O144" s="5" t="n"/>
      <c r="P144" s="6">
        <f>E144*(L144+M144*1.5+N144*2+O144*3+N(K144))</f>
        <v/>
      </c>
      <c r="Q144" s="6" t="n">
        <v>318.83</v>
      </c>
      <c r="R144" s="6">
        <f>Q144-P144</f>
        <v/>
      </c>
    </row>
    <row r="145">
      <c r="A145" s="5" t="inlineStr">
        <is>
          <t>2505</t>
        </is>
      </c>
      <c r="B145" s="5" t="inlineStr"/>
      <c r="C145" s="5" t="inlineStr">
        <is>
          <t>GRIP#3</t>
        </is>
      </c>
      <c r="D145" s="5" t="inlineStr">
        <is>
          <t>Local80</t>
        </is>
      </c>
      <c r="E145" s="6" t="n">
        <v>20.57</v>
      </c>
      <c r="F145" s="5" t="n"/>
      <c r="G145" s="5" t="n"/>
      <c r="H145" s="5" t="n"/>
      <c r="I145" s="5" t="n"/>
      <c r="J145" s="7">
        <f>IF(AND(N(F145)&gt;0,N(I145)&gt;0),I145-F145-IF(N(G145)&gt;0,0.5,0)-IF(N(H145)&gt;0,0.5,0),0)</f>
        <v/>
      </c>
      <c r="K145" s="5" t="n"/>
      <c r="L145" s="7">
        <f>MIN(J145,10.0)</f>
        <v/>
      </c>
      <c r="M145" s="7">
        <f>MAX(0,MIN(J145,12)-10.0)</f>
        <v/>
      </c>
      <c r="N145" s="7">
        <f>MAX(0,J145-12)</f>
        <v/>
      </c>
      <c r="O145" s="5" t="n"/>
      <c r="P145" s="6">
        <f>E145*(L145+M145*1.5+N145*2+O145*3+N(K145))</f>
        <v/>
      </c>
      <c r="Q145" s="6" t="n">
        <v>318.83</v>
      </c>
      <c r="R145" s="6">
        <f>Q145-P145</f>
        <v/>
      </c>
    </row>
    <row r="146">
      <c r="P146" s="2" t="inlineStr">
        <is>
          <t>COMPANYGRIPS LABOR</t>
        </is>
      </c>
      <c r="R146" s="8">
        <f>SUM(R143:R145)</f>
        <v/>
      </c>
    </row>
    <row r="148">
      <c r="B148" s="2" t="inlineStr">
        <is>
          <t>OTHERLABOR</t>
        </is>
      </c>
    </row>
    <row r="149">
      <c r="A149" s="5" t="inlineStr">
        <is>
          <t>2506</t>
        </is>
      </c>
      <c r="B149" s="5" t="inlineStr"/>
      <c r="C149" s="5" t="inlineStr">
        <is>
          <t>GRIPMANDAYS&amp;RIGGINGMANDAYS</t>
        </is>
      </c>
      <c r="D149" s="5" t="inlineStr">
        <is>
          <t>Local80</t>
        </is>
      </c>
      <c r="E149" s="6" t="n">
        <v>20.57</v>
      </c>
      <c r="F149" s="5" t="n"/>
      <c r="G149" s="5" t="n"/>
      <c r="H149" s="5" t="n"/>
      <c r="I149" s="5" t="n"/>
      <c r="J149" s="7">
        <f>IF(AND(N(F149)&gt;0,N(I149)&gt;0),I149-F149-IF(N(G149)&gt;0,0.5,0)-IF(N(H149)&gt;0,0.5,0),0)</f>
        <v/>
      </c>
      <c r="K149" s="5" t="n"/>
      <c r="L149" s="7">
        <f>MIN(J149,10.0)</f>
        <v/>
      </c>
      <c r="M149" s="7">
        <f>MAX(0,MIN(J149,12)-10.0)</f>
        <v/>
      </c>
      <c r="N149" s="7">
        <f>MAX(0,J149-12)</f>
        <v/>
      </c>
      <c r="O149" s="5" t="n"/>
      <c r="P149" s="6">
        <f>E149*(L149+M149*1.5+N149*2+O149*3+N(K149))</f>
        <v/>
      </c>
      <c r="Q149" s="6" t="n">
        <v>318.83</v>
      </c>
      <c r="R149" s="6">
        <f>Q149-P149</f>
        <v/>
      </c>
    </row>
    <row r="150">
      <c r="P150" s="2" t="inlineStr">
        <is>
          <t>OTHERLABOR LABOR</t>
        </is>
      </c>
      <c r="R150" s="8">
        <f>SUM(R149:R149)</f>
        <v/>
      </c>
    </row>
    <row r="152">
      <c r="B152" s="2" t="inlineStr">
        <is>
          <t>STANDBYLABOR</t>
        </is>
      </c>
    </row>
    <row r="153">
      <c r="A153" s="5" t="inlineStr">
        <is>
          <t>2510</t>
        </is>
      </c>
      <c r="B153" s="5" t="inlineStr"/>
      <c r="C153" s="5" t="inlineStr">
        <is>
          <t>LAYOUTBOARD</t>
        </is>
      </c>
      <c r="D153" s="5" t="inlineStr">
        <is>
          <t>Local729</t>
        </is>
      </c>
      <c r="E153" s="6" t="n">
        <v>25.5</v>
      </c>
      <c r="F153" s="5" t="n"/>
      <c r="G153" s="5" t="n"/>
      <c r="H153" s="5" t="n"/>
      <c r="I153" s="5" t="n"/>
      <c r="J153" s="7">
        <f>IF(AND(N(F153)&gt;0,N(I153)&gt;0),I153-F153-IF(N(G153)&gt;0,0.5,0)-IF(N(H153)&gt;0,0.5,0),0)</f>
        <v/>
      </c>
      <c r="K153" s="5" t="n"/>
      <c r="L153" s="7">
        <f>MIN(J153,10.0)</f>
        <v/>
      </c>
      <c r="M153" s="7">
        <f>MAX(0,MIN(J153,12)-10.0)</f>
        <v/>
      </c>
      <c r="N153" s="7">
        <f>MAX(0,J153-12)</f>
        <v/>
      </c>
      <c r="O153" s="5" t="n"/>
      <c r="P153" s="6">
        <f>E153*(L153+M153*1.5+N153*2+O153*3+N(K153))</f>
        <v/>
      </c>
      <c r="Q153" s="6" t="n">
        <v>395.25</v>
      </c>
      <c r="R153" s="6">
        <f>Q153-P153</f>
        <v/>
      </c>
    </row>
    <row r="154">
      <c r="P154" s="2" t="inlineStr">
        <is>
          <t>STANDBYLABOR LABOR</t>
        </is>
      </c>
      <c r="R154" s="8">
        <f>SUM(R153:R153)</f>
        <v/>
      </c>
    </row>
    <row r="156">
      <c r="B156" s="2" t="inlineStr">
        <is>
          <t>SETCRAFTSERVICELABOR</t>
        </is>
      </c>
    </row>
    <row r="157">
      <c r="A157" s="5" t="inlineStr">
        <is>
          <t>2511</t>
        </is>
      </c>
      <c r="B157" s="5" t="inlineStr">
        <is>
          <t>Maurico Solis</t>
        </is>
      </c>
      <c r="C157" s="5" t="inlineStr">
        <is>
          <t>KEYCRAFTSERVICE</t>
        </is>
      </c>
      <c r="D157" s="5" t="inlineStr">
        <is>
          <t>Local80</t>
        </is>
      </c>
      <c r="E157" s="6" t="n">
        <v>25.5</v>
      </c>
      <c r="F157" s="5" t="n"/>
      <c r="G157" s="5" t="n"/>
      <c r="H157" s="5" t="n"/>
      <c r="I157" s="5" t="n"/>
      <c r="J157" s="7">
        <f>IF(AND(N(F157)&gt;0,N(I157)&gt;0),I157-F157-IF(N(G157)&gt;0,0.5,0)-IF(N(H157)&gt;0,0.5,0),0)</f>
        <v/>
      </c>
      <c r="K157" s="5" t="n"/>
      <c r="L157" s="7">
        <f>MIN(J157,10.0)</f>
        <v/>
      </c>
      <c r="M157" s="7">
        <f>MAX(0,MIN(J157,12)-10.0)</f>
        <v/>
      </c>
      <c r="N157" s="7">
        <f>MAX(0,J157-12)</f>
        <v/>
      </c>
      <c r="O157" s="5" t="n"/>
      <c r="P157" s="6">
        <f>E157*(L157+M157*1.5+N157*2+O157*3+N(K157))</f>
        <v/>
      </c>
      <c r="Q157" s="6" t="n">
        <v>439.87</v>
      </c>
      <c r="R157" s="6">
        <f>Q157-P157</f>
        <v/>
      </c>
    </row>
    <row r="158">
      <c r="A158" s="5" t="inlineStr">
        <is>
          <t>2511</t>
        </is>
      </c>
      <c r="B158" s="5" t="inlineStr"/>
      <c r="C158" s="5" t="inlineStr">
        <is>
          <t>ASSTCRAFTSERVICE</t>
        </is>
      </c>
      <c r="D158" s="5" t="inlineStr">
        <is>
          <t>Local80</t>
        </is>
      </c>
      <c r="E158" s="6" t="n">
        <v>23.04</v>
      </c>
      <c r="F158" s="5" t="n"/>
      <c r="G158" s="5" t="n"/>
      <c r="H158" s="5" t="n"/>
      <c r="I158" s="5" t="n"/>
      <c r="J158" s="7">
        <f>IF(AND(N(F158)&gt;0,N(I158)&gt;0),I158-F158-IF(N(G158)&gt;0,0.5,0)-IF(N(H158)&gt;0,0.5,0),0)</f>
        <v/>
      </c>
      <c r="K158" s="5" t="n"/>
      <c r="L158" s="7">
        <f>MIN(J158,10.0)</f>
        <v/>
      </c>
      <c r="M158" s="7">
        <f>MAX(0,MIN(J158,12)-10.0)</f>
        <v/>
      </c>
      <c r="N158" s="7">
        <f>MAX(0,J158-12)</f>
        <v/>
      </c>
      <c r="O158" s="5" t="n"/>
      <c r="P158" s="6">
        <f>E158*(L158+M158*1.5+N158*2+O158*3+N(K158))</f>
        <v/>
      </c>
      <c r="Q158" s="6" t="n">
        <v>397.43</v>
      </c>
      <c r="R158" s="6">
        <f>Q158-P158</f>
        <v/>
      </c>
    </row>
    <row r="159">
      <c r="P159" s="2" t="inlineStr">
        <is>
          <t>SETCRAFTSERVICELABOR LABOR</t>
        </is>
      </c>
      <c r="R159" s="8">
        <f>SUM(R157:R158)</f>
        <v/>
      </c>
    </row>
    <row r="161">
      <c r="B161" s="2" t="inlineStr">
        <is>
          <t>SETFIRSTAIDLABOR</t>
        </is>
      </c>
    </row>
    <row r="162">
      <c r="A162" s="5" t="inlineStr">
        <is>
          <t>2514</t>
        </is>
      </c>
      <c r="B162" s="5" t="inlineStr">
        <is>
          <t>Robert Hill</t>
        </is>
      </c>
      <c r="C162" s="5" t="inlineStr">
        <is>
          <t>SETMEDIC</t>
        </is>
      </c>
      <c r="D162" s="5" t="inlineStr">
        <is>
          <t>Local80</t>
        </is>
      </c>
      <c r="E162" s="6" t="n">
        <v>23.04</v>
      </c>
      <c r="F162" s="5" t="n"/>
      <c r="G162" s="5" t="n"/>
      <c r="H162" s="5" t="n"/>
      <c r="I162" s="5" t="n"/>
      <c r="J162" s="7">
        <f>IF(AND(N(F162)&gt;0,N(I162)&gt;0),I162-F162-IF(N(G162)&gt;0,0.5,0)-IF(N(H162)&gt;0,0.5,0),0)</f>
        <v/>
      </c>
      <c r="K162" s="5" t="n"/>
      <c r="L162" s="7">
        <f>MIN(J162,10.0)</f>
        <v/>
      </c>
      <c r="M162" s="7">
        <f>MAX(0,MIN(J162,12)-10.0)</f>
        <v/>
      </c>
      <c r="N162" s="7">
        <f>MAX(0,J162-12)</f>
        <v/>
      </c>
      <c r="O162" s="5" t="n"/>
      <c r="P162" s="6">
        <f>E162*(L162+M162*1.5+N162*2+O162*3+N(K162))</f>
        <v/>
      </c>
      <c r="Q162" s="6" t="n">
        <v>397.43</v>
      </c>
      <c r="R162" s="6">
        <f>Q162-P162</f>
        <v/>
      </c>
    </row>
    <row r="163">
      <c r="A163" s="5" t="inlineStr">
        <is>
          <t>2514</t>
        </is>
      </c>
      <c r="B163" s="5" t="inlineStr"/>
      <c r="C163" s="5" t="inlineStr">
        <is>
          <t>RIGGINGMEDICMANDAYS</t>
        </is>
      </c>
      <c r="D163" s="5" t="inlineStr">
        <is>
          <t>Local80</t>
        </is>
      </c>
      <c r="E163" s="6" t="n">
        <v>23.04</v>
      </c>
      <c r="F163" s="5" t="n"/>
      <c r="G163" s="5" t="n"/>
      <c r="H163" s="5" t="n"/>
      <c r="I163" s="5" t="n"/>
      <c r="J163" s="7">
        <f>IF(AND(N(F163)&gt;0,N(I163)&gt;0),I163-F163-IF(N(G163)&gt;0,0.5,0)-IF(N(H163)&gt;0,0.5,0),0)</f>
        <v/>
      </c>
      <c r="K163" s="5" t="n"/>
      <c r="L163" s="7">
        <f>MIN(J163,10.0)</f>
        <v/>
      </c>
      <c r="M163" s="7">
        <f>MAX(0,MIN(J163,12)-10.0)</f>
        <v/>
      </c>
      <c r="N163" s="7">
        <f>MAX(0,J163-12)</f>
        <v/>
      </c>
      <c r="O163" s="5" t="n"/>
      <c r="P163" s="6">
        <f>E163*(L163+M163*1.5+N163*2+O163*3+N(K163))</f>
        <v/>
      </c>
      <c r="Q163" s="5" t="n"/>
      <c r="R163" s="6">
        <f>Q163-P163</f>
        <v/>
      </c>
    </row>
    <row r="164">
      <c r="P164" s="2" t="inlineStr">
        <is>
          <t>SETFIRSTAIDLABOR LABOR</t>
        </is>
      </c>
      <c r="R164" s="8">
        <f>SUM(R162:R163)</f>
        <v/>
      </c>
    </row>
    <row r="166">
      <c r="B166" s="2" t="inlineStr">
        <is>
          <t>SFXCOORDINATOR</t>
        </is>
      </c>
    </row>
    <row r="167">
      <c r="A167" s="5" t="inlineStr">
        <is>
          <t>2601</t>
        </is>
      </c>
      <c r="B167" s="5" t="inlineStr">
        <is>
          <t>Zak Knight</t>
        </is>
      </c>
      <c r="C167" s="5" t="inlineStr">
        <is>
          <t>SPFXCOORDINATOR</t>
        </is>
      </c>
      <c r="D167" s="5" t="inlineStr">
        <is>
          <t>Local44</t>
        </is>
      </c>
      <c r="E167" s="6" t="n">
        <v>42</v>
      </c>
      <c r="F167" s="5" t="n"/>
      <c r="G167" s="5" t="n"/>
      <c r="H167" s="5" t="n"/>
      <c r="I167" s="5" t="n"/>
      <c r="J167" s="7">
        <f>IF(AND(N(F167)&gt;0,N(I167)&gt;0),I167-F167-IF(N(G167)&gt;0,0.5,0)-IF(N(H167)&gt;0,0.5,0),0)</f>
        <v/>
      </c>
      <c r="K167" s="5" t="n"/>
      <c r="L167" s="7">
        <f>MIN(J167,10.0)</f>
        <v/>
      </c>
      <c r="M167" s="7">
        <f>MAX(0,MIN(J167,12)-10.0)</f>
        <v/>
      </c>
      <c r="N167" s="7">
        <f>MAX(0,J167-12)</f>
        <v/>
      </c>
      <c r="O167" s="5" t="n"/>
      <c r="P167" s="6">
        <f>E167*(L167+M167*1.5+N167*2+O167*3+N(K167))</f>
        <v/>
      </c>
      <c r="Q167" s="6" t="n">
        <v>651</v>
      </c>
      <c r="R167" s="6">
        <f>Q167-P167</f>
        <v/>
      </c>
    </row>
    <row r="168">
      <c r="P168" s="2" t="inlineStr">
        <is>
          <t>SFXCOORDINATOR LABOR</t>
        </is>
      </c>
      <c r="R168" s="8">
        <f>SUM(R167:R167)</f>
        <v/>
      </c>
    </row>
    <row r="170">
      <c r="B170" s="2" t="inlineStr">
        <is>
          <t>SFXTECHMANDAYS</t>
        </is>
      </c>
    </row>
    <row r="171">
      <c r="A171" s="5" t="inlineStr">
        <is>
          <t>2609</t>
        </is>
      </c>
      <c r="B171" s="5" t="inlineStr"/>
      <c r="C171" s="5" t="inlineStr">
        <is>
          <t>SPFXTECHMANDAYS</t>
        </is>
      </c>
      <c r="D171" s="5" t="inlineStr">
        <is>
          <t>Local44</t>
        </is>
      </c>
      <c r="E171" s="6" t="n">
        <v>40</v>
      </c>
      <c r="F171" s="5" t="n"/>
      <c r="G171" s="5" t="n"/>
      <c r="H171" s="5" t="n"/>
      <c r="I171" s="5" t="n"/>
      <c r="J171" s="7">
        <f>IF(AND(N(F171)&gt;0,N(I171)&gt;0),I171-F171-IF(N(G171)&gt;0,0.5,0)-IF(N(H171)&gt;0,0.5,0),0)</f>
        <v/>
      </c>
      <c r="K171" s="5" t="n"/>
      <c r="L171" s="7">
        <f>MIN(J171,10.0)</f>
        <v/>
      </c>
      <c r="M171" s="7">
        <f>MAX(0,MIN(J171,12)-10.0)</f>
        <v/>
      </c>
      <c r="N171" s="7">
        <f>MAX(0,J171-12)</f>
        <v/>
      </c>
      <c r="O171" s="5" t="n"/>
      <c r="P171" s="6">
        <f>E171*(L171+M171*1.5+N171*2+O171*3+N(K171))</f>
        <v/>
      </c>
      <c r="Q171" s="6" t="n">
        <v>620</v>
      </c>
      <c r="R171" s="6">
        <f>Q171-P171</f>
        <v/>
      </c>
    </row>
    <row r="172">
      <c r="A172" s="5" t="inlineStr">
        <is>
          <t>2609</t>
        </is>
      </c>
      <c r="B172" s="5" t="inlineStr"/>
      <c r="C172" s="5" t="inlineStr">
        <is>
          <t>SPFXASSISTANTMANDAYS</t>
        </is>
      </c>
      <c r="D172" s="5" t="inlineStr">
        <is>
          <t>Local44</t>
        </is>
      </c>
      <c r="E172" s="6" t="n">
        <v>25.5</v>
      </c>
      <c r="F172" s="5" t="n"/>
      <c r="G172" s="5" t="n"/>
      <c r="H172" s="5" t="n"/>
      <c r="I172" s="5" t="n"/>
      <c r="J172" s="7">
        <f>IF(AND(N(F172)&gt;0,N(I172)&gt;0),I172-F172-IF(N(G172)&gt;0,0.5,0)-IF(N(H172)&gt;0,0.5,0),0)</f>
        <v/>
      </c>
      <c r="K172" s="5" t="n"/>
      <c r="L172" s="7">
        <f>MIN(J172,10.0)</f>
        <v/>
      </c>
      <c r="M172" s="7">
        <f>MAX(0,MIN(J172,12)-10.0)</f>
        <v/>
      </c>
      <c r="N172" s="7">
        <f>MAX(0,J172-12)</f>
        <v/>
      </c>
      <c r="O172" s="5" t="n"/>
      <c r="P172" s="6">
        <f>E172*(L172+M172*1.5+N172*2+O172*3+N(K172))</f>
        <v/>
      </c>
      <c r="Q172" s="6" t="n">
        <v>395.25</v>
      </c>
      <c r="R172" s="6">
        <f>Q172-P172</f>
        <v/>
      </c>
    </row>
    <row r="173">
      <c r="A173" s="5" t="inlineStr">
        <is>
          <t>2609</t>
        </is>
      </c>
      <c r="B173" s="5" t="inlineStr"/>
      <c r="C173" s="5" t="inlineStr">
        <is>
          <t>PYROMANDAYS</t>
        </is>
      </c>
      <c r="D173" s="5" t="inlineStr">
        <is>
          <t>Local44</t>
        </is>
      </c>
      <c r="E173" s="6" t="n">
        <v>68.18000000000001</v>
      </c>
      <c r="F173" s="5" t="n"/>
      <c r="G173" s="5" t="n"/>
      <c r="H173" s="5" t="n"/>
      <c r="I173" s="5" t="n"/>
      <c r="J173" s="7">
        <f>IF(AND(N(F173)&gt;0,N(I173)&gt;0),I173-F173-IF(N(G173)&gt;0,0.5,0)-IF(N(H173)&gt;0,0.5,0),0)</f>
        <v/>
      </c>
      <c r="K173" s="5" t="n"/>
      <c r="L173" s="7">
        <f>MIN(J173,10.0)</f>
        <v/>
      </c>
      <c r="M173" s="7">
        <f>MAX(0,MIN(J173,12)-10.0)</f>
        <v/>
      </c>
      <c r="N173" s="7">
        <f>MAX(0,J173-12)</f>
        <v/>
      </c>
      <c r="O173" s="5" t="n"/>
      <c r="P173" s="6">
        <f>E173*(L173+M173*1.5+N173*2+O173*3+N(K173))</f>
        <v/>
      </c>
      <c r="Q173" s="6" t="n">
        <v>749.98</v>
      </c>
      <c r="R173" s="6">
        <f>Q173-P173</f>
        <v/>
      </c>
    </row>
    <row r="174">
      <c r="P174" s="2" t="inlineStr">
        <is>
          <t>SFXTECHMANDAYS LABOR</t>
        </is>
      </c>
      <c r="R174" s="8">
        <f>SUM(R171:R173)</f>
        <v/>
      </c>
    </row>
    <row r="176">
      <c r="B176" s="2" t="inlineStr">
        <is>
          <t>SETDECORATOR</t>
        </is>
      </c>
    </row>
    <row r="177">
      <c r="A177" s="5" t="inlineStr">
        <is>
          <t>2701</t>
        </is>
      </c>
      <c r="B177" s="5" t="inlineStr">
        <is>
          <t>Sandy Skora</t>
        </is>
      </c>
      <c r="C177" s="5" t="inlineStr">
        <is>
          <t>SETDECORATOR</t>
        </is>
      </c>
      <c r="D177" s="5" t="inlineStr">
        <is>
          <t>Local44</t>
        </is>
      </c>
      <c r="E177" s="6" t="n">
        <v>400</v>
      </c>
      <c r="F177" s="5" t="n"/>
      <c r="G177" s="5" t="n"/>
      <c r="H177" s="5" t="n"/>
      <c r="I177" s="5" t="n"/>
      <c r="J177" s="7">
        <f>IF(AND(N(F177)&gt;0,N(I177)&gt;0),I177-F177-IF(N(G177)&gt;0,0.5,0)-IF(N(H177)&gt;0,0.5,0),0)</f>
        <v/>
      </c>
      <c r="K177" s="5" t="n"/>
      <c r="L177" s="7">
        <f>MIN(J177,10.0)</f>
        <v/>
      </c>
      <c r="M177" s="7">
        <f>MAX(0,MIN(J177,12)-10.0)</f>
        <v/>
      </c>
      <c r="N177" s="7">
        <f>MAX(0,J177-12)</f>
        <v/>
      </c>
      <c r="O177" s="5" t="n"/>
      <c r="P177" s="6">
        <f>E177*(L177+M177*1.5+N177*2+O177*3+N(K177))</f>
        <v/>
      </c>
      <c r="Q177" s="6" t="n">
        <v>400</v>
      </c>
      <c r="R177" s="6">
        <f>Q177-P177</f>
        <v/>
      </c>
    </row>
    <row r="178">
      <c r="P178" s="2" t="inlineStr">
        <is>
          <t>SETDECORATOR LABOR</t>
        </is>
      </c>
      <c r="R178" s="8">
        <f>SUM(R177:R177)</f>
        <v/>
      </c>
    </row>
    <row r="180">
      <c r="B180" s="2" t="inlineStr">
        <is>
          <t>LEADPERSON</t>
        </is>
      </c>
    </row>
    <row r="181">
      <c r="A181" s="5" t="inlineStr">
        <is>
          <t>2702</t>
        </is>
      </c>
      <c r="B181" s="5" t="inlineStr">
        <is>
          <t>Josh Richmond</t>
        </is>
      </c>
      <c r="C181" s="5" t="inlineStr">
        <is>
          <t>LEADPERSON</t>
        </is>
      </c>
      <c r="D181" s="5" t="inlineStr">
        <is>
          <t>Local44</t>
        </is>
      </c>
      <c r="E181" s="6" t="n">
        <v>23.04</v>
      </c>
      <c r="F181" s="5" t="n"/>
      <c r="G181" s="5" t="n"/>
      <c r="H181" s="5" t="n"/>
      <c r="I181" s="5" t="n"/>
      <c r="J181" s="7">
        <f>IF(AND(N(F181)&gt;0,N(I181)&gt;0),I181-F181-IF(N(G181)&gt;0,0.5,0)-IF(N(H181)&gt;0,0.5,0),0)</f>
        <v/>
      </c>
      <c r="K181" s="5" t="n"/>
      <c r="L181" s="7">
        <f>MIN(J181,10.0)</f>
        <v/>
      </c>
      <c r="M181" s="7">
        <f>MAX(0,MIN(J181,12)-10.0)</f>
        <v/>
      </c>
      <c r="N181" s="7">
        <f>MAX(0,J181-12)</f>
        <v/>
      </c>
      <c r="O181" s="5" t="n"/>
      <c r="P181" s="6">
        <f>E181*(L181+M181*1.5+N181*2+O181*3+N(K181))</f>
        <v/>
      </c>
      <c r="Q181" s="6" t="n">
        <v>322.56</v>
      </c>
      <c r="R181" s="6">
        <f>Q181-P181</f>
        <v/>
      </c>
    </row>
    <row r="182">
      <c r="P182" s="2" t="inlineStr">
        <is>
          <t>LEADPERSON LABOR</t>
        </is>
      </c>
      <c r="R182" s="8">
        <f>SUM(R181:R181)</f>
        <v/>
      </c>
    </row>
    <row r="184">
      <c r="B184" s="2" t="inlineStr">
        <is>
          <t>SWINGLABOR</t>
        </is>
      </c>
    </row>
    <row r="185">
      <c r="A185" s="5" t="inlineStr">
        <is>
          <t>2703</t>
        </is>
      </c>
      <c r="B185" s="5" t="inlineStr">
        <is>
          <t>Tim Dodge</t>
        </is>
      </c>
      <c r="C185" s="5" t="inlineStr">
        <is>
          <t>SWING#1</t>
        </is>
      </c>
      <c r="D185" s="5" t="inlineStr">
        <is>
          <t>Local44</t>
        </is>
      </c>
      <c r="E185" s="6" t="n">
        <v>20.57</v>
      </c>
      <c r="F185" s="5" t="n"/>
      <c r="G185" s="5" t="n"/>
      <c r="H185" s="5" t="n"/>
      <c r="I185" s="5" t="n"/>
      <c r="J185" s="7">
        <f>IF(AND(N(F185)&gt;0,N(I185)&gt;0),I185-F185-IF(N(G185)&gt;0,0.5,0)-IF(N(H185)&gt;0,0.5,0),0)</f>
        <v/>
      </c>
      <c r="K185" s="5" t="n"/>
      <c r="L185" s="7">
        <f>MIN(J185,10.0)</f>
        <v/>
      </c>
      <c r="M185" s="7">
        <f>MAX(0,MIN(J185,12)-10.0)</f>
        <v/>
      </c>
      <c r="N185" s="7">
        <f>MAX(0,J185-12)</f>
        <v/>
      </c>
      <c r="O185" s="5" t="n"/>
      <c r="P185" s="6">
        <f>E185*(L185+M185*1.5+N185*2+O185*3+N(K185))</f>
        <v/>
      </c>
      <c r="Q185" s="6" t="n">
        <v>287.98</v>
      </c>
      <c r="R185" s="6">
        <f>Q185-P185</f>
        <v/>
      </c>
    </row>
    <row r="186">
      <c r="A186" s="5" t="inlineStr">
        <is>
          <t>2703</t>
        </is>
      </c>
      <c r="B186" s="5" t="inlineStr"/>
      <c r="C186" s="5" t="inlineStr">
        <is>
          <t>SWING#2</t>
        </is>
      </c>
      <c r="D186" s="5" t="inlineStr">
        <is>
          <t>Local44</t>
        </is>
      </c>
      <c r="E186" s="6" t="n">
        <v>20.57</v>
      </c>
      <c r="F186" s="5" t="n"/>
      <c r="G186" s="5" t="n"/>
      <c r="H186" s="5" t="n"/>
      <c r="I186" s="5" t="n"/>
      <c r="J186" s="7">
        <f>IF(AND(N(F186)&gt;0,N(I186)&gt;0),I186-F186-IF(N(G186)&gt;0,0.5,0)-IF(N(H186)&gt;0,0.5,0),0)</f>
        <v/>
      </c>
      <c r="K186" s="5" t="n"/>
      <c r="L186" s="7">
        <f>MIN(J186,10.0)</f>
        <v/>
      </c>
      <c r="M186" s="7">
        <f>MAX(0,MIN(J186,12)-10.0)</f>
        <v/>
      </c>
      <c r="N186" s="7">
        <f>MAX(0,J186-12)</f>
        <v/>
      </c>
      <c r="O186" s="5" t="n"/>
      <c r="P186" s="6">
        <f>E186*(L186+M186*1.5+N186*2+O186*3+N(K186))</f>
        <v/>
      </c>
      <c r="Q186" s="6" t="n">
        <v>287.98</v>
      </c>
      <c r="R186" s="6">
        <f>Q186-P186</f>
        <v/>
      </c>
    </row>
    <row r="187">
      <c r="A187" s="5" t="inlineStr">
        <is>
          <t>2703</t>
        </is>
      </c>
      <c r="B187" s="5" t="inlineStr"/>
      <c r="C187" s="5" t="inlineStr">
        <is>
          <t>ADDITIONALSWINGMANDAYS</t>
        </is>
      </c>
      <c r="D187" s="5" t="inlineStr">
        <is>
          <t>Local44</t>
        </is>
      </c>
      <c r="E187" s="6" t="n">
        <v>20.57</v>
      </c>
      <c r="F187" s="5" t="n"/>
      <c r="G187" s="5" t="n"/>
      <c r="H187" s="5" t="n"/>
      <c r="I187" s="5" t="n"/>
      <c r="J187" s="7">
        <f>IF(AND(N(F187)&gt;0,N(I187)&gt;0),I187-F187-IF(N(G187)&gt;0,0.5,0)-IF(N(H187)&gt;0,0.5,0),0)</f>
        <v/>
      </c>
      <c r="K187" s="5" t="n"/>
      <c r="L187" s="7">
        <f>MIN(J187,10.0)</f>
        <v/>
      </c>
      <c r="M187" s="7">
        <f>MAX(0,MIN(J187,12)-10.0)</f>
        <v/>
      </c>
      <c r="N187" s="7">
        <f>MAX(0,J187-12)</f>
        <v/>
      </c>
      <c r="O187" s="5" t="n"/>
      <c r="P187" s="6">
        <f>E187*(L187+M187*1.5+N187*2+O187*3+N(K187))</f>
        <v/>
      </c>
      <c r="Q187" s="6" t="n">
        <v>287.98</v>
      </c>
      <c r="R187" s="6">
        <f>Q187-P187</f>
        <v/>
      </c>
    </row>
    <row r="188">
      <c r="P188" s="2" t="inlineStr">
        <is>
          <t>SWINGLABOR LABOR</t>
        </is>
      </c>
      <c r="R188" s="8">
        <f>SUM(R185:R187)</f>
        <v/>
      </c>
    </row>
    <row r="190">
      <c r="B190" s="2" t="inlineStr">
        <is>
          <t>ON-SETDRESSER</t>
        </is>
      </c>
    </row>
    <row r="191">
      <c r="A191" s="5" t="inlineStr">
        <is>
          <t>2705</t>
        </is>
      </c>
      <c r="B191" s="5" t="inlineStr">
        <is>
          <t>Khamisi Thurman</t>
        </is>
      </c>
      <c r="C191" s="5" t="inlineStr">
        <is>
          <t>ON-SETDRESSER</t>
        </is>
      </c>
      <c r="D191" s="5" t="inlineStr">
        <is>
          <t>Local44</t>
        </is>
      </c>
      <c r="E191" s="6" t="n">
        <v>20.57</v>
      </c>
      <c r="F191" s="5" t="n"/>
      <c r="G191" s="5" t="n"/>
      <c r="H191" s="5" t="n"/>
      <c r="I191" s="5" t="n"/>
      <c r="J191" s="7">
        <f>IF(AND(N(F191)&gt;0,N(I191)&gt;0),I191-F191-IF(N(G191)&gt;0,0.5,0)-IF(N(H191)&gt;0,0.5,0),0)</f>
        <v/>
      </c>
      <c r="K191" s="5" t="n"/>
      <c r="L191" s="7">
        <f>MIN(J191,10.0)</f>
        <v/>
      </c>
      <c r="M191" s="7">
        <f>MAX(0,MIN(J191,12)-10.0)</f>
        <v/>
      </c>
      <c r="N191" s="7">
        <f>MAX(0,J191-12)</f>
        <v/>
      </c>
      <c r="O191" s="5" t="n"/>
      <c r="P191" s="6">
        <f>E191*(L191+M191*1.5+N191*2+O191*3+N(K191))</f>
        <v/>
      </c>
      <c r="Q191" s="6" t="n">
        <v>318.83</v>
      </c>
      <c r="R191" s="6">
        <f>Q191-P191</f>
        <v/>
      </c>
    </row>
    <row r="192">
      <c r="P192" s="2" t="inlineStr">
        <is>
          <t>ON-SETDRESSER LABOR</t>
        </is>
      </c>
      <c r="R192" s="8">
        <f>SUM(R191:R191)</f>
        <v/>
      </c>
    </row>
    <row r="194">
      <c r="B194" s="2" t="inlineStr">
        <is>
          <t>BUYERS</t>
        </is>
      </c>
    </row>
    <row r="195">
      <c r="A195" s="5" t="inlineStr">
        <is>
          <t>2706</t>
        </is>
      </c>
      <c r="B195" s="5" t="inlineStr">
        <is>
          <t>Sarah Hickman</t>
        </is>
      </c>
      <c r="C195" s="5" t="inlineStr">
        <is>
          <t>BUYER</t>
        </is>
      </c>
      <c r="D195" s="5" t="inlineStr">
        <is>
          <t>Local44</t>
        </is>
      </c>
      <c r="E195" s="6" t="n">
        <v>23.04</v>
      </c>
      <c r="F195" s="5" t="n"/>
      <c r="G195" s="5" t="n"/>
      <c r="H195" s="5" t="n"/>
      <c r="I195" s="5" t="n"/>
      <c r="J195" s="7">
        <f>IF(AND(N(F195)&gt;0,N(I195)&gt;0),I195-F195-IF(N(G195)&gt;0,0.5,0)-IF(N(H195)&gt;0,0.5,0),0)</f>
        <v/>
      </c>
      <c r="K195" s="5" t="n"/>
      <c r="L195" s="7">
        <f>MIN(J195,10.0)</f>
        <v/>
      </c>
      <c r="M195" s="7">
        <f>MAX(0,MIN(J195,12)-10.0)</f>
        <v/>
      </c>
      <c r="N195" s="7">
        <f>MAX(0,J195-12)</f>
        <v/>
      </c>
      <c r="O195" s="5" t="n"/>
      <c r="P195" s="6">
        <f>E195*(L195+M195*1.5+N195*2+O195*3+N(K195))</f>
        <v/>
      </c>
      <c r="Q195" s="5" t="n"/>
      <c r="R195" s="6">
        <f>Q195-P195</f>
        <v/>
      </c>
    </row>
    <row r="196">
      <c r="P196" s="2" t="inlineStr">
        <is>
          <t>BUYERS LABOR</t>
        </is>
      </c>
      <c r="R196" s="8">
        <f>SUM(R195:R195)</f>
        <v/>
      </c>
    </row>
    <row r="198">
      <c r="B198" s="2" t="inlineStr">
        <is>
          <t>PROPMASTER</t>
        </is>
      </c>
    </row>
    <row r="199">
      <c r="A199" s="5" t="inlineStr">
        <is>
          <t>2801</t>
        </is>
      </c>
      <c r="B199" s="5" t="inlineStr">
        <is>
          <t>Annie Brandt</t>
        </is>
      </c>
      <c r="C199" s="5" t="inlineStr">
        <is>
          <t>PROPMASTER</t>
        </is>
      </c>
      <c r="D199" s="5" t="inlineStr">
        <is>
          <t>Local44</t>
        </is>
      </c>
      <c r="E199" s="6" t="n">
        <v>25.5</v>
      </c>
      <c r="F199" s="5" t="n"/>
      <c r="G199" s="5" t="n"/>
      <c r="H199" s="5" t="n"/>
      <c r="I199" s="5" t="n"/>
      <c r="J199" s="7">
        <f>IF(AND(N(F199)&gt;0,N(I199)&gt;0),I199-F199-IF(N(G199)&gt;0,0.5,0)-IF(N(H199)&gt;0,0.5,0),0)</f>
        <v/>
      </c>
      <c r="K199" s="5" t="n"/>
      <c r="L199" s="7">
        <f>MIN(J199,10.0)</f>
        <v/>
      </c>
      <c r="M199" s="7">
        <f>MAX(0,MIN(J199,12)-10.0)</f>
        <v/>
      </c>
      <c r="N199" s="7">
        <f>MAX(0,J199-12)</f>
        <v/>
      </c>
      <c r="O199" s="5" t="n"/>
      <c r="P199" s="6">
        <f>E199*(L199+M199*1.5+N199*2+O199*3+N(K199))</f>
        <v/>
      </c>
      <c r="Q199" s="6" t="n">
        <v>395.25</v>
      </c>
      <c r="R199" s="6">
        <f>Q199-P199</f>
        <v/>
      </c>
    </row>
    <row r="200">
      <c r="P200" s="2" t="inlineStr">
        <is>
          <t>PROPMASTER LABOR</t>
        </is>
      </c>
      <c r="R200" s="8">
        <f>SUM(R199:R199)</f>
        <v/>
      </c>
    </row>
    <row r="202">
      <c r="B202" s="2" t="inlineStr">
        <is>
          <t>ASSTPROPMASTER</t>
        </is>
      </c>
    </row>
    <row r="203">
      <c r="A203" s="5" t="inlineStr">
        <is>
          <t>2802</t>
        </is>
      </c>
      <c r="B203" s="5" t="inlineStr">
        <is>
          <t>Nate Bakes</t>
        </is>
      </c>
      <c r="C203" s="5" t="inlineStr">
        <is>
          <t>ASSTPROPMASTER</t>
        </is>
      </c>
      <c r="D203" s="5" t="inlineStr">
        <is>
          <t>Local44</t>
        </is>
      </c>
      <c r="E203" s="6" t="n">
        <v>23.04</v>
      </c>
      <c r="F203" s="5" t="n"/>
      <c r="G203" s="5" t="n"/>
      <c r="H203" s="5" t="n"/>
      <c r="I203" s="5" t="n"/>
      <c r="J203" s="7">
        <f>IF(AND(N(F203)&gt;0,N(I203)&gt;0),I203-F203-IF(N(G203)&gt;0,0.5,0)-IF(N(H203)&gt;0,0.5,0),0)</f>
        <v/>
      </c>
      <c r="K203" s="5" t="n"/>
      <c r="L203" s="7">
        <f>MIN(J203,10.0)</f>
        <v/>
      </c>
      <c r="M203" s="7">
        <f>MAX(0,MIN(J203,12)-10.0)</f>
        <v/>
      </c>
      <c r="N203" s="7">
        <f>MAX(0,J203-12)</f>
        <v/>
      </c>
      <c r="O203" s="5" t="n"/>
      <c r="P203" s="6">
        <f>E203*(L203+M203*1.5+N203*2+O203*3+N(K203))</f>
        <v/>
      </c>
      <c r="Q203" s="6" t="n">
        <v>357.12</v>
      </c>
      <c r="R203" s="6">
        <f>Q203-P203</f>
        <v/>
      </c>
    </row>
    <row r="204">
      <c r="P204" s="2" t="inlineStr">
        <is>
          <t>ASSTPROPMASTER LABOR</t>
        </is>
      </c>
      <c r="R204" s="8">
        <f>SUM(R203:R203)</f>
        <v/>
      </c>
    </row>
    <row r="206">
      <c r="B206" s="2" t="inlineStr">
        <is>
          <t>COSTUMEDESIGNER</t>
        </is>
      </c>
    </row>
    <row r="207">
      <c r="A207" s="5" t="inlineStr">
        <is>
          <t>2901</t>
        </is>
      </c>
      <c r="B207" s="5" t="inlineStr">
        <is>
          <t>Megan Spatz</t>
        </is>
      </c>
      <c r="C207" s="5" t="inlineStr">
        <is>
          <t>COSTUMEDESIGNER</t>
        </is>
      </c>
      <c r="D207" s="5" t="inlineStr">
        <is>
          <t>Local892</t>
        </is>
      </c>
      <c r="E207" s="6" t="n">
        <v>540</v>
      </c>
      <c r="F207" s="5" t="n"/>
      <c r="G207" s="5" t="n"/>
      <c r="H207" s="5" t="n"/>
      <c r="I207" s="5" t="n"/>
      <c r="J207" s="7">
        <f>IF(AND(N(F207)&gt;0,N(I207)&gt;0),I207-F207-IF(N(G207)&gt;0,0.5,0)-IF(N(H207)&gt;0,0.5,0),0)</f>
        <v/>
      </c>
      <c r="K207" s="5" t="n"/>
      <c r="L207" s="7">
        <f>MIN(J207,8.0)</f>
        <v/>
      </c>
      <c r="M207" s="7">
        <f>MAX(0,MIN(J207,12)-8.0)</f>
        <v/>
      </c>
      <c r="N207" s="7">
        <f>MAX(0,J207-12)</f>
        <v/>
      </c>
      <c r="O207" s="5" t="n"/>
      <c r="P207" s="6">
        <f>E207*(L207+M207*1.5+N207*2+O207*3+N(K207))</f>
        <v/>
      </c>
      <c r="Q207" s="6" t="n">
        <v>540</v>
      </c>
      <c r="R207" s="6">
        <f>Q207-P207</f>
        <v/>
      </c>
    </row>
    <row r="208">
      <c r="P208" s="2" t="inlineStr">
        <is>
          <t>COSTUMEDESIGNER LABOR</t>
        </is>
      </c>
      <c r="R208" s="8">
        <f>SUM(R207:R207)</f>
        <v/>
      </c>
    </row>
    <row r="210">
      <c r="B210" s="2" t="inlineStr">
        <is>
          <t>COSTUMESUPERVISOR</t>
        </is>
      </c>
    </row>
    <row r="211">
      <c r="A211" s="5" t="inlineStr">
        <is>
          <t>2903</t>
        </is>
      </c>
      <c r="B211" s="5" t="inlineStr">
        <is>
          <t>Danielle Schuck</t>
        </is>
      </c>
      <c r="C211" s="5" t="inlineStr">
        <is>
          <t>COSTUMESUPERVISOR</t>
        </is>
      </c>
      <c r="D211" s="5" t="inlineStr">
        <is>
          <t>Local705</t>
        </is>
      </c>
      <c r="E211" s="6" t="n">
        <v>25.5</v>
      </c>
      <c r="F211" s="5" t="n"/>
      <c r="G211" s="5" t="n"/>
      <c r="H211" s="5" t="n"/>
      <c r="I211" s="5" t="n"/>
      <c r="J211" s="7">
        <f>IF(AND(N(F211)&gt;0,N(I211)&gt;0),I211-F211-IF(N(G211)&gt;0,0.5,0)-IF(N(H211)&gt;0,0.5,0),0)</f>
        <v/>
      </c>
      <c r="K211" s="5" t="n"/>
      <c r="L211" s="7">
        <f>MIN(J211,8.0)</f>
        <v/>
      </c>
      <c r="M211" s="7">
        <f>MAX(0,MIN(J211,12)-8.0)</f>
        <v/>
      </c>
      <c r="N211" s="7">
        <f>MAX(0,J211-12)</f>
        <v/>
      </c>
      <c r="O211" s="5" t="n"/>
      <c r="P211" s="6">
        <f>E211*(L211+M211*1.5+N211*2+O211*3+N(K211))</f>
        <v/>
      </c>
      <c r="Q211" s="6" t="n">
        <v>395.25</v>
      </c>
      <c r="R211" s="6">
        <f>Q211-P211</f>
        <v/>
      </c>
    </row>
    <row r="212">
      <c r="P212" s="2" t="inlineStr">
        <is>
          <t>COSTUMESUPERVISOR LABOR</t>
        </is>
      </c>
      <c r="R212" s="8">
        <f>SUM(R211:R211)</f>
        <v/>
      </c>
    </row>
    <row r="214">
      <c r="B214" s="2" t="inlineStr">
        <is>
          <t>SETCOSTUMERS</t>
        </is>
      </c>
    </row>
    <row r="215">
      <c r="A215" s="5" t="inlineStr">
        <is>
          <t>2905</t>
        </is>
      </c>
      <c r="B215" s="5" t="inlineStr">
        <is>
          <t>Monavie Tutop</t>
        </is>
      </c>
      <c r="C215" s="5" t="inlineStr">
        <is>
          <t>COSTUMER#1</t>
        </is>
      </c>
      <c r="D215" s="5" t="inlineStr">
        <is>
          <t>Local705</t>
        </is>
      </c>
      <c r="E215" s="6" t="n">
        <v>23.04</v>
      </c>
      <c r="F215" s="5" t="n"/>
      <c r="G215" s="5" t="n"/>
      <c r="H215" s="5" t="n"/>
      <c r="I215" s="5" t="n"/>
      <c r="J215" s="7">
        <f>IF(AND(N(F215)&gt;0,N(I215)&gt;0),I215-F215-IF(N(G215)&gt;0,0.5,0)-IF(N(H215)&gt;0,0.5,0),0)</f>
        <v/>
      </c>
      <c r="K215" s="5" t="n"/>
      <c r="L215" s="7">
        <f>MIN(J215,8.0)</f>
        <v/>
      </c>
      <c r="M215" s="7">
        <f>MAX(0,MIN(J215,12)-8.0)</f>
        <v/>
      </c>
      <c r="N215" s="7">
        <f>MAX(0,J215-12)</f>
        <v/>
      </c>
      <c r="O215" s="5" t="n"/>
      <c r="P215" s="6">
        <f>E215*(L215+M215*1.5+N215*2+O215*3+N(K215))</f>
        <v/>
      </c>
      <c r="Q215" s="6" t="n">
        <v>397.43</v>
      </c>
      <c r="R215" s="6">
        <f>Q215-P215</f>
        <v/>
      </c>
    </row>
    <row r="216">
      <c r="A216" s="5" t="inlineStr">
        <is>
          <t>2905</t>
        </is>
      </c>
      <c r="B216" s="5" t="inlineStr"/>
      <c r="C216" s="5" t="inlineStr">
        <is>
          <t>COSTUMER#2</t>
        </is>
      </c>
      <c r="D216" s="5" t="inlineStr">
        <is>
          <t>Local705</t>
        </is>
      </c>
      <c r="E216" s="6" t="n">
        <v>20.57</v>
      </c>
      <c r="F216" s="5" t="n"/>
      <c r="G216" s="5" t="n"/>
      <c r="H216" s="5" t="n"/>
      <c r="I216" s="5" t="n"/>
      <c r="J216" s="7">
        <f>IF(AND(N(F216)&gt;0,N(I216)&gt;0),I216-F216-IF(N(G216)&gt;0,0.5,0)-IF(N(H216)&gt;0,0.5,0),0)</f>
        <v/>
      </c>
      <c r="K216" s="5" t="n"/>
      <c r="L216" s="7">
        <f>MIN(J216,8.0)</f>
        <v/>
      </c>
      <c r="M216" s="7">
        <f>MAX(0,MIN(J216,12)-8.0)</f>
        <v/>
      </c>
      <c r="N216" s="7">
        <f>MAX(0,J216-12)</f>
        <v/>
      </c>
      <c r="O216" s="5" t="n"/>
      <c r="P216" s="6">
        <f>E216*(L216+M216*1.5+N216*2+O216*3+N(K216))</f>
        <v/>
      </c>
      <c r="Q216" s="6" t="n">
        <v>354.83</v>
      </c>
      <c r="R216" s="6">
        <f>Q216-P216</f>
        <v/>
      </c>
    </row>
    <row r="217">
      <c r="P217" s="2" t="inlineStr">
        <is>
          <t>SETCOSTUMERS LABOR</t>
        </is>
      </c>
      <c r="R217" s="8">
        <f>SUM(R215:R216)</f>
        <v/>
      </c>
    </row>
    <row r="219">
      <c r="B219" s="2" t="inlineStr">
        <is>
          <t>KEYMAKE-UP</t>
        </is>
      </c>
    </row>
    <row r="220">
      <c r="A220" s="5" t="inlineStr">
        <is>
          <t>3101</t>
        </is>
      </c>
      <c r="B220" s="5" t="inlineStr">
        <is>
          <t>Eleanor Sabaduquia</t>
        </is>
      </c>
      <c r="C220" s="5" t="inlineStr">
        <is>
          <t>KEYMAKEUPARTIST</t>
        </is>
      </c>
      <c r="D220" s="5" t="inlineStr">
        <is>
          <t>Local706</t>
        </is>
      </c>
      <c r="E220" s="6" t="n">
        <v>25.5</v>
      </c>
      <c r="F220" s="5" t="n"/>
      <c r="G220" s="5" t="n"/>
      <c r="H220" s="5" t="n"/>
      <c r="I220" s="5" t="n"/>
      <c r="J220" s="7">
        <f>IF(AND(N(F220)&gt;0,N(I220)&gt;0),I220-F220-IF(N(G220)&gt;0,0.5,0)-IF(N(H220)&gt;0,0.5,0),0)</f>
        <v/>
      </c>
      <c r="K220" s="5" t="n"/>
      <c r="L220" s="7">
        <f>MIN(J220,10.0)</f>
        <v/>
      </c>
      <c r="M220" s="7">
        <f>MAX(0,MIN(J220,12)-10.0)</f>
        <v/>
      </c>
      <c r="N220" s="7">
        <f>MAX(0,J220-12)</f>
        <v/>
      </c>
      <c r="O220" s="5" t="n"/>
      <c r="P220" s="6">
        <f>E220*(L220+M220*1.5+N220*2+O220*3+N(K220))</f>
        <v/>
      </c>
      <c r="Q220" s="6" t="n">
        <v>439.87</v>
      </c>
      <c r="R220" s="6">
        <f>Q220-P220</f>
        <v/>
      </c>
    </row>
    <row r="221">
      <c r="P221" s="2" t="inlineStr">
        <is>
          <t>KEYMAKE-UP LABOR</t>
        </is>
      </c>
      <c r="R221" s="8">
        <f>SUM(R220:R220)</f>
        <v/>
      </c>
    </row>
    <row r="223">
      <c r="B223" s="2" t="inlineStr">
        <is>
          <t>ASSTMAKE-UP</t>
        </is>
      </c>
    </row>
    <row r="224">
      <c r="A224" s="5" t="inlineStr">
        <is>
          <t>3102</t>
        </is>
      </c>
      <c r="B224" s="5" t="inlineStr">
        <is>
          <t>Yoko Nobushi</t>
        </is>
      </c>
      <c r="C224" s="5" t="inlineStr">
        <is>
          <t>ASSTMAKEUPARTIST#1</t>
        </is>
      </c>
      <c r="D224" s="5" t="inlineStr">
        <is>
          <t>Local706</t>
        </is>
      </c>
      <c r="E224" s="6" t="n">
        <v>23.04</v>
      </c>
      <c r="F224" s="5" t="n"/>
      <c r="G224" s="5" t="n"/>
      <c r="H224" s="5" t="n"/>
      <c r="I224" s="5" t="n"/>
      <c r="J224" s="7">
        <f>IF(AND(N(F224)&gt;0,N(I224)&gt;0),I224-F224-IF(N(G224)&gt;0,0.5,0)-IF(N(H224)&gt;0,0.5,0),0)</f>
        <v/>
      </c>
      <c r="K224" s="5" t="n"/>
      <c r="L224" s="7">
        <f>MIN(J224,10.0)</f>
        <v/>
      </c>
      <c r="M224" s="7">
        <f>MAX(0,MIN(J224,12)-10.0)</f>
        <v/>
      </c>
      <c r="N224" s="7">
        <f>MAX(0,J224-12)</f>
        <v/>
      </c>
      <c r="O224" s="5" t="n"/>
      <c r="P224" s="6">
        <f>E224*(L224+M224*1.5+N224*2+O224*3+N(K224))</f>
        <v/>
      </c>
      <c r="Q224" s="6" t="n">
        <v>397.43</v>
      </c>
      <c r="R224" s="6">
        <f>Q224-P224</f>
        <v/>
      </c>
    </row>
    <row r="225">
      <c r="P225" s="2" t="inlineStr">
        <is>
          <t>ASSTMAKE-UP LABOR</t>
        </is>
      </c>
      <c r="R225" s="8">
        <f>SUM(R224:R224)</f>
        <v/>
      </c>
    </row>
    <row r="227">
      <c r="B227" s="2" t="inlineStr">
        <is>
          <t>ADDITIONALMAKE-UPLABOR</t>
        </is>
      </c>
    </row>
    <row r="228">
      <c r="A228" s="5" t="inlineStr">
        <is>
          <t>3103</t>
        </is>
      </c>
      <c r="B228" s="5" t="inlineStr"/>
      <c r="C228" s="5" t="inlineStr">
        <is>
          <t>ADDLMAKEUPARTISTDAYS</t>
        </is>
      </c>
      <c r="D228" s="5" t="inlineStr">
        <is>
          <t>Local706</t>
        </is>
      </c>
      <c r="E228" s="6" t="n">
        <v>23.04</v>
      </c>
      <c r="F228" s="5" t="n"/>
      <c r="G228" s="5" t="n"/>
      <c r="H228" s="5" t="n"/>
      <c r="I228" s="5" t="n"/>
      <c r="J228" s="7">
        <f>IF(AND(N(F228)&gt;0,N(I228)&gt;0),I228-F228-IF(N(G228)&gt;0,0.5,0)-IF(N(H228)&gt;0,0.5,0),0)</f>
        <v/>
      </c>
      <c r="K228" s="5" t="n"/>
      <c r="L228" s="7">
        <f>MIN(J228,10.0)</f>
        <v/>
      </c>
      <c r="M228" s="7">
        <f>MAX(0,MIN(J228,12)-10.0)</f>
        <v/>
      </c>
      <c r="N228" s="7">
        <f>MAX(0,J228-12)</f>
        <v/>
      </c>
      <c r="O228" s="5" t="n"/>
      <c r="P228" s="6">
        <f>E228*(L228+M228*1.5+N228*2+O228*3+N(K228))</f>
        <v/>
      </c>
      <c r="Q228" s="6" t="n">
        <v>397.43</v>
      </c>
      <c r="R228" s="6">
        <f>Q228-P228</f>
        <v/>
      </c>
    </row>
    <row r="229">
      <c r="P229" s="2" t="inlineStr">
        <is>
          <t>ADDITIONALMAKE-UPLABOR LABOR</t>
        </is>
      </c>
      <c r="R229" s="8">
        <f>SUM(R228:R228)</f>
        <v/>
      </c>
    </row>
    <row r="231">
      <c r="B231" s="2" t="inlineStr">
        <is>
          <t>PROSTHETICS</t>
        </is>
      </c>
    </row>
    <row r="232">
      <c r="A232" s="5" t="inlineStr">
        <is>
          <t>3105</t>
        </is>
      </c>
      <c r="B232" s="5" t="inlineStr"/>
      <c r="C232" s="5" t="inlineStr">
        <is>
          <t>PROSTHETICMAKEUPARTIST</t>
        </is>
      </c>
      <c r="D232" s="5" t="inlineStr">
        <is>
          <t>Local706</t>
        </is>
      </c>
      <c r="E232" s="6" t="n">
        <v>25.5</v>
      </c>
      <c r="F232" s="5" t="n"/>
      <c r="G232" s="5" t="n"/>
      <c r="H232" s="5" t="n"/>
      <c r="I232" s="5" t="n"/>
      <c r="J232" s="7">
        <f>IF(AND(N(F232)&gt;0,N(I232)&gt;0),I232-F232-IF(N(G232)&gt;0,0.5,0)-IF(N(H232)&gt;0,0.5,0),0)</f>
        <v/>
      </c>
      <c r="K232" s="5" t="n"/>
      <c r="L232" s="7">
        <f>MIN(J232,10.0)</f>
        <v/>
      </c>
      <c r="M232" s="7">
        <f>MAX(0,MIN(J232,12)-10.0)</f>
        <v/>
      </c>
      <c r="N232" s="7">
        <f>MAX(0,J232-12)</f>
        <v/>
      </c>
      <c r="O232" s="5" t="n"/>
      <c r="P232" s="6">
        <f>E232*(L232+M232*1.5+N232*2+O232*3+N(K232))</f>
        <v/>
      </c>
      <c r="Q232" s="6" t="n">
        <v>439.87</v>
      </c>
      <c r="R232" s="6">
        <f>Q232-P232</f>
        <v/>
      </c>
    </row>
    <row r="233">
      <c r="A233" s="5" t="inlineStr">
        <is>
          <t>3105</t>
        </is>
      </c>
      <c r="B233" s="5" t="inlineStr"/>
      <c r="C233" s="5" t="inlineStr">
        <is>
          <t>LENSCONSULTANT</t>
        </is>
      </c>
      <c r="D233" s="5" t="inlineStr"/>
      <c r="E233" s="6" t="n">
        <v>50</v>
      </c>
      <c r="F233" s="5" t="n"/>
      <c r="G233" s="5" t="n"/>
      <c r="H233" s="5" t="n"/>
      <c r="I233" s="5" t="n"/>
      <c r="J233" s="7">
        <f>IF(AND(N(F233)&gt;0,N(I233)&gt;0),I233-F233-IF(N(G233)&gt;0,0.5,0)-IF(N(H233)&gt;0,0.5,0),0)</f>
        <v/>
      </c>
      <c r="K233" s="5" t="n"/>
      <c r="L233" s="7">
        <f>MIN(J233,8.0)</f>
        <v/>
      </c>
      <c r="M233" s="7">
        <f>MAX(0,MIN(J233,12)-8.0)</f>
        <v/>
      </c>
      <c r="N233" s="7">
        <f>MAX(0,J233-12)</f>
        <v/>
      </c>
      <c r="O233" s="5" t="n"/>
      <c r="P233" s="6">
        <f>E233*(L233+M233*1.5+N233*2+O233*3+N(K233))</f>
        <v/>
      </c>
      <c r="Q233" s="6" t="n">
        <v>862.53</v>
      </c>
      <c r="R233" s="6">
        <f>Q233-P233</f>
        <v/>
      </c>
    </row>
    <row r="234">
      <c r="P234" s="2" t="inlineStr">
        <is>
          <t>PROSTHETICS LABOR</t>
        </is>
      </c>
      <c r="R234" s="8">
        <f>SUM(R232:R233)</f>
        <v/>
      </c>
    </row>
    <row r="236">
      <c r="B236" s="2" t="inlineStr">
        <is>
          <t>KEYHAIR</t>
        </is>
      </c>
    </row>
    <row r="237">
      <c r="A237" s="5" t="inlineStr">
        <is>
          <t>3111</t>
        </is>
      </c>
      <c r="B237" s="5" t="inlineStr">
        <is>
          <t>Traci Smithe</t>
        </is>
      </c>
      <c r="C237" s="5" t="inlineStr">
        <is>
          <t>KEYHAIR</t>
        </is>
      </c>
      <c r="D237" s="5" t="inlineStr">
        <is>
          <t>Local706</t>
        </is>
      </c>
      <c r="E237" s="6" t="n">
        <v>25.5</v>
      </c>
      <c r="F237" s="5" t="n"/>
      <c r="G237" s="5" t="n"/>
      <c r="H237" s="5" t="n"/>
      <c r="I237" s="5" t="n"/>
      <c r="J237" s="7">
        <f>IF(AND(N(F237)&gt;0,N(I237)&gt;0),I237-F237-IF(N(G237)&gt;0,0.5,0)-IF(N(H237)&gt;0,0.5,0),0)</f>
        <v/>
      </c>
      <c r="K237" s="5" t="n"/>
      <c r="L237" s="7">
        <f>MIN(J237,10.0)</f>
        <v/>
      </c>
      <c r="M237" s="7">
        <f>MAX(0,MIN(J237,12)-10.0)</f>
        <v/>
      </c>
      <c r="N237" s="7">
        <f>MAX(0,J237-12)</f>
        <v/>
      </c>
      <c r="O237" s="5" t="n"/>
      <c r="P237" s="6">
        <f>E237*(L237+M237*1.5+N237*2+O237*3+N(K237))</f>
        <v/>
      </c>
      <c r="Q237" s="6" t="n">
        <v>439.87</v>
      </c>
      <c r="R237" s="6">
        <f>Q237-P237</f>
        <v/>
      </c>
    </row>
    <row r="238">
      <c r="P238" s="2" t="inlineStr">
        <is>
          <t>KEYHAIR LABOR</t>
        </is>
      </c>
      <c r="R238" s="8">
        <f>SUM(R237:R237)</f>
        <v/>
      </c>
    </row>
    <row r="240">
      <c r="B240" s="2" t="inlineStr">
        <is>
          <t>ASSTHAIR</t>
        </is>
      </c>
    </row>
    <row r="241">
      <c r="A241" s="5" t="inlineStr">
        <is>
          <t>3112</t>
        </is>
      </c>
      <c r="B241" s="5" t="inlineStr">
        <is>
          <t>Yunea Cruz</t>
        </is>
      </c>
      <c r="C241" s="5" t="inlineStr">
        <is>
          <t>ASSTHAIRSTYLIST#1</t>
        </is>
      </c>
      <c r="D241" s="5" t="inlineStr">
        <is>
          <t>Local706</t>
        </is>
      </c>
      <c r="E241" s="6" t="n">
        <v>23.04</v>
      </c>
      <c r="F241" s="5" t="n"/>
      <c r="G241" s="5" t="n"/>
      <c r="H241" s="5" t="n"/>
      <c r="I241" s="5" t="n"/>
      <c r="J241" s="7">
        <f>IF(AND(N(F241)&gt;0,N(I241)&gt;0),I241-F241-IF(N(G241)&gt;0,0.5,0)-IF(N(H241)&gt;0,0.5,0),0)</f>
        <v/>
      </c>
      <c r="K241" s="5" t="n"/>
      <c r="L241" s="7">
        <f>MIN(J241,10.0)</f>
        <v/>
      </c>
      <c r="M241" s="7">
        <f>MAX(0,MIN(J241,12)-10.0)</f>
        <v/>
      </c>
      <c r="N241" s="7">
        <f>MAX(0,J241-12)</f>
        <v/>
      </c>
      <c r="O241" s="5" t="n"/>
      <c r="P241" s="6">
        <f>E241*(L241+M241*1.5+N241*2+O241*3+N(K241))</f>
        <v/>
      </c>
      <c r="Q241" s="6" t="n">
        <v>397.43</v>
      </c>
      <c r="R241" s="6">
        <f>Q241-P241</f>
        <v/>
      </c>
    </row>
    <row r="242">
      <c r="P242" s="2" t="inlineStr">
        <is>
          <t>ASSTHAIR LABOR</t>
        </is>
      </c>
      <c r="R242" s="8">
        <f>SUM(R241:R241)</f>
        <v/>
      </c>
    </row>
    <row r="244">
      <c r="B244" s="2" t="inlineStr">
        <is>
          <t>ADDITIONALHAIRLABOR</t>
        </is>
      </c>
    </row>
    <row r="245">
      <c r="A245" s="5" t="inlineStr">
        <is>
          <t>3113</t>
        </is>
      </c>
      <c r="B245" s="5" t="inlineStr"/>
      <c r="C245" s="5" t="inlineStr">
        <is>
          <t>ADDLHAIRSTYLISTDAYS</t>
        </is>
      </c>
      <c r="D245" s="5" t="inlineStr">
        <is>
          <t>Local706</t>
        </is>
      </c>
      <c r="E245" s="6" t="n">
        <v>23.04</v>
      </c>
      <c r="F245" s="5" t="n"/>
      <c r="G245" s="5" t="n"/>
      <c r="H245" s="5" t="n"/>
      <c r="I245" s="5" t="n"/>
      <c r="J245" s="7">
        <f>IF(AND(N(F245)&gt;0,N(I245)&gt;0),I245-F245-IF(N(G245)&gt;0,0.5,0)-IF(N(H245)&gt;0,0.5,0),0)</f>
        <v/>
      </c>
      <c r="K245" s="5" t="n"/>
      <c r="L245" s="7">
        <f>MIN(J245,10.0)</f>
        <v/>
      </c>
      <c r="M245" s="7">
        <f>MAX(0,MIN(J245,12)-10.0)</f>
        <v/>
      </c>
      <c r="N245" s="7">
        <f>MAX(0,J245-12)</f>
        <v/>
      </c>
      <c r="O245" s="5" t="n"/>
      <c r="P245" s="6">
        <f>E245*(L245+M245*1.5+N245*2+O245*3+N(K245))</f>
        <v/>
      </c>
      <c r="Q245" s="6" t="n">
        <v>397.43</v>
      </c>
      <c r="R245" s="6">
        <f>Q245-P245</f>
        <v/>
      </c>
    </row>
    <row r="246">
      <c r="P246" s="2" t="inlineStr">
        <is>
          <t>ADDITIONALHAIRLABOR LABOR</t>
        </is>
      </c>
      <c r="R246" s="8">
        <f>SUM(R245:R245)</f>
        <v/>
      </c>
    </row>
    <row r="248">
      <c r="B248" s="2" t="inlineStr">
        <is>
          <t>GAFFER</t>
        </is>
      </c>
    </row>
    <row r="249">
      <c r="A249" s="5" t="inlineStr">
        <is>
          <t>3201</t>
        </is>
      </c>
      <c r="B249" s="5" t="inlineStr">
        <is>
          <t>Nicholas Kaat</t>
        </is>
      </c>
      <c r="C249" s="5" t="inlineStr">
        <is>
          <t>GAFFER</t>
        </is>
      </c>
      <c r="D249" s="5" t="inlineStr">
        <is>
          <t>Local728</t>
        </is>
      </c>
      <c r="E249" s="6" t="n">
        <v>25.5</v>
      </c>
      <c r="F249" s="5" t="n"/>
      <c r="G249" s="5" t="n"/>
      <c r="H249" s="5" t="n"/>
      <c r="I249" s="5" t="n"/>
      <c r="J249" s="7">
        <f>IF(AND(N(F249)&gt;0,N(I249)&gt;0),I249-F249-IF(N(G249)&gt;0,0.5,0)-IF(N(H249)&gt;0,0.5,0),0)</f>
        <v/>
      </c>
      <c r="K249" s="5" t="n"/>
      <c r="L249" s="7">
        <f>MIN(J249,10.0)</f>
        <v/>
      </c>
      <c r="M249" s="7">
        <f>MAX(0,MIN(J249,12)-10.0)</f>
        <v/>
      </c>
      <c r="N249" s="7">
        <f>MAX(0,J249-12)</f>
        <v/>
      </c>
      <c r="O249" s="5" t="n"/>
      <c r="P249" s="6">
        <f>E249*(L249+M249*1.5+N249*2+O249*3+N(K249))</f>
        <v/>
      </c>
      <c r="Q249" s="6" t="n">
        <v>395.25</v>
      </c>
      <c r="R249" s="6">
        <f>Q249-P249</f>
        <v/>
      </c>
    </row>
    <row r="250">
      <c r="P250" s="2" t="inlineStr">
        <is>
          <t>GAFFER LABOR</t>
        </is>
      </c>
      <c r="R250" s="8">
        <f>SUM(R249:R249)</f>
        <v/>
      </c>
    </row>
    <row r="252">
      <c r="B252" s="2" t="inlineStr">
        <is>
          <t>BESTBOYELECTRIC</t>
        </is>
      </c>
    </row>
    <row r="253">
      <c r="A253" s="5" t="inlineStr">
        <is>
          <t>3202</t>
        </is>
      </c>
      <c r="B253" s="5" t="inlineStr">
        <is>
          <t>Nathan Fetzer</t>
        </is>
      </c>
      <c r="C253" s="5" t="inlineStr">
        <is>
          <t>BESTBOYELECTRIC</t>
        </is>
      </c>
      <c r="D253" s="5" t="inlineStr">
        <is>
          <t>Local728</t>
        </is>
      </c>
      <c r="E253" s="6" t="n">
        <v>23.04</v>
      </c>
      <c r="F253" s="5" t="n"/>
      <c r="G253" s="5" t="n"/>
      <c r="H253" s="5" t="n"/>
      <c r="I253" s="5" t="n"/>
      <c r="J253" s="7">
        <f>IF(AND(N(F253)&gt;0,N(I253)&gt;0),I253-F253-IF(N(G253)&gt;0,0.5,0)-IF(N(H253)&gt;0,0.5,0),0)</f>
        <v/>
      </c>
      <c r="K253" s="5" t="n"/>
      <c r="L253" s="7">
        <f>MIN(J253,10.0)</f>
        <v/>
      </c>
      <c r="M253" s="7">
        <f>MAX(0,MIN(J253,12)-10.0)</f>
        <v/>
      </c>
      <c r="N253" s="7">
        <f>MAX(0,J253-12)</f>
        <v/>
      </c>
      <c r="O253" s="5" t="n"/>
      <c r="P253" s="6">
        <f>E253*(L253+M253*1.5+N253*2+O253*3+N(K253))</f>
        <v/>
      </c>
      <c r="Q253" s="6" t="n">
        <v>357.12</v>
      </c>
      <c r="R253" s="6">
        <f>Q253-P253</f>
        <v/>
      </c>
    </row>
    <row r="254">
      <c r="A254" s="5" t="inlineStr">
        <is>
          <t>3202</t>
        </is>
      </c>
      <c r="B254" s="5" t="inlineStr"/>
      <c r="C254" s="5" t="inlineStr">
        <is>
          <t>STUDIOBESTBOYELECTRIC</t>
        </is>
      </c>
      <c r="D254" s="5" t="inlineStr">
        <is>
          <t>Local728</t>
        </is>
      </c>
      <c r="E254" s="6" t="n">
        <v>43.05</v>
      </c>
      <c r="F254" s="5" t="n"/>
      <c r="G254" s="5" t="n"/>
      <c r="H254" s="5" t="n"/>
      <c r="I254" s="5" t="n"/>
      <c r="J254" s="7">
        <f>IF(AND(N(F254)&gt;0,N(I254)&gt;0),I254-F254-IF(N(G254)&gt;0,0.5,0)-IF(N(H254)&gt;0,0.5,0),0)</f>
        <v/>
      </c>
      <c r="K254" s="5" t="n"/>
      <c r="L254" s="7">
        <f>MIN(J254,10.0)</f>
        <v/>
      </c>
      <c r="M254" s="7">
        <f>MAX(0,MIN(J254,12)-10.0)</f>
        <v/>
      </c>
      <c r="N254" s="7">
        <f>MAX(0,J254-12)</f>
        <v/>
      </c>
      <c r="O254" s="5" t="n"/>
      <c r="P254" s="6">
        <f>E254*(L254+M254*1.5+N254*2+O254*3+N(K254))</f>
        <v/>
      </c>
      <c r="Q254" s="6" t="n">
        <v>667.27</v>
      </c>
      <c r="R254" s="6">
        <f>Q254-P254</f>
        <v/>
      </c>
    </row>
    <row r="255">
      <c r="P255" s="2" t="inlineStr">
        <is>
          <t>BESTBOYELECTRIC LABOR</t>
        </is>
      </c>
      <c r="R255" s="8">
        <f>SUM(R253:R254)</f>
        <v/>
      </c>
    </row>
    <row r="257">
      <c r="B257" s="2" t="inlineStr">
        <is>
          <t>ELECTRICIANS</t>
        </is>
      </c>
    </row>
    <row r="258">
      <c r="A258" s="5" t="inlineStr">
        <is>
          <t>3204</t>
        </is>
      </c>
      <c r="B258" s="5" t="inlineStr"/>
      <c r="C258" s="5" t="inlineStr">
        <is>
          <t>ELECTRICIAN#1</t>
        </is>
      </c>
      <c r="D258" s="5" t="inlineStr">
        <is>
          <t>Local728</t>
        </is>
      </c>
      <c r="E258" s="6" t="n">
        <v>20.57</v>
      </c>
      <c r="F258" s="5" t="n"/>
      <c r="G258" s="5" t="n"/>
      <c r="H258" s="5" t="n"/>
      <c r="I258" s="5" t="n"/>
      <c r="J258" s="7">
        <f>IF(AND(N(F258)&gt;0,N(I258)&gt;0),I258-F258-IF(N(G258)&gt;0,0.5,0)-IF(N(H258)&gt;0,0.5,0),0)</f>
        <v/>
      </c>
      <c r="K258" s="5" t="n"/>
      <c r="L258" s="7">
        <f>MIN(J258,10.0)</f>
        <v/>
      </c>
      <c r="M258" s="7">
        <f>MAX(0,MIN(J258,12)-10.0)</f>
        <v/>
      </c>
      <c r="N258" s="7">
        <f>MAX(0,J258-12)</f>
        <v/>
      </c>
      <c r="O258" s="5" t="n"/>
      <c r="P258" s="6">
        <f>E258*(L258+M258*1.5+N258*2+O258*3+N(K258))</f>
        <v/>
      </c>
      <c r="Q258" s="6" t="n">
        <v>318.83</v>
      </c>
      <c r="R258" s="6">
        <f>Q258-P258</f>
        <v/>
      </c>
    </row>
    <row r="259">
      <c r="A259" s="5" t="inlineStr">
        <is>
          <t>3204</t>
        </is>
      </c>
      <c r="B259" s="5" t="inlineStr"/>
      <c r="C259" s="5" t="inlineStr">
        <is>
          <t>ELECTRICIAN#2</t>
        </is>
      </c>
      <c r="D259" s="5" t="inlineStr">
        <is>
          <t>Local728</t>
        </is>
      </c>
      <c r="E259" s="6" t="n">
        <v>20.57</v>
      </c>
      <c r="F259" s="5" t="n"/>
      <c r="G259" s="5" t="n"/>
      <c r="H259" s="5" t="n"/>
      <c r="I259" s="5" t="n"/>
      <c r="J259" s="7">
        <f>IF(AND(N(F259)&gt;0,N(I259)&gt;0),I259-F259-IF(N(G259)&gt;0,0.5,0)-IF(N(H259)&gt;0,0.5,0),0)</f>
        <v/>
      </c>
      <c r="K259" s="5" t="n"/>
      <c r="L259" s="7">
        <f>MIN(J259,10.0)</f>
        <v/>
      </c>
      <c r="M259" s="7">
        <f>MAX(0,MIN(J259,12)-10.0)</f>
        <v/>
      </c>
      <c r="N259" s="7">
        <f>MAX(0,J259-12)</f>
        <v/>
      </c>
      <c r="O259" s="5" t="n"/>
      <c r="P259" s="6">
        <f>E259*(L259+M259*1.5+N259*2+O259*3+N(K259))</f>
        <v/>
      </c>
      <c r="Q259" s="6" t="n">
        <v>318.83</v>
      </c>
      <c r="R259" s="6">
        <f>Q259-P259</f>
        <v/>
      </c>
    </row>
    <row r="260">
      <c r="A260" s="5" t="inlineStr">
        <is>
          <t>3204</t>
        </is>
      </c>
      <c r="B260" s="5" t="inlineStr"/>
      <c r="C260" s="5" t="inlineStr">
        <is>
          <t>ELECTRICIAN#3</t>
        </is>
      </c>
      <c r="D260" s="5" t="inlineStr">
        <is>
          <t>Local728</t>
        </is>
      </c>
      <c r="E260" s="6" t="n">
        <v>20.57</v>
      </c>
      <c r="F260" s="5" t="n"/>
      <c r="G260" s="5" t="n"/>
      <c r="H260" s="5" t="n"/>
      <c r="I260" s="5" t="n"/>
      <c r="J260" s="7">
        <f>IF(AND(N(F260)&gt;0,N(I260)&gt;0),I260-F260-IF(N(G260)&gt;0,0.5,0)-IF(N(H260)&gt;0,0.5,0),0)</f>
        <v/>
      </c>
      <c r="K260" s="5" t="n"/>
      <c r="L260" s="7">
        <f>MIN(J260,10.0)</f>
        <v/>
      </c>
      <c r="M260" s="7">
        <f>MAX(0,MIN(J260,12)-10.0)</f>
        <v/>
      </c>
      <c r="N260" s="7">
        <f>MAX(0,J260-12)</f>
        <v/>
      </c>
      <c r="O260" s="5" t="n"/>
      <c r="P260" s="6">
        <f>E260*(L260+M260*1.5+N260*2+O260*3+N(K260))</f>
        <v/>
      </c>
      <c r="Q260" s="6" t="n">
        <v>318.83</v>
      </c>
      <c r="R260" s="6">
        <f>Q260-P260</f>
        <v/>
      </c>
    </row>
    <row r="261">
      <c r="P261" s="2" t="inlineStr">
        <is>
          <t>ELECTRICIANS LABOR</t>
        </is>
      </c>
      <c r="R261" s="8">
        <f>SUM(R258:R260)</f>
        <v/>
      </c>
    </row>
    <row r="263">
      <c r="B263" s="2" t="inlineStr">
        <is>
          <t>ADDITIONALELECTRICLABOR</t>
        </is>
      </c>
    </row>
    <row r="264">
      <c r="A264" s="5" t="inlineStr">
        <is>
          <t>3206</t>
        </is>
      </c>
      <c r="B264" s="5" t="inlineStr"/>
      <c r="C264" s="5" t="inlineStr">
        <is>
          <t>ELECTRICMANDAYS&amp;RIGGINGMANDAYS</t>
        </is>
      </c>
      <c r="D264" s="5" t="inlineStr">
        <is>
          <t>Local728</t>
        </is>
      </c>
      <c r="E264" s="6" t="n">
        <v>20.57</v>
      </c>
      <c r="F264" s="5" t="n"/>
      <c r="G264" s="5" t="n"/>
      <c r="H264" s="5" t="n"/>
      <c r="I264" s="5" t="n"/>
      <c r="J264" s="7">
        <f>IF(AND(N(F264)&gt;0,N(I264)&gt;0),I264-F264-IF(N(G264)&gt;0,0.5,0)-IF(N(H264)&gt;0,0.5,0),0)</f>
        <v/>
      </c>
      <c r="K264" s="5" t="n"/>
      <c r="L264" s="7">
        <f>MIN(J264,10.0)</f>
        <v/>
      </c>
      <c r="M264" s="7">
        <f>MAX(0,MIN(J264,12)-10.0)</f>
        <v/>
      </c>
      <c r="N264" s="7">
        <f>MAX(0,J264-12)</f>
        <v/>
      </c>
      <c r="O264" s="5" t="n"/>
      <c r="P264" s="6">
        <f>E264*(L264+M264*1.5+N264*2+O264*3+N(K264))</f>
        <v/>
      </c>
      <c r="Q264" s="6" t="n">
        <v>318.83</v>
      </c>
      <c r="R264" s="6">
        <f>Q264-P264</f>
        <v/>
      </c>
    </row>
    <row r="265">
      <c r="P265" s="2" t="inlineStr">
        <is>
          <t>ADDITIONALELECTRICLABOR LABOR</t>
        </is>
      </c>
      <c r="R265" s="8">
        <f>SUM(R264:R264)</f>
        <v/>
      </c>
    </row>
    <row r="267">
      <c r="B267" s="2" t="inlineStr">
        <is>
          <t>DIRECTOROFPHOTOGRAPHY</t>
        </is>
      </c>
    </row>
    <row r="268">
      <c r="A268" s="5" t="inlineStr">
        <is>
          <t>3301</t>
        </is>
      </c>
      <c r="B268" s="5" t="inlineStr">
        <is>
          <t>Michael Burgess</t>
        </is>
      </c>
      <c r="C268" s="5" t="inlineStr">
        <is>
          <t>DIRECTOROFPHOTOGRAPHY</t>
        </is>
      </c>
      <c r="D268" s="5" t="inlineStr">
        <is>
          <t>Local600</t>
        </is>
      </c>
      <c r="E268" s="6" t="n">
        <v>700</v>
      </c>
      <c r="F268" s="5" t="n"/>
      <c r="G268" s="5" t="n"/>
      <c r="H268" s="5" t="n"/>
      <c r="I268" s="5" t="n"/>
      <c r="J268" s="7">
        <f>IF(AND(N(F268)&gt;0,N(I268)&gt;0),I268-F268-IF(N(G268)&gt;0,0.5,0)-IF(N(H268)&gt;0,0.5,0),0)</f>
        <v/>
      </c>
      <c r="K268" s="5" t="n"/>
      <c r="L268" s="7">
        <f>MIN(J268,8.0)</f>
        <v/>
      </c>
      <c r="M268" s="7">
        <f>MAX(0,MIN(J268,12)-8.0)</f>
        <v/>
      </c>
      <c r="N268" s="7">
        <f>MAX(0,J268-12)</f>
        <v/>
      </c>
      <c r="O268" s="5" t="n"/>
      <c r="P268" s="6">
        <f>E268*(L268+M268*1.5+N268*2+O268*3+N(K268))</f>
        <v/>
      </c>
      <c r="Q268" s="6" t="n">
        <v>700</v>
      </c>
      <c r="R268" s="6">
        <f>Q268-P268</f>
        <v/>
      </c>
    </row>
    <row r="269">
      <c r="P269" s="2" t="inlineStr">
        <is>
          <t>DIRECTOROFPHOTOGRAPHY LABOR</t>
        </is>
      </c>
      <c r="R269" s="8">
        <f>SUM(R268:R268)</f>
        <v/>
      </c>
    </row>
    <row r="271">
      <c r="B271" s="2" t="inlineStr">
        <is>
          <t>CAMERAOPERATORS</t>
        </is>
      </c>
    </row>
    <row r="272">
      <c r="A272" s="5" t="inlineStr">
        <is>
          <t>3302</t>
        </is>
      </c>
      <c r="B272" s="5" t="inlineStr">
        <is>
          <t>Craig Bauer</t>
        </is>
      </c>
      <c r="C272" s="5" t="inlineStr">
        <is>
          <t>"B"CAMERAOP</t>
        </is>
      </c>
      <c r="D272" s="5" t="inlineStr">
        <is>
          <t>Local600</t>
        </is>
      </c>
      <c r="E272" s="6" t="n">
        <v>45</v>
      </c>
      <c r="F272" s="5" t="n"/>
      <c r="G272" s="5" t="n"/>
      <c r="H272" s="5" t="n"/>
      <c r="I272" s="5" t="n"/>
      <c r="J272" s="7">
        <f>IF(AND(N(F272)&gt;0,N(I272)&gt;0),I272-F272-IF(N(G272)&gt;0,0.5,0)-IF(N(H272)&gt;0,0.5,0),0)</f>
        <v/>
      </c>
      <c r="K272" s="5" t="n"/>
      <c r="L272" s="7">
        <f>MIN(J272,8.0)</f>
        <v/>
      </c>
      <c r="M272" s="7">
        <f>MAX(0,MIN(J272,12)-8.0)</f>
        <v/>
      </c>
      <c r="N272" s="7">
        <f>MAX(0,J272-12)</f>
        <v/>
      </c>
      <c r="O272" s="5" t="n"/>
      <c r="P272" s="6">
        <f>E272*(L272+M272*1.5+N272*2+O272*3+N(K272))</f>
        <v/>
      </c>
      <c r="Q272" s="6" t="n">
        <v>630</v>
      </c>
      <c r="R272" s="6">
        <f>Q272-P272</f>
        <v/>
      </c>
    </row>
    <row r="273">
      <c r="P273" s="2" t="inlineStr">
        <is>
          <t>CAMERAOPERATORS LABOR</t>
        </is>
      </c>
      <c r="R273" s="8">
        <f>SUM(R272:R272)</f>
        <v/>
      </c>
    </row>
    <row r="275">
      <c r="B275" s="2" t="inlineStr">
        <is>
          <t>DIGITALIMAGINGTECHS</t>
        </is>
      </c>
    </row>
    <row r="276">
      <c r="A276" s="5" t="inlineStr">
        <is>
          <t>3304</t>
        </is>
      </c>
      <c r="B276" s="5" t="inlineStr">
        <is>
          <t>Oliver Mancebo</t>
        </is>
      </c>
      <c r="C276" s="5" t="inlineStr">
        <is>
          <t>DIT</t>
        </is>
      </c>
      <c r="D276" s="5" t="inlineStr">
        <is>
          <t>Local600</t>
        </is>
      </c>
      <c r="E276" s="6" t="n">
        <v>35</v>
      </c>
      <c r="F276" s="5" t="n"/>
      <c r="G276" s="5" t="n"/>
      <c r="H276" s="5" t="n"/>
      <c r="I276" s="5" t="n"/>
      <c r="J276" s="7">
        <f>IF(AND(N(F276)&gt;0,N(I276)&gt;0),I276-F276-IF(N(G276)&gt;0,0.5,0)-IF(N(H276)&gt;0,0.5,0),0)</f>
        <v/>
      </c>
      <c r="K276" s="5" t="n"/>
      <c r="L276" s="7">
        <f>MIN(J276,8.0)</f>
        <v/>
      </c>
      <c r="M276" s="7">
        <f>MAX(0,MIN(J276,12)-8.0)</f>
        <v/>
      </c>
      <c r="N276" s="7">
        <f>MAX(0,J276-12)</f>
        <v/>
      </c>
      <c r="O276" s="5" t="n"/>
      <c r="P276" s="6">
        <f>E276*(L276+M276*1.5+N276*2+O276*3+N(K276))</f>
        <v/>
      </c>
      <c r="Q276" s="6" t="n">
        <v>542.5</v>
      </c>
      <c r="R276" s="6">
        <f>Q276-P276</f>
        <v/>
      </c>
    </row>
    <row r="277">
      <c r="P277" s="2" t="inlineStr">
        <is>
          <t>DIGITALIMAGINGTECHS LABOR</t>
        </is>
      </c>
      <c r="R277" s="8">
        <f>SUM(R276:R276)</f>
        <v/>
      </c>
    </row>
    <row r="279">
      <c r="B279" s="2" t="inlineStr">
        <is>
          <t>1STASSTCAMERA</t>
        </is>
      </c>
    </row>
    <row r="280">
      <c r="A280" s="5" t="inlineStr">
        <is>
          <t>3305</t>
        </is>
      </c>
      <c r="B280" s="5" t="inlineStr">
        <is>
          <t>Steve Cueva</t>
        </is>
      </c>
      <c r="C280" s="5" t="inlineStr">
        <is>
          <t>"A"CAMERA 1STAC</t>
        </is>
      </c>
      <c r="D280" s="5" t="inlineStr">
        <is>
          <t>Local600</t>
        </is>
      </c>
      <c r="E280" s="6" t="n">
        <v>25.5</v>
      </c>
      <c r="F280" s="5" t="n"/>
      <c r="G280" s="5" t="n"/>
      <c r="H280" s="5" t="n"/>
      <c r="I280" s="5" t="n"/>
      <c r="J280" s="7">
        <f>IF(AND(N(F280)&gt;0,N(I280)&gt;0),I280-F280-IF(N(G280)&gt;0,0.5,0)-IF(N(H280)&gt;0,0.5,0),0)</f>
        <v/>
      </c>
      <c r="K280" s="5" t="n"/>
      <c r="L280" s="7">
        <f>MIN(J280,8.0)</f>
        <v/>
      </c>
      <c r="M280" s="7">
        <f>MAX(0,MIN(J280,12)-8.0)</f>
        <v/>
      </c>
      <c r="N280" s="7">
        <f>MAX(0,J280-12)</f>
        <v/>
      </c>
      <c r="O280" s="5" t="n"/>
      <c r="P280" s="6">
        <f>E280*(L280+M280*1.5+N280*2+O280*3+N(K280))</f>
        <v/>
      </c>
      <c r="Q280" s="6" t="n">
        <v>395.25</v>
      </c>
      <c r="R280" s="6">
        <f>Q280-P280</f>
        <v/>
      </c>
    </row>
    <row r="281">
      <c r="A281" s="5" t="inlineStr">
        <is>
          <t>3305</t>
        </is>
      </c>
      <c r="B281" s="5" t="inlineStr">
        <is>
          <t>Chris Garcia</t>
        </is>
      </c>
      <c r="C281" s="5" t="inlineStr">
        <is>
          <t>"B"CAMERA 1STAC</t>
        </is>
      </c>
      <c r="D281" s="5" t="inlineStr">
        <is>
          <t>Local600</t>
        </is>
      </c>
      <c r="E281" s="6" t="n">
        <v>25.5</v>
      </c>
      <c r="F281" s="5" t="n"/>
      <c r="G281" s="5" t="n"/>
      <c r="H281" s="5" t="n"/>
      <c r="I281" s="5" t="n"/>
      <c r="J281" s="7">
        <f>IF(AND(N(F281)&gt;0,N(I281)&gt;0),I281-F281-IF(N(G281)&gt;0,0.5,0)-IF(N(H281)&gt;0,0.5,0),0)</f>
        <v/>
      </c>
      <c r="K281" s="5" t="n"/>
      <c r="L281" s="7">
        <f>MIN(J281,8.0)</f>
        <v/>
      </c>
      <c r="M281" s="7">
        <f>MAX(0,MIN(J281,12)-8.0)</f>
        <v/>
      </c>
      <c r="N281" s="7">
        <f>MAX(0,J281-12)</f>
        <v/>
      </c>
      <c r="O281" s="5" t="n"/>
      <c r="P281" s="6">
        <f>E281*(L281+M281*1.5+N281*2+O281*3+N(K281))</f>
        <v/>
      </c>
      <c r="Q281" s="6" t="n">
        <v>395.25</v>
      </c>
      <c r="R281" s="6">
        <f>Q281-P281</f>
        <v/>
      </c>
    </row>
    <row r="282">
      <c r="P282" s="2" t="inlineStr">
        <is>
          <t>1STASSTCAMERA LABOR</t>
        </is>
      </c>
      <c r="R282" s="8">
        <f>SUM(R280:R281)</f>
        <v/>
      </c>
    </row>
    <row r="284">
      <c r="B284" s="2" t="inlineStr">
        <is>
          <t>2NDASSTCAMERA</t>
        </is>
      </c>
    </row>
    <row r="285">
      <c r="A285" s="5" t="inlineStr">
        <is>
          <t>3306</t>
        </is>
      </c>
      <c r="B285" s="5" t="inlineStr">
        <is>
          <t>Manny Serrano</t>
        </is>
      </c>
      <c r="C285" s="5" t="inlineStr">
        <is>
          <t>"A"CAMERA 2NDAC</t>
        </is>
      </c>
      <c r="D285" s="5" t="inlineStr">
        <is>
          <t>Local600</t>
        </is>
      </c>
      <c r="E285" s="6" t="n">
        <v>23.04</v>
      </c>
      <c r="F285" s="5" t="n"/>
      <c r="G285" s="5" t="n"/>
      <c r="H285" s="5" t="n"/>
      <c r="I285" s="5" t="n"/>
      <c r="J285" s="7">
        <f>IF(AND(N(F285)&gt;0,N(I285)&gt;0),I285-F285-IF(N(G285)&gt;0,0.5,0)-IF(N(H285)&gt;0,0.5,0),0)</f>
        <v/>
      </c>
      <c r="K285" s="5" t="n"/>
      <c r="L285" s="7">
        <f>MIN(J285,8.0)</f>
        <v/>
      </c>
      <c r="M285" s="7">
        <f>MAX(0,MIN(J285,12)-8.0)</f>
        <v/>
      </c>
      <c r="N285" s="7">
        <f>MAX(0,J285-12)</f>
        <v/>
      </c>
      <c r="O285" s="5" t="n"/>
      <c r="P285" s="6">
        <f>E285*(L285+M285*1.5+N285*2+O285*3+N(K285))</f>
        <v/>
      </c>
      <c r="Q285" s="6" t="n">
        <v>357.12</v>
      </c>
      <c r="R285" s="6">
        <f>Q285-P285</f>
        <v/>
      </c>
    </row>
    <row r="286">
      <c r="A286" s="5" t="inlineStr">
        <is>
          <t>3306</t>
        </is>
      </c>
      <c r="B286" s="5" t="inlineStr"/>
      <c r="C286" s="5" t="inlineStr">
        <is>
          <t>"B"CAMERA 2NDAC</t>
        </is>
      </c>
      <c r="D286" s="5" t="inlineStr">
        <is>
          <t>Local600</t>
        </is>
      </c>
      <c r="E286" s="6" t="n">
        <v>23.04</v>
      </c>
      <c r="F286" s="5" t="n"/>
      <c r="G286" s="5" t="n"/>
      <c r="H286" s="5" t="n"/>
      <c r="I286" s="5" t="n"/>
      <c r="J286" s="7">
        <f>IF(AND(N(F286)&gt;0,N(I286)&gt;0),I286-F286-IF(N(G286)&gt;0,0.5,0)-IF(N(H286)&gt;0,0.5,0),0)</f>
        <v/>
      </c>
      <c r="K286" s="5" t="n"/>
      <c r="L286" s="7">
        <f>MIN(J286,8.0)</f>
        <v/>
      </c>
      <c r="M286" s="7">
        <f>MAX(0,MIN(J286,12)-8.0)</f>
        <v/>
      </c>
      <c r="N286" s="7">
        <f>MAX(0,J286-12)</f>
        <v/>
      </c>
      <c r="O286" s="5" t="n"/>
      <c r="P286" s="6">
        <f>E286*(L286+M286*1.5+N286*2+O286*3+N(K286))</f>
        <v/>
      </c>
      <c r="Q286" s="6" t="n">
        <v>357.12</v>
      </c>
      <c r="R286" s="6">
        <f>Q286-P286</f>
        <v/>
      </c>
    </row>
    <row r="287">
      <c r="P287" s="2" t="inlineStr">
        <is>
          <t>2NDASSTCAMERA LABOR</t>
        </is>
      </c>
      <c r="R287" s="8">
        <f>SUM(R285:R286)</f>
        <v/>
      </c>
    </row>
    <row r="289">
      <c r="B289" s="2" t="inlineStr">
        <is>
          <t>STILLPHOTOGRAPHER</t>
        </is>
      </c>
    </row>
    <row r="290">
      <c r="A290" s="5" t="inlineStr">
        <is>
          <t>3308</t>
        </is>
      </c>
      <c r="B290" s="5" t="inlineStr">
        <is>
          <t>Scott Patrick Green</t>
        </is>
      </c>
      <c r="C290" s="5" t="inlineStr">
        <is>
          <t>STILLPHOTOGRAPHER</t>
        </is>
      </c>
      <c r="D290" s="5" t="inlineStr">
        <is>
          <t>Local600</t>
        </is>
      </c>
      <c r="E290" s="6" t="n">
        <v>26.5</v>
      </c>
      <c r="F290" s="5" t="n"/>
      <c r="G290" s="5" t="n"/>
      <c r="H290" s="5" t="n"/>
      <c r="I290" s="5" t="n"/>
      <c r="J290" s="7">
        <f>IF(AND(N(F290)&gt;0,N(I290)&gt;0),I290-F290-IF(N(G290)&gt;0,0.5,0)-IF(N(H290)&gt;0,0.5,0),0)</f>
        <v/>
      </c>
      <c r="K290" s="5" t="n"/>
      <c r="L290" s="7">
        <f>MIN(J290,8.0)</f>
        <v/>
      </c>
      <c r="M290" s="7">
        <f>MAX(0,MIN(J290,12)-8.0)</f>
        <v/>
      </c>
      <c r="N290" s="7">
        <f>MAX(0,J290-12)</f>
        <v/>
      </c>
      <c r="O290" s="5" t="n"/>
      <c r="P290" s="6">
        <f>E290*(L290+M290*1.5+N290*2+O290*3+N(K290))</f>
        <v/>
      </c>
      <c r="Q290" s="6" t="n">
        <v>291.5</v>
      </c>
      <c r="R290" s="6">
        <f>Q290-P290</f>
        <v/>
      </c>
    </row>
    <row r="291">
      <c r="P291" s="2" t="inlineStr">
        <is>
          <t>STILLPHOTOGRAPHER LABOR</t>
        </is>
      </c>
      <c r="R291" s="8">
        <f>SUM(R290:R290)</f>
        <v/>
      </c>
    </row>
    <row r="293">
      <c r="B293" s="2" t="inlineStr">
        <is>
          <t>AERIAL/UNDERWATERPHOTOGRAPHY</t>
        </is>
      </c>
    </row>
    <row r="294">
      <c r="A294" s="5" t="inlineStr">
        <is>
          <t>3385</t>
        </is>
      </c>
      <c r="B294" s="5" t="inlineStr"/>
      <c r="C294" s="5" t="inlineStr">
        <is>
          <t>UNDERWATEROPERATOR</t>
        </is>
      </c>
      <c r="D294" s="5" t="inlineStr">
        <is>
          <t>Local600</t>
        </is>
      </c>
      <c r="E294" s="6" t="n">
        <v>65</v>
      </c>
      <c r="F294" s="5" t="n"/>
      <c r="G294" s="5" t="n"/>
      <c r="H294" s="5" t="n"/>
      <c r="I294" s="5" t="n"/>
      <c r="J294" s="7">
        <f>IF(AND(N(F294)&gt;0,N(I294)&gt;0),I294-F294-IF(N(G294)&gt;0,0.5,0)-IF(N(H294)&gt;0,0.5,0),0)</f>
        <v/>
      </c>
      <c r="K294" s="5" t="n"/>
      <c r="L294" s="7">
        <f>MIN(J294,8.0)</f>
        <v/>
      </c>
      <c r="M294" s="7">
        <f>MAX(0,MIN(J294,12)-8.0)</f>
        <v/>
      </c>
      <c r="N294" s="7">
        <f>MAX(0,J294-12)</f>
        <v/>
      </c>
      <c r="O294" s="5" t="n"/>
      <c r="P294" s="6">
        <f>E294*(L294+M294*1.5+N294*2+O294*3+N(K294))</f>
        <v/>
      </c>
      <c r="Q294" s="6" t="n">
        <v>910</v>
      </c>
      <c r="R294" s="6">
        <f>Q294-P294</f>
        <v/>
      </c>
    </row>
    <row r="295">
      <c r="P295" s="2" t="inlineStr">
        <is>
          <t>AERIAL/UNDERWATERPHOTOGRAPHY LABOR</t>
        </is>
      </c>
      <c r="R295" s="8">
        <f>SUM(R294:R294)</f>
        <v/>
      </c>
    </row>
    <row r="297">
      <c r="B297" s="2" t="inlineStr">
        <is>
          <t>SOUNDMIXER</t>
        </is>
      </c>
    </row>
    <row r="298">
      <c r="A298" s="5" t="inlineStr">
        <is>
          <t>3401</t>
        </is>
      </c>
      <c r="B298" s="5" t="inlineStr">
        <is>
          <t>Julian Howarth</t>
        </is>
      </c>
      <c r="C298" s="5" t="inlineStr">
        <is>
          <t>SOUNDMIXER</t>
        </is>
      </c>
      <c r="D298" s="5" t="inlineStr">
        <is>
          <t>Local695</t>
        </is>
      </c>
      <c r="E298" s="6" t="n">
        <v>26.5</v>
      </c>
      <c r="F298" s="5" t="n"/>
      <c r="G298" s="5" t="n"/>
      <c r="H298" s="5" t="n"/>
      <c r="I298" s="5" t="n"/>
      <c r="J298" s="7">
        <f>IF(AND(N(F298)&gt;0,N(I298)&gt;0),I298-F298-IF(N(G298)&gt;0,0.5,0)-IF(N(H298)&gt;0,0.5,0),0)</f>
        <v/>
      </c>
      <c r="K298" s="5" t="n"/>
      <c r="L298" s="7">
        <f>MIN(J298,10.0)</f>
        <v/>
      </c>
      <c r="M298" s="7">
        <f>MAX(0,MIN(J298,12)-10.0)</f>
        <v/>
      </c>
      <c r="N298" s="7">
        <f>MAX(0,J298-12)</f>
        <v/>
      </c>
      <c r="O298" s="5" t="n"/>
      <c r="P298" s="6">
        <f>E298*(L298+M298*1.5+N298*2+O298*3+N(K298))</f>
        <v/>
      </c>
      <c r="Q298" s="6" t="n">
        <v>410.75</v>
      </c>
      <c r="R298" s="6">
        <f>Q298-P298</f>
        <v/>
      </c>
    </row>
    <row r="299">
      <c r="P299" s="2" t="inlineStr">
        <is>
          <t>SOUNDMIXER LABOR</t>
        </is>
      </c>
      <c r="R299" s="8">
        <f>SUM(R298:R298)</f>
        <v/>
      </c>
    </row>
    <row r="301">
      <c r="B301" s="2" t="inlineStr">
        <is>
          <t>BOOMOPERATOR</t>
        </is>
      </c>
    </row>
    <row r="302">
      <c r="A302" s="5" t="inlineStr">
        <is>
          <t>3402</t>
        </is>
      </c>
      <c r="B302" s="5" t="inlineStr">
        <is>
          <t>Tim Song Jones</t>
        </is>
      </c>
      <c r="C302" s="5" t="inlineStr">
        <is>
          <t>BOOMOPERATOR</t>
        </is>
      </c>
      <c r="D302" s="5" t="inlineStr">
        <is>
          <t>Local695</t>
        </is>
      </c>
      <c r="E302" s="6" t="n">
        <v>23.04</v>
      </c>
      <c r="F302" s="5" t="n"/>
      <c r="G302" s="5" t="n"/>
      <c r="H302" s="5" t="n"/>
      <c r="I302" s="5" t="n"/>
      <c r="J302" s="7">
        <f>IF(AND(N(F302)&gt;0,N(I302)&gt;0),I302-F302-IF(N(G302)&gt;0,0.5,0)-IF(N(H302)&gt;0,0.5,0),0)</f>
        <v/>
      </c>
      <c r="K302" s="5" t="n"/>
      <c r="L302" s="7">
        <f>MIN(J302,10.0)</f>
        <v/>
      </c>
      <c r="M302" s="7">
        <f>MAX(0,MIN(J302,12)-10.0)</f>
        <v/>
      </c>
      <c r="N302" s="7">
        <f>MAX(0,J302-12)</f>
        <v/>
      </c>
      <c r="O302" s="5" t="n"/>
      <c r="P302" s="6">
        <f>E302*(L302+M302*1.5+N302*2+O302*3+N(K302))</f>
        <v/>
      </c>
      <c r="Q302" s="6" t="n">
        <v>357.12</v>
      </c>
      <c r="R302" s="6">
        <f>Q302-P302</f>
        <v/>
      </c>
    </row>
    <row r="303">
      <c r="P303" s="2" t="inlineStr">
        <is>
          <t>BOOMOPERATOR LABOR</t>
        </is>
      </c>
      <c r="R303" s="8">
        <f>SUM(R302:R302)</f>
        <v/>
      </c>
    </row>
    <row r="305">
      <c r="B305" s="2" t="inlineStr">
        <is>
          <t>CABLEPERSON</t>
        </is>
      </c>
    </row>
    <row r="306">
      <c r="A306" s="5" t="inlineStr">
        <is>
          <t>3403</t>
        </is>
      </c>
      <c r="B306" s="5" t="inlineStr"/>
      <c r="C306" s="5" t="inlineStr">
        <is>
          <t>UTILITYSOUND</t>
        </is>
      </c>
      <c r="D306" s="5" t="inlineStr">
        <is>
          <t>Local695</t>
        </is>
      </c>
      <c r="E306" s="6" t="n">
        <v>20.57</v>
      </c>
      <c r="F306" s="5" t="n"/>
      <c r="G306" s="5" t="n"/>
      <c r="H306" s="5" t="n"/>
      <c r="I306" s="5" t="n"/>
      <c r="J306" s="7">
        <f>IF(AND(N(F306)&gt;0,N(I306)&gt;0),I306-F306-IF(N(G306)&gt;0,0.5,0)-IF(N(H306)&gt;0,0.5,0),0)</f>
        <v/>
      </c>
      <c r="K306" s="5" t="n"/>
      <c r="L306" s="7">
        <f>MIN(J306,10.0)</f>
        <v/>
      </c>
      <c r="M306" s="7">
        <f>MAX(0,MIN(J306,12)-10.0)</f>
        <v/>
      </c>
      <c r="N306" s="7">
        <f>MAX(0,J306-12)</f>
        <v/>
      </c>
      <c r="O306" s="5" t="n"/>
      <c r="P306" s="6">
        <f>E306*(L306+M306*1.5+N306*2+O306*3+N(K306))</f>
        <v/>
      </c>
      <c r="Q306" s="6" t="n">
        <v>318.83</v>
      </c>
      <c r="R306" s="6">
        <f>Q306-P306</f>
        <v/>
      </c>
    </row>
    <row r="307">
      <c r="P307" s="2" t="inlineStr">
        <is>
          <t>CABLEPERSON LABOR</t>
        </is>
      </c>
      <c r="R307" s="8">
        <f>SUM(R306:R306)</f>
        <v/>
      </c>
    </row>
    <row r="309">
      <c r="B309" s="2" t="inlineStr">
        <is>
          <t>VIDEOASSIST</t>
        </is>
      </c>
    </row>
    <row r="310">
      <c r="A310" s="5" t="inlineStr">
        <is>
          <t>3404</t>
        </is>
      </c>
      <c r="B310" s="5" t="inlineStr">
        <is>
          <t>Jeff Snyder</t>
        </is>
      </c>
      <c r="C310" s="5" t="inlineStr">
        <is>
          <t>VIDEOASSISTOPERATOR</t>
        </is>
      </c>
      <c r="D310" s="5" t="inlineStr">
        <is>
          <t>Local695</t>
        </is>
      </c>
      <c r="E310" s="6" t="n">
        <v>23.04</v>
      </c>
      <c r="F310" s="5" t="n"/>
      <c r="G310" s="5" t="n"/>
      <c r="H310" s="5" t="n"/>
      <c r="I310" s="5" t="n"/>
      <c r="J310" s="7">
        <f>IF(AND(N(F310)&gt;0,N(I310)&gt;0),I310-F310-IF(N(G310)&gt;0,0.5,0)-IF(N(H310)&gt;0,0.5,0),0)</f>
        <v/>
      </c>
      <c r="K310" s="5" t="n"/>
      <c r="L310" s="7">
        <f>MIN(J310,10.0)</f>
        <v/>
      </c>
      <c r="M310" s="7">
        <f>MAX(0,MIN(J310,12)-10.0)</f>
        <v/>
      </c>
      <c r="N310" s="7">
        <f>MAX(0,J310-12)</f>
        <v/>
      </c>
      <c r="O310" s="5" t="n"/>
      <c r="P310" s="6">
        <f>E310*(L310+M310*1.5+N310*2+O310*3+N(K310))</f>
        <v/>
      </c>
      <c r="Q310" s="6" t="n">
        <v>357.12</v>
      </c>
      <c r="R310" s="6">
        <f>Q310-P310</f>
        <v/>
      </c>
    </row>
    <row r="311">
      <c r="P311" s="2" t="inlineStr">
        <is>
          <t>VIDEOASSIST LABOR</t>
        </is>
      </c>
      <c r="R311" s="8">
        <f>SUM(R310:R310)</f>
        <v/>
      </c>
    </row>
    <row r="313">
      <c r="B313" s="2" t="inlineStr">
        <is>
          <t>CAPTAIN</t>
        </is>
      </c>
    </row>
    <row r="314">
      <c r="A314" s="5" t="inlineStr">
        <is>
          <t>3502</t>
        </is>
      </c>
      <c r="B314" s="5" t="inlineStr">
        <is>
          <t>Kevin Caira</t>
        </is>
      </c>
      <c r="C314" s="5" t="inlineStr">
        <is>
          <t>TRANSPOCAPTAIN(LA)</t>
        </is>
      </c>
      <c r="D314" s="5" t="inlineStr">
        <is>
          <t>Local399</t>
        </is>
      </c>
      <c r="E314" s="6" t="n">
        <v>37.21</v>
      </c>
      <c r="F314" s="5" t="n"/>
      <c r="G314" s="5" t="n"/>
      <c r="H314" s="5" t="n"/>
      <c r="I314" s="5" t="n"/>
      <c r="J314" s="7">
        <f>IF(AND(N(F314)&gt;0,N(I314)&gt;0),I314-F314-IF(N(G314)&gt;0,0.5,0)-IF(N(H314)&gt;0,0.5,0),0)</f>
        <v/>
      </c>
      <c r="K314" s="5" t="n"/>
      <c r="L314" s="7">
        <f>MIN(J314,8.0)</f>
        <v/>
      </c>
      <c r="M314" s="7">
        <f>MAX(0,MIN(J314,12)-8.0)</f>
        <v/>
      </c>
      <c r="N314" s="7">
        <f>MAX(0,J314-12)</f>
        <v/>
      </c>
      <c r="O314" s="5" t="n"/>
      <c r="P314" s="6">
        <f>E314*(L314+M314*1.5+N314*2+O314*3+N(K314))</f>
        <v/>
      </c>
      <c r="Q314" s="6" t="n">
        <v>651.17</v>
      </c>
      <c r="R314" s="6">
        <f>Q314-P314</f>
        <v/>
      </c>
    </row>
    <row r="315">
      <c r="A315" s="5" t="inlineStr">
        <is>
          <t>3502</t>
        </is>
      </c>
      <c r="B315" s="5" t="inlineStr">
        <is>
          <t>Tina Peterson</t>
        </is>
      </c>
      <c r="C315" s="5" t="inlineStr">
        <is>
          <t>CO-CAPTAIN</t>
        </is>
      </c>
      <c r="D315" s="5" t="inlineStr">
        <is>
          <t>Local399</t>
        </is>
      </c>
      <c r="E315" s="6" t="n">
        <v>37.21</v>
      </c>
      <c r="F315" s="5" t="n"/>
      <c r="G315" s="5" t="n"/>
      <c r="H315" s="5" t="n"/>
      <c r="I315" s="5" t="n"/>
      <c r="J315" s="7">
        <f>IF(AND(N(F315)&gt;0,N(I315)&gt;0),I315-F315-IF(N(G315)&gt;0,0.5,0)-IF(N(H315)&gt;0,0.5,0),0)</f>
        <v/>
      </c>
      <c r="K315" s="5" t="n"/>
      <c r="L315" s="7">
        <f>MIN(J315,8.0)</f>
        <v/>
      </c>
      <c r="M315" s="7">
        <f>MAX(0,MIN(J315,12)-8.0)</f>
        <v/>
      </c>
      <c r="N315" s="7">
        <f>MAX(0,J315-12)</f>
        <v/>
      </c>
      <c r="O315" s="5" t="n"/>
      <c r="P315" s="6">
        <f>E315*(L315+M315*1.5+N315*2+O315*3+N(K315))</f>
        <v/>
      </c>
      <c r="Q315" s="6" t="n">
        <v>576.75</v>
      </c>
      <c r="R315" s="6">
        <f>Q315-P315</f>
        <v/>
      </c>
    </row>
    <row r="316">
      <c r="P316" s="2" t="inlineStr">
        <is>
          <t>CAPTAIN LABOR</t>
        </is>
      </c>
      <c r="R316" s="8">
        <f>SUM(R314:R315)</f>
        <v/>
      </c>
    </row>
    <row r="318">
      <c r="B318" s="2" t="inlineStr">
        <is>
          <t>DRIVERS</t>
        </is>
      </c>
    </row>
    <row r="319">
      <c r="A319" s="5" t="inlineStr">
        <is>
          <t>3503</t>
        </is>
      </c>
      <c r="B319" s="5" t="inlineStr"/>
      <c r="C319" s="5" t="inlineStr">
        <is>
          <t>GRIPTRUCK 48'TRACTORTRAILERDRIVER</t>
        </is>
      </c>
      <c r="D319" s="5" t="inlineStr"/>
      <c r="E319" s="6" t="n">
        <v>32.36</v>
      </c>
      <c r="F319" s="5" t="n"/>
      <c r="G319" s="5" t="n"/>
      <c r="H319" s="5" t="n"/>
      <c r="I319" s="5" t="n"/>
      <c r="J319" s="7">
        <f>IF(AND(N(F319)&gt;0,N(I319)&gt;0),I319-F319-IF(N(G319)&gt;0,0.5,0)-IF(N(H319)&gt;0,0.5,0),0)</f>
        <v/>
      </c>
      <c r="K319" s="5" t="n"/>
      <c r="L319" s="7">
        <f>MIN(J319,8.0)</f>
        <v/>
      </c>
      <c r="M319" s="7">
        <f>MAX(0,MIN(J319,12)-8.0)</f>
        <v/>
      </c>
      <c r="N319" s="7">
        <f>MAX(0,J319-12)</f>
        <v/>
      </c>
      <c r="O319" s="5" t="n"/>
      <c r="P319" s="6">
        <f>E319*(L319+M319*1.5+N319*2+O319*3+N(K319))</f>
        <v/>
      </c>
      <c r="Q319" s="6" t="n">
        <v>501.58</v>
      </c>
      <c r="R319" s="6">
        <f>Q319-P319</f>
        <v/>
      </c>
    </row>
    <row r="320">
      <c r="A320" s="5" t="inlineStr">
        <is>
          <t>3503</t>
        </is>
      </c>
      <c r="B320" s="5" t="inlineStr">
        <is>
          <t>Donald Wilson</t>
        </is>
      </c>
      <c r="C320" s="5" t="inlineStr">
        <is>
          <t>PROP 5-TON(ENCLOSED)</t>
        </is>
      </c>
      <c r="D320" s="5" t="inlineStr"/>
      <c r="E320" s="6" t="n">
        <v>32.36</v>
      </c>
      <c r="F320" s="5" t="n"/>
      <c r="G320" s="5" t="n"/>
      <c r="H320" s="5" t="n"/>
      <c r="I320" s="5" t="n"/>
      <c r="J320" s="7">
        <f>IF(AND(N(F320)&gt;0,N(I320)&gt;0),I320-F320-IF(N(G320)&gt;0,0.5,0)-IF(N(H320)&gt;0,0.5,0),0)</f>
        <v/>
      </c>
      <c r="K320" s="5" t="n"/>
      <c r="L320" s="7">
        <f>MIN(J320,8.0)</f>
        <v/>
      </c>
      <c r="M320" s="7">
        <f>MAX(0,MIN(J320,12)-8.0)</f>
        <v/>
      </c>
      <c r="N320" s="7">
        <f>MAX(0,J320-12)</f>
        <v/>
      </c>
      <c r="O320" s="5" t="n"/>
      <c r="P320" s="6">
        <f>E320*(L320+M320*1.5+N320*2+O320*3+N(K320))</f>
        <v/>
      </c>
      <c r="Q320" s="6" t="n">
        <v>501.58</v>
      </c>
      <c r="R320" s="6">
        <f>Q320-P320</f>
        <v/>
      </c>
    </row>
    <row r="321">
      <c r="A321" s="5" t="inlineStr">
        <is>
          <t>3503</t>
        </is>
      </c>
      <c r="B321" s="5" t="inlineStr"/>
      <c r="C321" s="5" t="inlineStr">
        <is>
          <t>WARDROBESTAKEBEDDRIVER#1</t>
        </is>
      </c>
      <c r="D321" s="5" t="inlineStr"/>
      <c r="E321" s="6" t="n">
        <v>37.99</v>
      </c>
      <c r="F321" s="5" t="n"/>
      <c r="G321" s="5" t="n"/>
      <c r="H321" s="5" t="n"/>
      <c r="I321" s="5" t="n"/>
      <c r="J321" s="7">
        <f>IF(AND(N(F321)&gt;0,N(I321)&gt;0),I321-F321-IF(N(G321)&gt;0,0.5,0)-IF(N(H321)&gt;0,0.5,0),0)</f>
        <v/>
      </c>
      <c r="K321" s="5" t="n"/>
      <c r="L321" s="7">
        <f>MIN(J321,8.0)</f>
        <v/>
      </c>
      <c r="M321" s="7">
        <f>MAX(0,MIN(J321,12)-8.0)</f>
        <v/>
      </c>
      <c r="N321" s="7">
        <f>MAX(0,J321-12)</f>
        <v/>
      </c>
      <c r="O321" s="5" t="n"/>
      <c r="P321" s="6">
        <f>E321*(L321+M321*1.5+N321*2+O321*3+N(K321))</f>
        <v/>
      </c>
      <c r="Q321" s="6" t="n">
        <v>588.85</v>
      </c>
      <c r="R321" s="6">
        <f>Q321-P321</f>
        <v/>
      </c>
    </row>
    <row r="322">
      <c r="A322" s="5" t="inlineStr">
        <is>
          <t>3503</t>
        </is>
      </c>
      <c r="B322" s="5" t="inlineStr"/>
      <c r="C322" s="5" t="inlineStr">
        <is>
          <t>MAKEUPHAIRTRAILERDRIVER</t>
        </is>
      </c>
      <c r="D322" s="5" t="inlineStr"/>
      <c r="E322" s="6" t="n">
        <v>32.36</v>
      </c>
      <c r="F322" s="5" t="n"/>
      <c r="G322" s="5" t="n"/>
      <c r="H322" s="5" t="n"/>
      <c r="I322" s="5" t="n"/>
      <c r="J322" s="7">
        <f>IF(AND(N(F322)&gt;0,N(I322)&gt;0),I322-F322-IF(N(G322)&gt;0,0.5,0)-IF(N(H322)&gt;0,0.5,0),0)</f>
        <v/>
      </c>
      <c r="K322" s="5" t="n"/>
      <c r="L322" s="7">
        <f>MIN(J322,8.0)</f>
        <v/>
      </c>
      <c r="M322" s="7">
        <f>MAX(0,MIN(J322,12)-8.0)</f>
        <v/>
      </c>
      <c r="N322" s="7">
        <f>MAX(0,J322-12)</f>
        <v/>
      </c>
      <c r="O322" s="5" t="n"/>
      <c r="P322" s="6">
        <f>E322*(L322+M322*1.5+N322*2+O322*3+N(K322))</f>
        <v/>
      </c>
      <c r="Q322" s="6" t="n">
        <v>501.58</v>
      </c>
      <c r="R322" s="6">
        <f>Q322-P322</f>
        <v/>
      </c>
    </row>
    <row r="323">
      <c r="A323" s="5" t="inlineStr">
        <is>
          <t>3503</t>
        </is>
      </c>
      <c r="B323" s="5" t="inlineStr"/>
      <c r="C323" s="5" t="inlineStr">
        <is>
          <t>ELECTRIC 10TONDRIVER(GENIEOPERATOR)</t>
        </is>
      </c>
      <c r="D323" s="5" t="inlineStr"/>
      <c r="E323" s="6" t="n">
        <v>37.99</v>
      </c>
      <c r="F323" s="5" t="n"/>
      <c r="G323" s="5" t="n"/>
      <c r="H323" s="5" t="n"/>
      <c r="I323" s="5" t="n"/>
      <c r="J323" s="7">
        <f>IF(AND(N(F323)&gt;0,N(I323)&gt;0),I323-F323-IF(N(G323)&gt;0,0.5,0)-IF(N(H323)&gt;0,0.5,0),0)</f>
        <v/>
      </c>
      <c r="K323" s="5" t="n"/>
      <c r="L323" s="7">
        <f>MIN(J323,8.0)</f>
        <v/>
      </c>
      <c r="M323" s="7">
        <f>MAX(0,MIN(J323,12)-8.0)</f>
        <v/>
      </c>
      <c r="N323" s="7">
        <f>MAX(0,J323-12)</f>
        <v/>
      </c>
      <c r="O323" s="5" t="n"/>
      <c r="P323" s="6">
        <f>E323*(L323+M323*1.5+N323*2+O323*3+N(K323))</f>
        <v/>
      </c>
      <c r="Q323" s="6" t="n">
        <v>588.85</v>
      </c>
      <c r="R323" s="6">
        <f>Q323-P323</f>
        <v/>
      </c>
    </row>
    <row r="324">
      <c r="A324" s="5" t="inlineStr">
        <is>
          <t>3503</t>
        </is>
      </c>
      <c r="B324" s="5" t="inlineStr"/>
      <c r="C324" s="5" t="inlineStr">
        <is>
          <t>SOUNDCCSTAKEBEDFUELTRUCKDRIVER</t>
        </is>
      </c>
      <c r="D324" s="5" t="inlineStr"/>
      <c r="E324" s="6" t="n">
        <v>32.36</v>
      </c>
      <c r="F324" s="5" t="n"/>
      <c r="G324" s="5" t="n"/>
      <c r="H324" s="5" t="n"/>
      <c r="I324" s="5" t="n"/>
      <c r="J324" s="7">
        <f>IF(AND(N(F324)&gt;0,N(I324)&gt;0),I324-F324-IF(N(G324)&gt;0,0.5,0)-IF(N(H324)&gt;0,0.5,0),0)</f>
        <v/>
      </c>
      <c r="K324" s="5" t="n"/>
      <c r="L324" s="7">
        <f>MIN(J324,8.0)</f>
        <v/>
      </c>
      <c r="M324" s="7">
        <f>MAX(0,MIN(J324,12)-8.0)</f>
        <v/>
      </c>
      <c r="N324" s="7">
        <f>MAX(0,J324-12)</f>
        <v/>
      </c>
      <c r="O324" s="5" t="n"/>
      <c r="P324" s="6">
        <f>E324*(L324+M324*1.5+N324*2+O324*3+N(K324))</f>
        <v/>
      </c>
      <c r="Q324" s="6" t="n">
        <v>501.58</v>
      </c>
      <c r="R324" s="6">
        <f>Q324-P324</f>
        <v/>
      </c>
    </row>
    <row r="325">
      <c r="A325" s="5" t="inlineStr">
        <is>
          <t>3503</t>
        </is>
      </c>
      <c r="B325" s="5" t="inlineStr"/>
      <c r="C325" s="5" t="inlineStr">
        <is>
          <t>9-ROOMHONEYWAGONTRACTORDRIVER</t>
        </is>
      </c>
      <c r="D325" s="5" t="inlineStr"/>
      <c r="E325" s="6" t="n">
        <v>32.36</v>
      </c>
      <c r="F325" s="5" t="n"/>
      <c r="G325" s="5" t="n"/>
      <c r="H325" s="5" t="n"/>
      <c r="I325" s="5" t="n"/>
      <c r="J325" s="7">
        <f>IF(AND(N(F325)&gt;0,N(I325)&gt;0),I325-F325-IF(N(G325)&gt;0,0.5,0)-IF(N(H325)&gt;0,0.5,0),0)</f>
        <v/>
      </c>
      <c r="K325" s="5" t="n"/>
      <c r="L325" s="7">
        <f>MIN(J325,8.0)</f>
        <v/>
      </c>
      <c r="M325" s="7">
        <f>MAX(0,MIN(J325,12)-8.0)</f>
        <v/>
      </c>
      <c r="N325" s="7">
        <f>MAX(0,J325-12)</f>
        <v/>
      </c>
      <c r="O325" s="5" t="n"/>
      <c r="P325" s="6">
        <f>E325*(L325+M325*1.5+N325*2+O325*3+N(K325))</f>
        <v/>
      </c>
      <c r="Q325" s="6" t="n">
        <v>501.58</v>
      </c>
      <c r="R325" s="6">
        <f>Q325-P325</f>
        <v/>
      </c>
    </row>
    <row r="326">
      <c r="A326" s="5" t="inlineStr">
        <is>
          <t>3503</t>
        </is>
      </c>
      <c r="B326" s="5" t="inlineStr"/>
      <c r="C326" s="5" t="inlineStr">
        <is>
          <t>FORDTRANSITVANDRIVER#1</t>
        </is>
      </c>
      <c r="D326" s="5" t="inlineStr"/>
      <c r="E326" s="6" t="n">
        <v>32.36</v>
      </c>
      <c r="F326" s="5" t="n"/>
      <c r="G326" s="5" t="n"/>
      <c r="H326" s="5" t="n"/>
      <c r="I326" s="5" t="n"/>
      <c r="J326" s="7">
        <f>IF(AND(N(F326)&gt;0,N(I326)&gt;0),I326-F326-IF(N(G326)&gt;0,0.5,0)-IF(N(H326)&gt;0,0.5,0),0)</f>
        <v/>
      </c>
      <c r="K326" s="5" t="n"/>
      <c r="L326" s="7">
        <f>MIN(J326,8.0)</f>
        <v/>
      </c>
      <c r="M326" s="7">
        <f>MAX(0,MIN(J326,12)-8.0)</f>
        <v/>
      </c>
      <c r="N326" s="7">
        <f>MAX(0,J326-12)</f>
        <v/>
      </c>
      <c r="O326" s="5" t="n"/>
      <c r="P326" s="6">
        <f>E326*(L326+M326*1.5+N326*2+O326*3+N(K326))</f>
        <v/>
      </c>
      <c r="Q326" s="6" t="n">
        <v>501.58</v>
      </c>
      <c r="R326" s="6">
        <f>Q326-P326</f>
        <v/>
      </c>
    </row>
    <row r="327">
      <c r="A327" s="5" t="inlineStr">
        <is>
          <t>3503</t>
        </is>
      </c>
      <c r="B327" s="5" t="inlineStr">
        <is>
          <t>Kaiser Clark</t>
        </is>
      </c>
      <c r="C327" s="5" t="inlineStr">
        <is>
          <t>CSETDECTRUCKDRIVER#1</t>
        </is>
      </c>
      <c r="D327" s="5" t="inlineStr"/>
      <c r="E327" s="6" t="n">
        <v>32.36</v>
      </c>
      <c r="F327" s="5" t="n"/>
      <c r="G327" s="5" t="n"/>
      <c r="H327" s="5" t="n"/>
      <c r="I327" s="5" t="n"/>
      <c r="J327" s="7">
        <f>IF(AND(N(F327)&gt;0,N(I327)&gt;0),I327-F327-IF(N(G327)&gt;0,0.5,0)-IF(N(H327)&gt;0,0.5,0),0)</f>
        <v/>
      </c>
      <c r="K327" s="5" t="n"/>
      <c r="L327" s="7">
        <f>MIN(J327,8.0)</f>
        <v/>
      </c>
      <c r="M327" s="7">
        <f>MAX(0,MIN(J327,12)-8.0)</f>
        <v/>
      </c>
      <c r="N327" s="7">
        <f>MAX(0,J327-12)</f>
        <v/>
      </c>
      <c r="O327" s="5" t="n"/>
      <c r="P327" s="6">
        <f>E327*(L327+M327*1.5+N327*2+O327*3+N(K327))</f>
        <v/>
      </c>
      <c r="Q327" s="6" t="n">
        <v>501.58</v>
      </c>
      <c r="R327" s="6">
        <f>Q327-P327</f>
        <v/>
      </c>
    </row>
    <row r="328">
      <c r="A328" s="5" t="inlineStr">
        <is>
          <t>3503</t>
        </is>
      </c>
      <c r="B328" s="5" t="inlineStr"/>
      <c r="C328" s="5" t="inlineStr">
        <is>
          <t>C 5-TONENCLOSEDRIGGINGGRIPDRIVER</t>
        </is>
      </c>
      <c r="D328" s="5" t="inlineStr"/>
      <c r="E328" s="6" t="n">
        <v>32.36</v>
      </c>
      <c r="F328" s="5" t="n"/>
      <c r="G328" s="5" t="n"/>
      <c r="H328" s="5" t="n"/>
      <c r="I328" s="5" t="n"/>
      <c r="J328" s="7">
        <f>IF(AND(N(F328)&gt;0,N(I328)&gt;0),I328-F328-IF(N(G328)&gt;0,0.5,0)-IF(N(H328)&gt;0,0.5,0),0)</f>
        <v/>
      </c>
      <c r="K328" s="5" t="n"/>
      <c r="L328" s="7">
        <f>MIN(J328,8.0)</f>
        <v/>
      </c>
      <c r="M328" s="7">
        <f>MAX(0,MIN(J328,12)-8.0)</f>
        <v/>
      </c>
      <c r="N328" s="7">
        <f>MAX(0,J328-12)</f>
        <v/>
      </c>
      <c r="O328" s="5" t="n"/>
      <c r="P328" s="6">
        <f>E328*(L328+M328*1.5+N328*2+O328*3+N(K328))</f>
        <v/>
      </c>
      <c r="Q328" s="5" t="n"/>
      <c r="R328" s="6">
        <f>Q328-P328</f>
        <v/>
      </c>
    </row>
    <row r="329">
      <c r="A329" s="5" t="inlineStr">
        <is>
          <t>3503</t>
        </is>
      </c>
      <c r="B329" s="5" t="inlineStr"/>
      <c r="C329" s="5" t="inlineStr">
        <is>
          <t>SCOUTBUS</t>
        </is>
      </c>
      <c r="D329" s="5" t="inlineStr"/>
      <c r="E329" s="6" t="n">
        <v>32.36</v>
      </c>
      <c r="F329" s="5" t="n"/>
      <c r="G329" s="5" t="n"/>
      <c r="H329" s="5" t="n"/>
      <c r="I329" s="5" t="n"/>
      <c r="J329" s="7">
        <f>IF(AND(N(F329)&gt;0,N(I329)&gt;0),I329-F329-IF(N(G329)&gt;0,0.5,0)-IF(N(H329)&gt;0,0.5,0),0)</f>
        <v/>
      </c>
      <c r="K329" s="5" t="n"/>
      <c r="L329" s="7">
        <f>MIN(J329,8.0)</f>
        <v/>
      </c>
      <c r="M329" s="7">
        <f>MAX(0,MIN(J329,12)-8.0)</f>
        <v/>
      </c>
      <c r="N329" s="7">
        <f>MAX(0,J329-12)</f>
        <v/>
      </c>
      <c r="O329" s="5" t="n"/>
      <c r="P329" s="6">
        <f>E329*(L329+M329*1.5+N329*2+O329*3+N(K329))</f>
        <v/>
      </c>
      <c r="Q329" s="5" t="n"/>
      <c r="R329" s="6">
        <f>Q329-P329</f>
        <v/>
      </c>
    </row>
    <row r="330">
      <c r="A330" s="5" t="inlineStr">
        <is>
          <t>3503</t>
        </is>
      </c>
      <c r="B330" s="5" t="inlineStr"/>
      <c r="C330" s="5" t="inlineStr">
        <is>
          <t>DRIVERMANDAYS</t>
        </is>
      </c>
      <c r="D330" s="5" t="inlineStr"/>
      <c r="E330" s="6" t="n">
        <v>32.36</v>
      </c>
      <c r="F330" s="5" t="n"/>
      <c r="G330" s="5" t="n"/>
      <c r="H330" s="5" t="n"/>
      <c r="I330" s="5" t="n"/>
      <c r="J330" s="7">
        <f>IF(AND(N(F330)&gt;0,N(I330)&gt;0),I330-F330-IF(N(G330)&gt;0,0.5,0)-IF(N(H330)&gt;0,0.5,0),0)</f>
        <v/>
      </c>
      <c r="K330" s="5" t="n"/>
      <c r="L330" s="7">
        <f>MIN(J330,8.0)</f>
        <v/>
      </c>
      <c r="M330" s="7">
        <f>MAX(0,MIN(J330,12)-8.0)</f>
        <v/>
      </c>
      <c r="N330" s="7">
        <f>MAX(0,J330-12)</f>
        <v/>
      </c>
      <c r="O330" s="5" t="n"/>
      <c r="P330" s="6">
        <f>E330*(L330+M330*1.5+N330*2+O330*3+N(K330))</f>
        <v/>
      </c>
      <c r="Q330" s="5" t="n"/>
      <c r="R330" s="6">
        <f>Q330-P330</f>
        <v/>
      </c>
    </row>
    <row r="331">
      <c r="P331" s="2" t="inlineStr">
        <is>
          <t>DRIVERS LABOR</t>
        </is>
      </c>
      <c r="R331" s="8">
        <f>SUM(R319:R330)</f>
        <v/>
      </c>
    </row>
    <row r="333">
      <c r="B333" s="2" t="inlineStr">
        <is>
          <t>LOCATIONSITEFEES</t>
        </is>
      </c>
    </row>
    <row r="334">
      <c r="A334" s="5" t="inlineStr">
        <is>
          <t>3607</t>
        </is>
      </c>
      <c r="B334" s="5" t="inlineStr"/>
      <c r="C334" s="5" t="inlineStr">
        <is>
          <t>Location#1(Hospital ER, LACountry Childrens Shelter, Shelter Dorm, Dept...</t>
        </is>
      </c>
      <c r="D334" s="5" t="inlineStr">
        <is>
          <t>Local400</t>
        </is>
      </c>
      <c r="E334" s="6" t="n">
        <v>50000</v>
      </c>
      <c r="F334" s="5" t="n"/>
      <c r="G334" s="5" t="n"/>
      <c r="H334" s="5" t="n"/>
      <c r="I334" s="5" t="n"/>
      <c r="J334" s="7">
        <f>IF(AND(N(F334)&gt;0,N(I334)&gt;0),I334-F334-IF(N(G334)&gt;0,0.5,0)-IF(N(H334)&gt;0,0.5,0),0)</f>
        <v/>
      </c>
      <c r="K334" s="5" t="n"/>
      <c r="L334" s="7">
        <f>MIN(J334,8.0)</f>
        <v/>
      </c>
      <c r="M334" s="7">
        <f>MAX(0,MIN(J334,12)-8.0)</f>
        <v/>
      </c>
      <c r="N334" s="7">
        <f>MAX(0,J334-12)</f>
        <v/>
      </c>
      <c r="O334" s="5" t="n"/>
      <c r="P334" s="6">
        <f>E334*(L334+M334*1.5+N334*2+O334*3+N(K334))</f>
        <v/>
      </c>
      <c r="Q334" s="6" t="n">
        <v>50000</v>
      </c>
      <c r="R334" s="6">
        <f>Q334-P334</f>
        <v/>
      </c>
    </row>
    <row r="335">
      <c r="P335" s="2" t="inlineStr">
        <is>
          <t>LOCATIONSITEFEES LABOR</t>
        </is>
      </c>
      <c r="R335" s="8">
        <f>SUM(R334:R334)</f>
        <v/>
      </c>
    </row>
    <row r="337">
      <c r="B337" s="2" t="inlineStr">
        <is>
          <t>CATERINGLABOR</t>
        </is>
      </c>
    </row>
    <row r="338">
      <c r="A338" s="5" t="inlineStr">
        <is>
          <t>3621</t>
        </is>
      </c>
      <c r="B338" s="5" t="inlineStr"/>
      <c r="C338" s="5" t="inlineStr">
        <is>
          <t>COOKDRIVER#1</t>
        </is>
      </c>
      <c r="D338" s="5" t="inlineStr">
        <is>
          <t>Local399</t>
        </is>
      </c>
      <c r="E338" s="6" t="n">
        <v>32.36</v>
      </c>
      <c r="F338" s="5" t="n"/>
      <c r="G338" s="5" t="n"/>
      <c r="H338" s="5" t="n"/>
      <c r="I338" s="5" t="n"/>
      <c r="J338" s="7">
        <f>IF(AND(N(F338)&gt;0,N(I338)&gt;0),I338-F338-IF(N(G338)&gt;0,0.5,0)-IF(N(H338)&gt;0,0.5,0),0)</f>
        <v/>
      </c>
      <c r="K338" s="5" t="n"/>
      <c r="L338" s="7">
        <f>MIN(J338,8.0)</f>
        <v/>
      </c>
      <c r="M338" s="7">
        <f>MAX(0,MIN(J338,12)-8.0)</f>
        <v/>
      </c>
      <c r="N338" s="7">
        <f>MAX(0,J338-12)</f>
        <v/>
      </c>
      <c r="O338" s="5" t="n"/>
      <c r="P338" s="6">
        <f>E338*(L338+M338*1.5+N338*2+O338*3+N(K338))</f>
        <v/>
      </c>
      <c r="Q338" s="6" t="n">
        <v>647.2</v>
      </c>
      <c r="R338" s="6">
        <f>Q338-P338</f>
        <v/>
      </c>
    </row>
    <row r="339">
      <c r="A339" s="5" t="inlineStr">
        <is>
          <t>3621</t>
        </is>
      </c>
      <c r="B339" s="5" t="inlineStr"/>
      <c r="C339" s="5" t="inlineStr">
        <is>
          <t>1STASSTCATERER#1</t>
        </is>
      </c>
      <c r="D339" s="5" t="inlineStr"/>
      <c r="E339" s="6" t="n">
        <v>17</v>
      </c>
      <c r="F339" s="5" t="n"/>
      <c r="G339" s="5" t="n"/>
      <c r="H339" s="5" t="n"/>
      <c r="I339" s="5" t="n"/>
      <c r="J339" s="7">
        <f>IF(AND(N(F339)&gt;0,N(I339)&gt;0),I339-F339-IF(N(G339)&gt;0,0.5,0)-IF(N(H339)&gt;0,0.5,0),0)</f>
        <v/>
      </c>
      <c r="K339" s="5" t="n"/>
      <c r="L339" s="7">
        <f>MIN(J339,8.0)</f>
        <v/>
      </c>
      <c r="M339" s="7">
        <f>MAX(0,MIN(J339,12)-8.0)</f>
        <v/>
      </c>
      <c r="N339" s="7">
        <f>MAX(0,J339-12)</f>
        <v/>
      </c>
      <c r="O339" s="5" t="n"/>
      <c r="P339" s="6">
        <f>E339*(L339+M339*1.5+N339*2+O339*3+N(K339))</f>
        <v/>
      </c>
      <c r="Q339" s="6" t="n">
        <v>340</v>
      </c>
      <c r="R339" s="6">
        <f>Q339-P339</f>
        <v/>
      </c>
    </row>
    <row r="340">
      <c r="A340" s="5" t="inlineStr">
        <is>
          <t>3621</t>
        </is>
      </c>
      <c r="B340" s="5" t="inlineStr"/>
      <c r="C340" s="5" t="inlineStr">
        <is>
          <t>1STASSTCATERER#2</t>
        </is>
      </c>
      <c r="D340" s="5" t="inlineStr"/>
      <c r="E340" s="6" t="n">
        <v>16</v>
      </c>
      <c r="F340" s="5" t="n"/>
      <c r="G340" s="5" t="n"/>
      <c r="H340" s="5" t="n"/>
      <c r="I340" s="5" t="n"/>
      <c r="J340" s="7">
        <f>IF(AND(N(F340)&gt;0,N(I340)&gt;0),I340-F340-IF(N(G340)&gt;0,0.5,0)-IF(N(H340)&gt;0,0.5,0),0)</f>
        <v/>
      </c>
      <c r="K340" s="5" t="n"/>
      <c r="L340" s="7">
        <f>MIN(J340,8.0)</f>
        <v/>
      </c>
      <c r="M340" s="7">
        <f>MAX(0,MIN(J340,12)-8.0)</f>
        <v/>
      </c>
      <c r="N340" s="7">
        <f>MAX(0,J340-12)</f>
        <v/>
      </c>
      <c r="O340" s="5" t="n"/>
      <c r="P340" s="6">
        <f>E340*(L340+M340*1.5+N340*2+O340*3+N(K340))</f>
        <v/>
      </c>
      <c r="Q340" s="6" t="n">
        <v>320</v>
      </c>
      <c r="R340" s="6">
        <f>Q340-P340</f>
        <v/>
      </c>
    </row>
    <row r="341">
      <c r="P341" s="2" t="inlineStr">
        <is>
          <t>CATERINGLABOR LABOR</t>
        </is>
      </c>
      <c r="R341" s="8">
        <f>SUM(R338:R340)</f>
        <v/>
      </c>
    </row>
    <row r="343">
      <c r="K343" s="9" t="inlineStr">
        <is>
          <t>TOTAL</t>
        </is>
      </c>
      <c r="P343" s="9" t="inlineStr">
        <is>
          <t>ACTUAL</t>
        </is>
      </c>
      <c r="Q343" s="9" t="inlineStr">
        <is>
          <t>BUDGET</t>
        </is>
      </c>
      <c r="R343" s="9" t="inlineStr">
        <is>
          <t>TOTAL VAR</t>
        </is>
      </c>
    </row>
    <row r="344">
      <c r="P344" s="9" t="inlineStr">
        <is>
          <t>DAY COST</t>
        </is>
      </c>
      <c r="Q344" s="9" t="inlineStr">
        <is>
          <t>DY COST</t>
        </is>
      </c>
      <c r="R344" s="9" t="inlineStr">
        <is>
          <t>(OVER) / UNDER</t>
        </is>
      </c>
    </row>
    <row r="345">
      <c r="P345" s="10">
        <f>SUM(P6:P6)+SUM(P10:P11)+SUM(P15:P17)+SUM(P21:P22)+SUM(P26:P32)+SUM(P36:P36)+SUM(P40:P41)+SUM(P45:P45)+SUM(P49:P49)+SUM(P53:P54)+SUM(P58:P58)+SUM(P62:P62)+SUM(P66:P67)+SUM(P71:P71)+SUM(P75:P75)+SUM(P79:P80)+SUM(P84:P84)+SUM(P88:P88)+SUM(P92:P93)+SUM(P97:P100)+SUM(P104:P104)+SUM(P108:P109)+SUM(P113:P113)+SUM(P117:P117)+SUM(P121:P121)+SUM(P125:P125)+SUM(P129:P130)+SUM(P134:P134)+SUM(P138:P139)+SUM(P143:P145)+SUM(P149:P149)+SUM(P153:P153)+SUM(P157:P158)+SUM(P162:P163)+SUM(P167:P167)+SUM(P171:P173)+SUM(P177:P177)+SUM(P181:P181)+SUM(P185:P187)+SUM(P191:P191)+SUM(P195:P195)+SUM(P199:P199)+SUM(P203:P203)+SUM(P207:P207)+SUM(P211:P211)+SUM(P215:P216)+SUM(P220:P220)+SUM(P224:P224)+SUM(P228:P228)+SUM(P232:P233)+SUM(P237:P237)+SUM(P241:P241)+SUM(P245:P245)+SUM(P249:P249)+SUM(P253:P254)+SUM(P258:P260)+SUM(P264:P264)+SUM(P268:P268)+SUM(P272:P272)+SUM(P276:P276)+SUM(P280:P281)+SUM(P285:P286)+SUM(P290:P290)+SUM(P294:P294)+SUM(P298:P298)+SUM(P302:P302)+SUM(P306:P306)+SUM(P310:P310)+SUM(P314:P315)+SUM(P319:P330)+SUM(P334:P334)+SUM(P338:P340)</f>
        <v/>
      </c>
      <c r="Q345" s="10">
        <f>SUM(Q6:Q6)+SUM(Q10:Q11)+SUM(Q15:Q17)+SUM(Q21:Q22)+SUM(Q26:Q32)+SUM(Q36:Q36)+SUM(Q40:Q41)+SUM(Q45:Q45)+SUM(Q49:Q49)+SUM(Q53:Q54)+SUM(Q58:Q58)+SUM(Q62:Q62)+SUM(Q66:Q67)+SUM(Q71:Q71)+SUM(Q75:Q75)+SUM(Q79:Q80)+SUM(Q84:Q84)+SUM(Q88:Q88)+SUM(Q92:Q93)+SUM(Q97:Q100)+SUM(Q104:Q104)+SUM(Q108:Q109)+SUM(Q113:Q113)+SUM(Q117:Q117)+SUM(Q121:Q121)+SUM(Q125:Q125)+SUM(Q129:Q130)+SUM(Q134:Q134)+SUM(Q138:Q139)+SUM(Q143:Q145)+SUM(Q149:Q149)+SUM(Q153:Q153)+SUM(Q157:Q158)+SUM(Q162:Q163)+SUM(Q167:Q167)+SUM(Q171:Q173)+SUM(Q177:Q177)+SUM(Q181:Q181)+SUM(Q185:Q187)+SUM(Q191:Q191)+SUM(Q195:Q195)+SUM(Q199:Q199)+SUM(Q203:Q203)+SUM(Q207:Q207)+SUM(Q211:Q211)+SUM(Q215:Q216)+SUM(Q220:Q220)+SUM(Q224:Q224)+SUM(Q228:Q228)+SUM(Q232:Q233)+SUM(Q237:Q237)+SUM(Q241:Q241)+SUM(Q245:Q245)+SUM(Q249:Q249)+SUM(Q253:Q254)+SUM(Q258:Q260)+SUM(Q264:Q264)+SUM(Q268:Q268)+SUM(Q272:Q272)+SUM(Q276:Q276)+SUM(Q280:Q281)+SUM(Q285:Q286)+SUM(Q290:Q290)+SUM(Q294:Q294)+SUM(Q298:Q298)+SUM(Q302:Q302)+SUM(Q306:Q306)+SUM(Q310:Q310)+SUM(Q314:Q315)+SUM(Q319:Q330)+SUM(Q334:Q334)+SUM(Q338:Q340)</f>
        <v/>
      </c>
      <c r="R345" s="10">
        <f>SUM(R6:R6)+SUM(R10:R11)+SUM(R15:R17)+SUM(R21:R22)+SUM(R26:R32)+SUM(R36:R36)+SUM(R40:R41)+SUM(R45:R45)+SUM(R49:R49)+SUM(R53:R54)+SUM(R58:R58)+SUM(R62:R62)+SUM(R66:R67)+SUM(R71:R71)+SUM(R75:R75)+SUM(R79:R80)+SUM(R84:R84)+SUM(R88:R88)+SUM(R92:R93)+SUM(R97:R100)+SUM(R104:R104)+SUM(R108:R109)+SUM(R113:R113)+SUM(R117:R117)+SUM(R121:R121)+SUM(R125:R125)+SUM(R129:R130)+SUM(R134:R134)+SUM(R138:R139)+SUM(R143:R145)+SUM(R149:R149)+SUM(R153:R153)+SUM(R157:R158)+SUM(R162:R163)+SUM(R167:R167)+SUM(R171:R173)+SUM(R177:R177)+SUM(R181:R181)+SUM(R185:R187)+SUM(R191:R191)+SUM(R195:R195)+SUM(R199:R199)+SUM(R203:R203)+SUM(R207:R207)+SUM(R211:R211)+SUM(R215:R216)+SUM(R220:R220)+SUM(R224:R224)+SUM(R228:R228)+SUM(R232:R233)+SUM(R237:R237)+SUM(R241:R241)+SUM(R245:R245)+SUM(R249:R249)+SUM(R253:R254)+SUM(R258:R260)+SUM(R264:R264)+SUM(R268:R268)+SUM(R272:R272)+SUM(R276:R276)+SUM(R280:R281)+SUM(R285:R286)+SUM(R290:R290)+SUM(R294:R294)+SUM(R298:R298)+SUM(R302:R302)+SUM(R306:R306)+SUM(R310:R310)+SUM(R314:R315)+SUM(R319:R330)+SUM(R334:R334)+SUM(R338:R340)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34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20" customWidth="1" min="3" max="3"/>
    <col width="9" customWidth="1" min="4" max="4"/>
    <col width="9" customWidth="1" min="5" max="5"/>
    <col width="7" customWidth="1" min="6" max="6"/>
    <col width="7" customWidth="1" min="7" max="7"/>
    <col width="8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12" customWidth="1" min="16" max="16"/>
    <col width="13" customWidth="1" min="17" max="17"/>
    <col width="14" customWidth="1" min="18" max="18"/>
  </cols>
  <sheetData>
    <row r="1">
      <c r="A1" s="1" t="inlineStr">
        <is>
          <t>HOT COST</t>
        </is>
      </c>
      <c r="C1" t="inlineStr">
        <is>
          <t>Friday 20 Oct 2017</t>
        </is>
      </c>
      <c r="F1" s="2" t="inlineStr">
        <is>
          <t>DAY #5</t>
        </is>
      </c>
    </row>
    <row r="2">
      <c r="A2" s="3" t="inlineStr">
        <is>
          <t>enter CALL, LUNCH, WRAP as decimal hours (e.g. 7.5) — everything right of WRAP computes</t>
        </is>
      </c>
    </row>
    <row r="4">
      <c r="A4" s="4" t="inlineStr">
        <is>
          <t>ACCT</t>
        </is>
      </c>
      <c r="B4" s="4" t="inlineStr">
        <is>
          <t>NAME</t>
        </is>
      </c>
      <c r="C4" s="4" t="inlineStr">
        <is>
          <t>POSITION</t>
        </is>
      </c>
      <c r="D4" s="4" t="inlineStr">
        <is>
          <t>UNION</t>
        </is>
      </c>
      <c r="E4" s="4" t="inlineStr">
        <is>
          <t>RATE</t>
        </is>
      </c>
      <c r="F4" s="4" t="inlineStr">
        <is>
          <t>CALL</t>
        </is>
      </c>
      <c r="G4" s="4" t="inlineStr">
        <is>
          <t>LUNCH</t>
        </is>
      </c>
      <c r="H4" s="4" t="inlineStr">
        <is>
          <t>LUNCH 2</t>
        </is>
      </c>
      <c r="I4" s="4" t="inlineStr">
        <is>
          <t>WRAP</t>
        </is>
      </c>
      <c r="J4" s="4" t="inlineStr">
        <is>
          <t>HRS</t>
        </is>
      </c>
      <c r="K4" s="4" t="inlineStr">
        <is>
          <t>MP'S</t>
        </is>
      </c>
      <c r="L4" s="4" t="inlineStr">
        <is>
          <t>ST</t>
        </is>
      </c>
      <c r="M4" s="4" t="inlineStr">
        <is>
          <t>1.5X</t>
        </is>
      </c>
      <c r="N4" s="4" t="inlineStr">
        <is>
          <t>2X</t>
        </is>
      </c>
      <c r="O4" s="4" t="inlineStr">
        <is>
          <t>3X</t>
        </is>
      </c>
      <c r="P4" s="4" t="inlineStr">
        <is>
          <t>TOTAL / DAY</t>
        </is>
      </c>
      <c r="Q4" s="4" t="inlineStr">
        <is>
          <t>BUDGET / DAY</t>
        </is>
      </c>
      <c r="R4" s="4" t="inlineStr">
        <is>
          <t>(OVER) / UNDER</t>
        </is>
      </c>
    </row>
    <row r="5">
      <c r="B5" s="2" t="inlineStr">
        <is>
          <t>LEAD#</t>
        </is>
      </c>
    </row>
    <row r="6">
      <c r="A6" s="5" t="inlineStr">
        <is>
          <t>1401</t>
        </is>
      </c>
      <c r="B6" s="5" t="inlineStr">
        <is>
          <t>Linda Cardellini</t>
        </is>
      </c>
      <c r="C6" s="5" t="inlineStr">
        <is>
          <t>"ANNA"</t>
        </is>
      </c>
      <c r="D6" s="5" t="inlineStr"/>
      <c r="E6" s="6" t="n">
        <v>1211.8</v>
      </c>
      <c r="F6" s="5" t="n"/>
      <c r="G6" s="5" t="n"/>
      <c r="H6" s="5" t="n"/>
      <c r="I6" s="5" t="n"/>
      <c r="J6" s="7">
        <f>IF(AND(N(F6)&gt;0,N(I6)&gt;0),I6-F6-IF(N(G6)&gt;0,0.5,0)-IF(N(H6)&gt;0,0.5,0),0)</f>
        <v/>
      </c>
      <c r="K6" s="5" t="n"/>
      <c r="L6" s="7">
        <f>MIN(J6,8.0)</f>
        <v/>
      </c>
      <c r="M6" s="7">
        <f>MAX(0,MIN(J6,12)-8.0)</f>
        <v/>
      </c>
      <c r="N6" s="7">
        <f>MAX(0,J6-12)</f>
        <v/>
      </c>
      <c r="O6" s="5" t="n"/>
      <c r="P6" s="6">
        <f>E6*(L6+M6*1.5+N6*2+O6*3+N(K6))</f>
        <v/>
      </c>
      <c r="Q6" s="6" t="n">
        <v>1211.8</v>
      </c>
      <c r="R6" s="6">
        <f>Q6-P6</f>
        <v/>
      </c>
    </row>
    <row r="7">
      <c r="P7" s="2" t="inlineStr">
        <is>
          <t>LEAD# LABOR</t>
        </is>
      </c>
      <c r="R7" s="8">
        <f>SUM(R6:R6)</f>
        <v/>
      </c>
    </row>
    <row r="9">
      <c r="B9" s="2" t="inlineStr">
        <is>
          <t>LEAD#2&amp;#</t>
        </is>
      </c>
    </row>
    <row r="10">
      <c r="A10" s="5" t="inlineStr">
        <is>
          <t>1402</t>
        </is>
      </c>
      <c r="B10" s="5" t="inlineStr">
        <is>
          <t>Roman Christou</t>
        </is>
      </c>
      <c r="C10" s="5" t="inlineStr">
        <is>
          <t>"CHRIS"(Minor)</t>
        </is>
      </c>
      <c r="D10" s="5" t="inlineStr"/>
      <c r="E10" s="6" t="n">
        <v>755.4</v>
      </c>
      <c r="F10" s="5" t="n"/>
      <c r="G10" s="5" t="n"/>
      <c r="H10" s="5" t="n"/>
      <c r="I10" s="5" t="n"/>
      <c r="J10" s="7">
        <f>IF(AND(N(F10)&gt;0,N(I10)&gt;0),I10-F10-IF(N(G10)&gt;0,0.5,0)-IF(N(H10)&gt;0,0.5,0),0)</f>
        <v/>
      </c>
      <c r="K10" s="5" t="n"/>
      <c r="L10" s="7">
        <f>MIN(J10,8.0)</f>
        <v/>
      </c>
      <c r="M10" s="7">
        <f>MAX(0,MIN(J10,12)-8.0)</f>
        <v/>
      </c>
      <c r="N10" s="7">
        <f>MAX(0,J10-12)</f>
        <v/>
      </c>
      <c r="O10" s="5" t="n"/>
      <c r="P10" s="6">
        <f>E10*(L10+M10*1.5+N10*2+O10*3+N(K10))</f>
        <v/>
      </c>
      <c r="Q10" s="6" t="n">
        <v>755.4</v>
      </c>
      <c r="R10" s="6">
        <f>Q10-P10</f>
        <v/>
      </c>
    </row>
    <row r="11">
      <c r="A11" s="5" t="inlineStr">
        <is>
          <t>1402</t>
        </is>
      </c>
      <c r="B11" s="5" t="inlineStr">
        <is>
          <t>Jaynee Lynee Kinchen</t>
        </is>
      </c>
      <c r="C11" s="5" t="inlineStr">
        <is>
          <t>"SAMANTHA"(Minor)</t>
        </is>
      </c>
      <c r="D11" s="5" t="inlineStr"/>
      <c r="E11" s="6" t="n">
        <v>755.4</v>
      </c>
      <c r="F11" s="5" t="n"/>
      <c r="G11" s="5" t="n"/>
      <c r="H11" s="5" t="n"/>
      <c r="I11" s="5" t="n"/>
      <c r="J11" s="7">
        <f>IF(AND(N(F11)&gt;0,N(I11)&gt;0),I11-F11-IF(N(G11)&gt;0,0.5,0)-IF(N(H11)&gt;0,0.5,0),0)</f>
        <v/>
      </c>
      <c r="K11" s="5" t="n"/>
      <c r="L11" s="7">
        <f>MIN(J11,8.0)</f>
        <v/>
      </c>
      <c r="M11" s="7">
        <f>MAX(0,MIN(J11,12)-8.0)</f>
        <v/>
      </c>
      <c r="N11" s="7">
        <f>MAX(0,J11-12)</f>
        <v/>
      </c>
      <c r="O11" s="5" t="n"/>
      <c r="P11" s="6">
        <f>E11*(L11+M11*1.5+N11*2+O11*3+N(K11))</f>
        <v/>
      </c>
      <c r="Q11" s="6" t="n">
        <v>755.4</v>
      </c>
      <c r="R11" s="6">
        <f>Q11-P11</f>
        <v/>
      </c>
    </row>
    <row r="12">
      <c r="P12" s="2" t="inlineStr">
        <is>
          <t>LEAD#2&amp;# LABOR</t>
        </is>
      </c>
      <c r="R12" s="8">
        <f>SUM(R10:R11)</f>
        <v/>
      </c>
    </row>
    <row r="14">
      <c r="B14" s="2" t="inlineStr">
        <is>
          <t>OTHERLEADCAST</t>
        </is>
      </c>
    </row>
    <row r="15">
      <c r="A15" s="5" t="inlineStr">
        <is>
          <t>1403</t>
        </is>
      </c>
      <c r="B15" s="5" t="inlineStr">
        <is>
          <t>Raymond Cruz</t>
        </is>
      </c>
      <c r="C15" s="5" t="inlineStr">
        <is>
          <t>"RAFAELOLVERA"</t>
        </is>
      </c>
      <c r="D15" s="5" t="inlineStr"/>
      <c r="E15" s="6" t="n">
        <v>1211.8</v>
      </c>
      <c r="F15" s="5" t="n"/>
      <c r="G15" s="5" t="n"/>
      <c r="H15" s="5" t="n"/>
      <c r="I15" s="5" t="n"/>
      <c r="J15" s="7">
        <f>IF(AND(N(F15)&gt;0,N(I15)&gt;0),I15-F15-IF(N(G15)&gt;0,0.5,0)-IF(N(H15)&gt;0,0.5,0),0)</f>
        <v/>
      </c>
      <c r="K15" s="5" t="n"/>
      <c r="L15" s="7">
        <f>MIN(J15,8.0)</f>
        <v/>
      </c>
      <c r="M15" s="7">
        <f>MAX(0,MIN(J15,12)-8.0)</f>
        <v/>
      </c>
      <c r="N15" s="7">
        <f>MAX(0,J15-12)</f>
        <v/>
      </c>
      <c r="O15" s="5" t="n"/>
      <c r="P15" s="6">
        <f>E15*(L15+M15*1.5+N15*2+O15*3+N(K15))</f>
        <v/>
      </c>
      <c r="Q15" s="6" t="n">
        <v>1211.8</v>
      </c>
      <c r="R15" s="6">
        <f>Q15-P15</f>
        <v/>
      </c>
    </row>
    <row r="16">
      <c r="A16" s="5" t="inlineStr">
        <is>
          <t>1403</t>
        </is>
      </c>
      <c r="B16" s="5" t="inlineStr">
        <is>
          <t>Marisol Ramirez</t>
        </is>
      </c>
      <c r="C16" s="5" t="inlineStr">
        <is>
          <t>"LALLORONA"</t>
        </is>
      </c>
      <c r="D16" s="5" t="inlineStr"/>
      <c r="E16" s="6" t="n">
        <v>1211.8</v>
      </c>
      <c r="F16" s="5" t="n"/>
      <c r="G16" s="5" t="n"/>
      <c r="H16" s="5" t="n"/>
      <c r="I16" s="5" t="n"/>
      <c r="J16" s="7">
        <f>IF(AND(N(F16)&gt;0,N(I16)&gt;0),I16-F16-IF(N(G16)&gt;0,0.5,0)-IF(N(H16)&gt;0,0.5,0),0)</f>
        <v/>
      </c>
      <c r="K16" s="5" t="n"/>
      <c r="L16" s="7">
        <f>MIN(J16,8.0)</f>
        <v/>
      </c>
      <c r="M16" s="7">
        <f>MAX(0,MIN(J16,12)-8.0)</f>
        <v/>
      </c>
      <c r="N16" s="7">
        <f>MAX(0,J16-12)</f>
        <v/>
      </c>
      <c r="O16" s="5" t="n"/>
      <c r="P16" s="6">
        <f>E16*(L16+M16*1.5+N16*2+O16*3+N(K16))</f>
        <v/>
      </c>
      <c r="Q16" s="6" t="n">
        <v>1211.8</v>
      </c>
      <c r="R16" s="6">
        <f>Q16-P16</f>
        <v/>
      </c>
    </row>
    <row r="17">
      <c r="A17" s="5" t="inlineStr">
        <is>
          <t>1403</t>
        </is>
      </c>
      <c r="B17" s="5" t="inlineStr">
        <is>
          <t>Patrica Velasquez</t>
        </is>
      </c>
      <c r="C17" s="5" t="inlineStr">
        <is>
          <t>"PATRICIA"</t>
        </is>
      </c>
      <c r="D17" s="5" t="inlineStr"/>
      <c r="E17" s="6" t="n">
        <v>1972</v>
      </c>
      <c r="F17" s="5" t="n"/>
      <c r="G17" s="5" t="n"/>
      <c r="H17" s="5" t="n"/>
      <c r="I17" s="5" t="n"/>
      <c r="J17" s="7">
        <f>IF(AND(N(F17)&gt;0,N(I17)&gt;0),I17-F17-IF(N(G17)&gt;0,0.5,0)-IF(N(H17)&gt;0,0.5,0),0)</f>
        <v/>
      </c>
      <c r="K17" s="5" t="n"/>
      <c r="L17" s="7">
        <f>MIN(J17,8.0)</f>
        <v/>
      </c>
      <c r="M17" s="7">
        <f>MAX(0,MIN(J17,12)-8.0)</f>
        <v/>
      </c>
      <c r="N17" s="7">
        <f>MAX(0,J17-12)</f>
        <v/>
      </c>
      <c r="O17" s="5" t="n"/>
      <c r="P17" s="6">
        <f>E17*(L17+M17*1.5+N17*2+O17*3+N(K17))</f>
        <v/>
      </c>
      <c r="Q17" s="6" t="n">
        <v>1972</v>
      </c>
      <c r="R17" s="6">
        <f>Q17-P17</f>
        <v/>
      </c>
    </row>
    <row r="18">
      <c r="P18" s="2" t="inlineStr">
        <is>
          <t>OTHERLEADCAST LABOR</t>
        </is>
      </c>
      <c r="R18" s="8">
        <f>SUM(R15:R17)</f>
        <v/>
      </c>
    </row>
    <row r="20">
      <c r="B20" s="2" t="inlineStr">
        <is>
          <t>SUPPORTINGCAST</t>
        </is>
      </c>
    </row>
    <row r="21">
      <c r="A21" s="5" t="inlineStr">
        <is>
          <t>1404</t>
        </is>
      </c>
      <c r="B21" s="5" t="inlineStr">
        <is>
          <t>Sean Patrick Thomas</t>
        </is>
      </c>
      <c r="C21" s="5" t="inlineStr">
        <is>
          <t>DETCOOPER</t>
        </is>
      </c>
      <c r="D21" s="5" t="inlineStr"/>
      <c r="E21" s="6" t="n">
        <v>1211.8</v>
      </c>
      <c r="F21" s="5" t="n"/>
      <c r="G21" s="5" t="n"/>
      <c r="H21" s="5" t="n"/>
      <c r="I21" s="5" t="n"/>
      <c r="J21" s="7">
        <f>IF(AND(N(F21)&gt;0,N(I21)&gt;0),I21-F21-IF(N(G21)&gt;0,0.5,0)-IF(N(H21)&gt;0,0.5,0),0)</f>
        <v/>
      </c>
      <c r="K21" s="5" t="n"/>
      <c r="L21" s="7">
        <f>MIN(J21,8.0)</f>
        <v/>
      </c>
      <c r="M21" s="7">
        <f>MAX(0,MIN(J21,12)-8.0)</f>
        <v/>
      </c>
      <c r="N21" s="7">
        <f>MAX(0,J21-12)</f>
        <v/>
      </c>
      <c r="O21" s="5" t="n"/>
      <c r="P21" s="6">
        <f>E21*(L21+M21*1.5+N21*2+O21*3+N(K21))</f>
        <v/>
      </c>
      <c r="Q21" s="6" t="n">
        <v>1211.8</v>
      </c>
      <c r="R21" s="6">
        <f>Q21-P21</f>
        <v/>
      </c>
    </row>
    <row r="22">
      <c r="A22" s="5" t="inlineStr">
        <is>
          <t>1404</t>
        </is>
      </c>
      <c r="B22" s="5" t="inlineStr">
        <is>
          <t>Tony Amendola</t>
        </is>
      </c>
      <c r="C22" s="5" t="inlineStr">
        <is>
          <t>"FATHERPEREZ"</t>
        </is>
      </c>
      <c r="D22" s="5" t="inlineStr"/>
      <c r="E22" s="6" t="n">
        <v>1972</v>
      </c>
      <c r="F22" s="5" t="n"/>
      <c r="G22" s="5" t="n"/>
      <c r="H22" s="5" t="n"/>
      <c r="I22" s="5" t="n"/>
      <c r="J22" s="7">
        <f>IF(AND(N(F22)&gt;0,N(I22)&gt;0),I22-F22-IF(N(G22)&gt;0,0.5,0)-IF(N(H22)&gt;0,0.5,0),0)</f>
        <v/>
      </c>
      <c r="K22" s="5" t="n"/>
      <c r="L22" s="7">
        <f>MIN(J22,8.0)</f>
        <v/>
      </c>
      <c r="M22" s="7">
        <f>MAX(0,MIN(J22,12)-8.0)</f>
        <v/>
      </c>
      <c r="N22" s="7">
        <f>MAX(0,J22-12)</f>
        <v/>
      </c>
      <c r="O22" s="5" t="n"/>
      <c r="P22" s="6">
        <f>E22*(L22+M22*1.5+N22*2+O22*3+N(K22))</f>
        <v/>
      </c>
      <c r="Q22" s="6" t="n">
        <v>1972</v>
      </c>
      <c r="R22" s="6">
        <f>Q22-P22</f>
        <v/>
      </c>
    </row>
    <row r="23">
      <c r="P23" s="2" t="inlineStr">
        <is>
          <t>SUPPORTINGCAST LABOR</t>
        </is>
      </c>
      <c r="R23" s="8">
        <f>SUM(R21:R22)</f>
        <v/>
      </c>
    </row>
    <row r="25">
      <c r="B25" s="2" t="inlineStr">
        <is>
          <t>DAYPLAYERS</t>
        </is>
      </c>
    </row>
    <row r="26">
      <c r="A26" s="5" t="inlineStr">
        <is>
          <t>1405</t>
        </is>
      </c>
      <c r="B26" s="5" t="inlineStr">
        <is>
          <t>Kristy Keng(Drop/Pickup)</t>
        </is>
      </c>
      <c r="C26" s="5" t="inlineStr">
        <is>
          <t>"DONNA"</t>
        </is>
      </c>
      <c r="D26" s="5" t="inlineStr"/>
      <c r="E26" s="6" t="n">
        <v>1972</v>
      </c>
      <c r="F26" s="5" t="n"/>
      <c r="G26" s="5" t="n"/>
      <c r="H26" s="5" t="n"/>
      <c r="I26" s="5" t="n"/>
      <c r="J26" s="7">
        <f>IF(AND(N(F26)&gt;0,N(I26)&gt;0),I26-F26-IF(N(G26)&gt;0,0.5,0)-IF(N(H26)&gt;0,0.5,0),0)</f>
        <v/>
      </c>
      <c r="K26" s="5" t="n"/>
      <c r="L26" s="7">
        <f>MIN(J26,8.0)</f>
        <v/>
      </c>
      <c r="M26" s="7">
        <f>MAX(0,MIN(J26,12)-8.0)</f>
        <v/>
      </c>
      <c r="N26" s="7">
        <f>MAX(0,J26-12)</f>
        <v/>
      </c>
      <c r="O26" s="5" t="n"/>
      <c r="P26" s="6">
        <f>E26*(L26+M26*1.5+N26*2+O26*3+N(K26))</f>
        <v/>
      </c>
      <c r="Q26" s="6" t="n">
        <v>1972</v>
      </c>
      <c r="R26" s="6">
        <f>Q26-P26</f>
        <v/>
      </c>
    </row>
    <row r="27">
      <c r="A27" s="5" t="inlineStr">
        <is>
          <t>1405</t>
        </is>
      </c>
      <c r="B27" s="5" t="inlineStr">
        <is>
          <t>Oliver Alexander</t>
        </is>
      </c>
      <c r="C27" s="5" t="inlineStr">
        <is>
          <t>"CARLOS"(Minor)</t>
        </is>
      </c>
      <c r="D27" s="5" t="inlineStr"/>
      <c r="E27" s="6" t="n">
        <v>1249</v>
      </c>
      <c r="F27" s="5" t="n"/>
      <c r="G27" s="5" t="n"/>
      <c r="H27" s="5" t="n"/>
      <c r="I27" s="5" t="n"/>
      <c r="J27" s="7">
        <f>IF(AND(N(F27)&gt;0,N(I27)&gt;0),I27-F27-IF(N(G27)&gt;0,0.5,0)-IF(N(H27)&gt;0,0.5,0),0)</f>
        <v/>
      </c>
      <c r="K27" s="5" t="n"/>
      <c r="L27" s="7">
        <f>MIN(J27,8.0)</f>
        <v/>
      </c>
      <c r="M27" s="7">
        <f>MAX(0,MIN(J27,12)-8.0)</f>
        <v/>
      </c>
      <c r="N27" s="7">
        <f>MAX(0,J27-12)</f>
        <v/>
      </c>
      <c r="O27" s="5" t="n"/>
      <c r="P27" s="6">
        <f>E27*(L27+M27*1.5+N27*2+O27*3+N(K27))</f>
        <v/>
      </c>
      <c r="Q27" s="6" t="n">
        <v>1249</v>
      </c>
      <c r="R27" s="6">
        <f>Q27-P27</f>
        <v/>
      </c>
    </row>
    <row r="28">
      <c r="A28" s="5" t="inlineStr">
        <is>
          <t>1405</t>
        </is>
      </c>
      <c r="B28" s="5" t="inlineStr">
        <is>
          <t>Adam Lewandowski</t>
        </is>
      </c>
      <c r="C28" s="5" t="inlineStr">
        <is>
          <t>"TOMAS"(Minor)</t>
        </is>
      </c>
      <c r="D28" s="5" t="inlineStr"/>
      <c r="E28" s="6" t="n">
        <v>1249</v>
      </c>
      <c r="F28" s="5" t="n"/>
      <c r="G28" s="5" t="n"/>
      <c r="H28" s="5" t="n"/>
      <c r="I28" s="5" t="n"/>
      <c r="J28" s="7">
        <f>IF(AND(N(F28)&gt;0,N(I28)&gt;0),I28-F28-IF(N(G28)&gt;0,0.5,0)-IF(N(H28)&gt;0,0.5,0),0)</f>
        <v/>
      </c>
      <c r="K28" s="5" t="n"/>
      <c r="L28" s="7">
        <f>MIN(J28,8.0)</f>
        <v/>
      </c>
      <c r="M28" s="7">
        <f>MAX(0,MIN(J28,12)-8.0)</f>
        <v/>
      </c>
      <c r="N28" s="7">
        <f>MAX(0,J28-12)</f>
        <v/>
      </c>
      <c r="O28" s="5" t="n"/>
      <c r="P28" s="6">
        <f>E28*(L28+M28*1.5+N28*2+O28*3+N(K28))</f>
        <v/>
      </c>
      <c r="Q28" s="6" t="n">
        <v>1249</v>
      </c>
      <c r="R28" s="6">
        <f>Q28-P28</f>
        <v/>
      </c>
    </row>
    <row r="29">
      <c r="A29" s="5" t="inlineStr">
        <is>
          <t>1405</t>
        </is>
      </c>
      <c r="B29" s="5" t="inlineStr">
        <is>
          <t>Paul Rodriquez Jr.</t>
        </is>
      </c>
      <c r="C29" s="5" t="inlineStr">
        <is>
          <t>"OFFICERCLARO"</t>
        </is>
      </c>
      <c r="D29" s="5" t="inlineStr"/>
      <c r="E29" s="6" t="n">
        <v>1972</v>
      </c>
      <c r="F29" s="5" t="n"/>
      <c r="G29" s="5" t="n"/>
      <c r="H29" s="5" t="n"/>
      <c r="I29" s="5" t="n"/>
      <c r="J29" s="7">
        <f>IF(AND(N(F29)&gt;0,N(I29)&gt;0),I29-F29-IF(N(G29)&gt;0,0.5,0)-IF(N(H29)&gt;0,0.5,0),0)</f>
        <v/>
      </c>
      <c r="K29" s="5" t="n"/>
      <c r="L29" s="7">
        <f>MIN(J29,8.0)</f>
        <v/>
      </c>
      <c r="M29" s="7">
        <f>MAX(0,MIN(J29,12)-8.0)</f>
        <v/>
      </c>
      <c r="N29" s="7">
        <f>MAX(0,J29-12)</f>
        <v/>
      </c>
      <c r="O29" s="5" t="n"/>
      <c r="P29" s="6">
        <f>E29*(L29+M29*1.5+N29*2+O29*3+N(K29))</f>
        <v/>
      </c>
      <c r="Q29" s="6" t="n">
        <v>1972</v>
      </c>
      <c r="R29" s="6">
        <f>Q29-P29</f>
        <v/>
      </c>
    </row>
    <row r="30">
      <c r="A30" s="5" t="inlineStr">
        <is>
          <t>1405</t>
        </is>
      </c>
      <c r="B30" s="5" t="inlineStr">
        <is>
          <t>Sophia Santi</t>
        </is>
      </c>
      <c r="C30" s="5" t="inlineStr">
        <is>
          <t>"FEMALECUSTOMER"</t>
        </is>
      </c>
      <c r="D30" s="5" t="inlineStr"/>
      <c r="E30" s="6" t="n">
        <v>1972</v>
      </c>
      <c r="F30" s="5" t="n"/>
      <c r="G30" s="5" t="n"/>
      <c r="H30" s="5" t="n"/>
      <c r="I30" s="5" t="n"/>
      <c r="J30" s="7">
        <f>IF(AND(N(F30)&gt;0,N(I30)&gt;0),I30-F30-IF(N(G30)&gt;0,0.5,0)-IF(N(H30)&gt;0,0.5,0),0)</f>
        <v/>
      </c>
      <c r="K30" s="5" t="n"/>
      <c r="L30" s="7">
        <f>MIN(J30,8.0)</f>
        <v/>
      </c>
      <c r="M30" s="7">
        <f>MAX(0,MIN(J30,12)-8.0)</f>
        <v/>
      </c>
      <c r="N30" s="7">
        <f>MAX(0,J30-12)</f>
        <v/>
      </c>
      <c r="O30" s="5" t="n"/>
      <c r="P30" s="6">
        <f>E30*(L30+M30*1.5+N30*2+O30*3+N(K30))</f>
        <v/>
      </c>
      <c r="Q30" s="6" t="n">
        <v>1972</v>
      </c>
      <c r="R30" s="6">
        <f>Q30-P30</f>
        <v/>
      </c>
    </row>
    <row r="31">
      <c r="A31" s="5" t="inlineStr">
        <is>
          <t>1405</t>
        </is>
      </c>
      <c r="B31" s="5" t="inlineStr">
        <is>
          <t>John Marshall Jones</t>
        </is>
      </c>
      <c r="C31" s="5" t="inlineStr">
        <is>
          <t>"MRHANKINS"</t>
        </is>
      </c>
      <c r="D31" s="5" t="inlineStr"/>
      <c r="E31" s="6" t="n">
        <v>1972</v>
      </c>
      <c r="F31" s="5" t="n"/>
      <c r="G31" s="5" t="n"/>
      <c r="H31" s="5" t="n"/>
      <c r="I31" s="5" t="n"/>
      <c r="J31" s="7">
        <f>IF(AND(N(F31)&gt;0,N(I31)&gt;0),I31-F31-IF(N(G31)&gt;0,0.5,0)-IF(N(H31)&gt;0,0.5,0),0)</f>
        <v/>
      </c>
      <c r="K31" s="5" t="n"/>
      <c r="L31" s="7">
        <f>MIN(J31,8.0)</f>
        <v/>
      </c>
      <c r="M31" s="7">
        <f>MAX(0,MIN(J31,12)-8.0)</f>
        <v/>
      </c>
      <c r="N31" s="7">
        <f>MAX(0,J31-12)</f>
        <v/>
      </c>
      <c r="O31" s="5" t="n"/>
      <c r="P31" s="6">
        <f>E31*(L31+M31*1.5+N31*2+O31*3+N(K31))</f>
        <v/>
      </c>
      <c r="Q31" s="6" t="n">
        <v>1972</v>
      </c>
      <c r="R31" s="6">
        <f>Q31-P31</f>
        <v/>
      </c>
    </row>
    <row r="32">
      <c r="A32" s="5" t="inlineStr">
        <is>
          <t>1405</t>
        </is>
      </c>
      <c r="B32" s="5" t="inlineStr">
        <is>
          <t>Madeleine Mcgraw</t>
        </is>
      </c>
      <c r="C32" s="5" t="inlineStr">
        <is>
          <t>"APRIL"(Minor)</t>
        </is>
      </c>
      <c r="D32" s="5" t="inlineStr"/>
      <c r="E32" s="6" t="n">
        <v>1249</v>
      </c>
      <c r="F32" s="5" t="n"/>
      <c r="G32" s="5" t="n"/>
      <c r="H32" s="5" t="n"/>
      <c r="I32" s="5" t="n"/>
      <c r="J32" s="7">
        <f>IF(AND(N(F32)&gt;0,N(I32)&gt;0),I32-F32-IF(N(G32)&gt;0,0.5,0)-IF(N(H32)&gt;0,0.5,0),0)</f>
        <v/>
      </c>
      <c r="K32" s="5" t="n"/>
      <c r="L32" s="7">
        <f>MIN(J32,8.0)</f>
        <v/>
      </c>
      <c r="M32" s="7">
        <f>MAX(0,MIN(J32,12)-8.0)</f>
        <v/>
      </c>
      <c r="N32" s="7">
        <f>MAX(0,J32-12)</f>
        <v/>
      </c>
      <c r="O32" s="5" t="n"/>
      <c r="P32" s="6">
        <f>E32*(L32+M32*1.5+N32*2+O32*3+N(K32))</f>
        <v/>
      </c>
      <c r="Q32" s="6" t="n">
        <v>1249</v>
      </c>
      <c r="R32" s="6">
        <f>Q32-P32</f>
        <v/>
      </c>
    </row>
    <row r="33">
      <c r="P33" s="2" t="inlineStr">
        <is>
          <t>DAYPLAYERS LABOR</t>
        </is>
      </c>
      <c r="R33" s="8">
        <f>SUM(R26:R32)</f>
        <v/>
      </c>
    </row>
    <row r="35">
      <c r="B35" s="2" t="inlineStr">
        <is>
          <t>STUNTCOORD</t>
        </is>
      </c>
    </row>
    <row r="36">
      <c r="A36" s="5" t="inlineStr">
        <is>
          <t>1406</t>
        </is>
      </c>
      <c r="B36" s="5" t="inlineStr">
        <is>
          <t>Rob King</t>
        </is>
      </c>
      <c r="C36" s="5" t="inlineStr">
        <is>
          <t>STUNTCOORDINATOR</t>
        </is>
      </c>
      <c r="D36" s="5" t="inlineStr"/>
      <c r="E36" s="6" t="n">
        <v>1173</v>
      </c>
      <c r="F36" s="5" t="n"/>
      <c r="G36" s="5" t="n"/>
      <c r="H36" s="5" t="n"/>
      <c r="I36" s="5" t="n"/>
      <c r="J36" s="7">
        <f>IF(AND(N(F36)&gt;0,N(I36)&gt;0),I36-F36-IF(N(G36)&gt;0,0.5,0)-IF(N(H36)&gt;0,0.5,0),0)</f>
        <v/>
      </c>
      <c r="K36" s="5" t="n"/>
      <c r="L36" s="7">
        <f>MIN(J36,8.0)</f>
        <v/>
      </c>
      <c r="M36" s="7">
        <f>MAX(0,MIN(J36,12)-8.0)</f>
        <v/>
      </c>
      <c r="N36" s="7">
        <f>MAX(0,J36-12)</f>
        <v/>
      </c>
      <c r="O36" s="5" t="n"/>
      <c r="P36" s="6">
        <f>E36*(L36+M36*1.5+N36*2+O36*3+N(K36))</f>
        <v/>
      </c>
      <c r="Q36" s="6" t="n">
        <v>1173</v>
      </c>
      <c r="R36" s="6">
        <f>Q36-P36</f>
        <v/>
      </c>
    </row>
    <row r="37">
      <c r="P37" s="2" t="inlineStr">
        <is>
          <t>STUNTCOORD LABOR</t>
        </is>
      </c>
      <c r="R37" s="8">
        <f>SUM(R36:R36)</f>
        <v/>
      </c>
    </row>
    <row r="39">
      <c r="B39" s="2" t="inlineStr">
        <is>
          <t>TEACHER/WELFAREWORKER</t>
        </is>
      </c>
    </row>
    <row r="40">
      <c r="A40" s="5" t="inlineStr">
        <is>
          <t>1412</t>
        </is>
      </c>
      <c r="B40" s="5" t="inlineStr"/>
      <c r="C40" s="5" t="inlineStr">
        <is>
          <t>WELFAREWORKER</t>
        </is>
      </c>
      <c r="D40" s="5" t="inlineStr">
        <is>
          <t>Local884</t>
        </is>
      </c>
      <c r="E40" s="6" t="n">
        <v>25.5</v>
      </c>
      <c r="F40" s="5" t="n"/>
      <c r="G40" s="5" t="n"/>
      <c r="H40" s="5" t="n"/>
      <c r="I40" s="5" t="n"/>
      <c r="J40" s="7">
        <f>IF(AND(N(F40)&gt;0,N(I40)&gt;0),I40-F40-IF(N(G40)&gt;0,0.5,0)-IF(N(H40)&gt;0,0.5,0),0)</f>
        <v/>
      </c>
      <c r="K40" s="5" t="n"/>
      <c r="L40" s="7">
        <f>MIN(J40,8.0)</f>
        <v/>
      </c>
      <c r="M40" s="7">
        <f>MAX(0,MIN(J40,12)-8.0)</f>
        <v/>
      </c>
      <c r="N40" s="7">
        <f>MAX(0,J40-12)</f>
        <v/>
      </c>
      <c r="O40" s="5" t="n"/>
      <c r="P40" s="6">
        <f>E40*(L40+M40*1.5+N40*2+O40*3+N(K40))</f>
        <v/>
      </c>
      <c r="Q40" s="6" t="n">
        <v>280.5</v>
      </c>
      <c r="R40" s="6">
        <f>Q40-P40</f>
        <v/>
      </c>
    </row>
    <row r="41">
      <c r="A41" s="5" t="inlineStr">
        <is>
          <t>1412</t>
        </is>
      </c>
      <c r="B41" s="5" t="inlineStr"/>
      <c r="C41" s="5" t="inlineStr">
        <is>
          <t>ADDLWELFAREWORKER</t>
        </is>
      </c>
      <c r="D41" s="5" t="inlineStr">
        <is>
          <t>Local884</t>
        </is>
      </c>
      <c r="E41" s="6" t="n">
        <v>25.5</v>
      </c>
      <c r="F41" s="5" t="n"/>
      <c r="G41" s="5" t="n"/>
      <c r="H41" s="5" t="n"/>
      <c r="I41" s="5" t="n"/>
      <c r="J41" s="7">
        <f>IF(AND(N(F41)&gt;0,N(I41)&gt;0),I41-F41-IF(N(G41)&gt;0,0.5,0)-IF(N(H41)&gt;0,0.5,0),0)</f>
        <v/>
      </c>
      <c r="K41" s="5" t="n"/>
      <c r="L41" s="7">
        <f>MIN(J41,8.0)</f>
        <v/>
      </c>
      <c r="M41" s="7">
        <f>MAX(0,MIN(J41,12)-8.0)</f>
        <v/>
      </c>
      <c r="N41" s="7">
        <f>MAX(0,J41-12)</f>
        <v/>
      </c>
      <c r="O41" s="5" t="n"/>
      <c r="P41" s="6">
        <f>E41*(L41+M41*1.5+N41*2+O41*3+N(K41))</f>
        <v/>
      </c>
      <c r="Q41" s="6" t="n">
        <v>280.5</v>
      </c>
      <c r="R41" s="6">
        <f>Q41-P41</f>
        <v/>
      </c>
    </row>
    <row r="42">
      <c r="P42" s="2" t="inlineStr">
        <is>
          <t>TEACHER/WELFAREWORKER LABOR</t>
        </is>
      </c>
      <c r="R42" s="8">
        <f>SUM(R40:R41)</f>
        <v/>
      </c>
    </row>
    <row r="44">
      <c r="B44" s="2" t="inlineStr">
        <is>
          <t>CASTINGDIRECTORS</t>
        </is>
      </c>
    </row>
    <row r="45">
      <c r="A45" s="5" t="inlineStr">
        <is>
          <t>1413</t>
        </is>
      </c>
      <c r="B45" s="5" t="inlineStr">
        <is>
          <t>Rich Delia</t>
        </is>
      </c>
      <c r="C45" s="5" t="inlineStr">
        <is>
          <t>CASTINGDIRECTOR</t>
        </is>
      </c>
      <c r="D45" s="5" t="inlineStr"/>
      <c r="E45" s="6" t="n">
        <v>600</v>
      </c>
      <c r="F45" s="5" t="n"/>
      <c r="G45" s="5" t="n"/>
      <c r="H45" s="5" t="n"/>
      <c r="I45" s="5" t="n"/>
      <c r="J45" s="7">
        <f>IF(AND(N(F45)&gt;0,N(I45)&gt;0),I45-F45-IF(N(G45)&gt;0,0.5,0)-IF(N(H45)&gt;0,0.5,0),0)</f>
        <v/>
      </c>
      <c r="K45" s="5" t="n"/>
      <c r="L45" s="7">
        <f>MIN(J45,8.0)</f>
        <v/>
      </c>
      <c r="M45" s="7">
        <f>MAX(0,MIN(J45,12)-8.0)</f>
        <v/>
      </c>
      <c r="N45" s="7">
        <f>MAX(0,J45-12)</f>
        <v/>
      </c>
      <c r="O45" s="5" t="n"/>
      <c r="P45" s="6">
        <f>E45*(L45+M45*1.5+N45*2+O45*3+N(K45))</f>
        <v/>
      </c>
      <c r="Q45" s="5" t="n"/>
      <c r="R45" s="6">
        <f>Q45-P45</f>
        <v/>
      </c>
    </row>
    <row r="46">
      <c r="P46" s="2" t="inlineStr">
        <is>
          <t>CASTINGDIRECTORS LABOR</t>
        </is>
      </c>
      <c r="R46" s="8">
        <f>SUM(R45:R45)</f>
        <v/>
      </c>
    </row>
    <row r="48">
      <c r="B48" s="2" t="inlineStr">
        <is>
          <t>CASTINGASSOCIATES/ASSISTANTS</t>
        </is>
      </c>
    </row>
    <row r="49">
      <c r="A49" s="5" t="inlineStr">
        <is>
          <t>1414</t>
        </is>
      </c>
      <c r="B49" s="5" t="inlineStr">
        <is>
          <t>Adam Richards</t>
        </is>
      </c>
      <c r="C49" s="5" t="inlineStr">
        <is>
          <t>CASTINGASSOCIATE</t>
        </is>
      </c>
      <c r="D49" s="5" t="inlineStr"/>
      <c r="E49" s="6" t="n">
        <v>200</v>
      </c>
      <c r="F49" s="5" t="n"/>
      <c r="G49" s="5" t="n"/>
      <c r="H49" s="5" t="n"/>
      <c r="I49" s="5" t="n"/>
      <c r="J49" s="7">
        <f>IF(AND(N(F49)&gt;0,N(I49)&gt;0),I49-F49-IF(N(G49)&gt;0,0.5,0)-IF(N(H49)&gt;0,0.5,0),0)</f>
        <v/>
      </c>
      <c r="K49" s="5" t="n"/>
      <c r="L49" s="7">
        <f>MIN(J49,8.0)</f>
        <v/>
      </c>
      <c r="M49" s="7">
        <f>MAX(0,MIN(J49,12)-8.0)</f>
        <v/>
      </c>
      <c r="N49" s="7">
        <f>MAX(0,J49-12)</f>
        <v/>
      </c>
      <c r="O49" s="5" t="n"/>
      <c r="P49" s="6">
        <f>E49*(L49+M49*1.5+N49*2+O49*3+N(K49))</f>
        <v/>
      </c>
      <c r="Q49" s="5" t="n"/>
      <c r="R49" s="6">
        <f>Q49-P49</f>
        <v/>
      </c>
    </row>
    <row r="50">
      <c r="P50" s="2" t="inlineStr">
        <is>
          <t>CASTINGASSOCIATES/ASSISTANTS LABOR</t>
        </is>
      </c>
      <c r="R50" s="8">
        <f>SUM(R49:R49)</f>
        <v/>
      </c>
    </row>
    <row r="52">
      <c r="B52" s="2" t="inlineStr">
        <is>
          <t>CASTDRIVERS/VEHICLES</t>
        </is>
      </c>
    </row>
    <row r="53">
      <c r="A53" s="5" t="inlineStr">
        <is>
          <t>1455</t>
        </is>
      </c>
      <c r="B53" s="5" t="inlineStr"/>
      <c r="C53" s="5" t="inlineStr">
        <is>
          <t>CAST 3-RMDRIVER</t>
        </is>
      </c>
      <c r="D53" s="5" t="inlineStr">
        <is>
          <t>Local399</t>
        </is>
      </c>
      <c r="E53" s="6" t="n">
        <v>32.36</v>
      </c>
      <c r="F53" s="5" t="n"/>
      <c r="G53" s="5" t="n"/>
      <c r="H53" s="5" t="n"/>
      <c r="I53" s="5" t="n"/>
      <c r="J53" s="7">
        <f>IF(AND(N(F53)&gt;0,N(I53)&gt;0),I53-F53-IF(N(G53)&gt;0,0.5,0)-IF(N(H53)&gt;0,0.5,0),0)</f>
        <v/>
      </c>
      <c r="K53" s="5" t="n"/>
      <c r="L53" s="7">
        <f>MIN(J53,8.0)</f>
        <v/>
      </c>
      <c r="M53" s="7">
        <f>MAX(0,MIN(J53,12)-8.0)</f>
        <v/>
      </c>
      <c r="N53" s="7">
        <f>MAX(0,J53-12)</f>
        <v/>
      </c>
      <c r="O53" s="5" t="n"/>
      <c r="P53" s="6">
        <f>E53*(L53+M53*1.5+N53*2+O53*3+N(K53))</f>
        <v/>
      </c>
      <c r="Q53" s="6" t="n">
        <v>501.58</v>
      </c>
      <c r="R53" s="6">
        <f>Q53-P53</f>
        <v/>
      </c>
    </row>
    <row r="54">
      <c r="A54" s="5" t="inlineStr">
        <is>
          <t>1455</t>
        </is>
      </c>
      <c r="B54" s="5" t="inlineStr"/>
      <c r="C54" s="5" t="inlineStr">
        <is>
          <t>CASTMINIVANDRIVER</t>
        </is>
      </c>
      <c r="D54" s="5" t="inlineStr">
        <is>
          <t>Local399</t>
        </is>
      </c>
      <c r="E54" s="6" t="n">
        <v>32.36</v>
      </c>
      <c r="F54" s="5" t="n"/>
      <c r="G54" s="5" t="n"/>
      <c r="H54" s="5" t="n"/>
      <c r="I54" s="5" t="n"/>
      <c r="J54" s="7">
        <f>IF(AND(N(F54)&gt;0,N(I54)&gt;0),I54-F54-IF(N(G54)&gt;0,0.5,0)-IF(N(H54)&gt;0,0.5,0),0)</f>
        <v/>
      </c>
      <c r="K54" s="5" t="n"/>
      <c r="L54" s="7">
        <f>MIN(J54,8.0)</f>
        <v/>
      </c>
      <c r="M54" s="7">
        <f>MAX(0,MIN(J54,12)-8.0)</f>
        <v/>
      </c>
      <c r="N54" s="7">
        <f>MAX(0,J54-12)</f>
        <v/>
      </c>
      <c r="O54" s="5" t="n"/>
      <c r="P54" s="6">
        <f>E54*(L54+M54*1.5+N54*2+O54*3+N(K54))</f>
        <v/>
      </c>
      <c r="Q54" s="6" t="n">
        <v>501.58</v>
      </c>
      <c r="R54" s="6">
        <f>Q54-P54</f>
        <v/>
      </c>
    </row>
    <row r="55">
      <c r="P55" s="2" t="inlineStr">
        <is>
          <t>CASTDRIVERS/VEHICLES LABOR</t>
        </is>
      </c>
      <c r="R55" s="8">
        <f>SUM(R53:R54)</f>
        <v/>
      </c>
    </row>
    <row r="57">
      <c r="B57" s="2" t="inlineStr">
        <is>
          <t>PRODUCTIONMANAGER</t>
        </is>
      </c>
    </row>
    <row r="58">
      <c r="A58" s="5" t="inlineStr">
        <is>
          <t>2001</t>
        </is>
      </c>
      <c r="B58" s="5" t="inlineStr">
        <is>
          <t>Carrie Morrow</t>
        </is>
      </c>
      <c r="C58" s="5" t="inlineStr">
        <is>
          <t>UPM</t>
        </is>
      </c>
      <c r="D58" s="5" t="inlineStr">
        <is>
          <t>DGA</t>
        </is>
      </c>
      <c r="E58" s="6" t="n">
        <v>1063.6</v>
      </c>
      <c r="F58" s="5" t="n"/>
      <c r="G58" s="5" t="n"/>
      <c r="H58" s="5" t="n"/>
      <c r="I58" s="5" t="n"/>
      <c r="J58" s="7">
        <f>IF(AND(N(F58)&gt;0,N(I58)&gt;0),I58-F58-IF(N(G58)&gt;0,0.5,0)-IF(N(H58)&gt;0,0.5,0),0)</f>
        <v/>
      </c>
      <c r="K58" s="5" t="n"/>
      <c r="L58" s="7">
        <f>MIN(J58,8.0)</f>
        <v/>
      </c>
      <c r="M58" s="7">
        <f>MAX(0,MIN(J58,12)-8.0)</f>
        <v/>
      </c>
      <c r="N58" s="7">
        <f>MAX(0,J58-12)</f>
        <v/>
      </c>
      <c r="O58" s="5" t="n"/>
      <c r="P58" s="6">
        <f>E58*(L58+M58*1.5+N58*2+O58*3+N(K58))</f>
        <v/>
      </c>
      <c r="Q58" s="6" t="n">
        <v>1063.6</v>
      </c>
      <c r="R58" s="6">
        <f>Q58-P58</f>
        <v/>
      </c>
    </row>
    <row r="59">
      <c r="P59" s="2" t="inlineStr">
        <is>
          <t>PRODUCTIONMANAGER LABOR</t>
        </is>
      </c>
      <c r="R59" s="8">
        <f>SUM(R58:R58)</f>
        <v/>
      </c>
    </row>
    <row r="61">
      <c r="B61" s="2" t="inlineStr">
        <is>
          <t>1STASSTDIRECTOR</t>
        </is>
      </c>
    </row>
    <row r="62">
      <c r="A62" s="5" t="inlineStr">
        <is>
          <t>2002</t>
        </is>
      </c>
      <c r="B62" s="5" t="inlineStr">
        <is>
          <t>James Moran</t>
        </is>
      </c>
      <c r="C62" s="5" t="inlineStr">
        <is>
          <t>1STASSTDIRECTOR</t>
        </is>
      </c>
      <c r="D62" s="5" t="inlineStr">
        <is>
          <t>DGA</t>
        </is>
      </c>
      <c r="E62" s="6" t="n">
        <v>985.6</v>
      </c>
      <c r="F62" s="5" t="n"/>
      <c r="G62" s="5" t="n"/>
      <c r="H62" s="5" t="n"/>
      <c r="I62" s="5" t="n"/>
      <c r="J62" s="7">
        <f>IF(AND(N(F62)&gt;0,N(I62)&gt;0),I62-F62-IF(N(G62)&gt;0,0.5,0)-IF(N(H62)&gt;0,0.5,0),0)</f>
        <v/>
      </c>
      <c r="K62" s="5" t="n"/>
      <c r="L62" s="7">
        <f>MIN(J62,8.0)</f>
        <v/>
      </c>
      <c r="M62" s="7">
        <f>MAX(0,MIN(J62,12)-8.0)</f>
        <v/>
      </c>
      <c r="N62" s="7">
        <f>MAX(0,J62-12)</f>
        <v/>
      </c>
      <c r="O62" s="5" t="n"/>
      <c r="P62" s="6">
        <f>E62*(L62+M62*1.5+N62*2+O62*3+N(K62))</f>
        <v/>
      </c>
      <c r="Q62" s="6" t="n">
        <v>985.6</v>
      </c>
      <c r="R62" s="6">
        <f>Q62-P62</f>
        <v/>
      </c>
    </row>
    <row r="63">
      <c r="P63" s="2" t="inlineStr">
        <is>
          <t>1STASSTDIRECTOR LABOR</t>
        </is>
      </c>
      <c r="R63" s="8">
        <f>SUM(R62:R62)</f>
        <v/>
      </c>
    </row>
    <row r="65">
      <c r="B65" s="2" t="inlineStr">
        <is>
          <t>2NDASSTDIRECTORS</t>
        </is>
      </c>
    </row>
    <row r="66">
      <c r="A66" s="5" t="inlineStr">
        <is>
          <t>2003</t>
        </is>
      </c>
      <c r="B66" s="5" t="inlineStr">
        <is>
          <t>Mark Newland</t>
        </is>
      </c>
      <c r="C66" s="5" t="inlineStr">
        <is>
          <t>KEY 2NDA. D.</t>
        </is>
      </c>
      <c r="D66" s="5" t="inlineStr">
        <is>
          <t>DGA</t>
        </is>
      </c>
      <c r="E66" s="6" t="n">
        <v>674.6</v>
      </c>
      <c r="F66" s="5" t="n"/>
      <c r="G66" s="5" t="n"/>
      <c r="H66" s="5" t="n"/>
      <c r="I66" s="5" t="n"/>
      <c r="J66" s="7">
        <f>IF(AND(N(F66)&gt;0,N(I66)&gt;0),I66-F66-IF(N(G66)&gt;0,0.5,0)-IF(N(H66)&gt;0,0.5,0),0)</f>
        <v/>
      </c>
      <c r="K66" s="5" t="n"/>
      <c r="L66" s="7">
        <f>MIN(J66,8.0)</f>
        <v/>
      </c>
      <c r="M66" s="7">
        <f>MAX(0,MIN(J66,12)-8.0)</f>
        <v/>
      </c>
      <c r="N66" s="7">
        <f>MAX(0,J66-12)</f>
        <v/>
      </c>
      <c r="O66" s="5" t="n"/>
      <c r="P66" s="6">
        <f>E66*(L66+M66*1.5+N66*2+O66*3+N(K66))</f>
        <v/>
      </c>
      <c r="Q66" s="6" t="n">
        <v>674.6</v>
      </c>
      <c r="R66" s="6">
        <f>Q66-P66</f>
        <v/>
      </c>
    </row>
    <row r="67">
      <c r="A67" s="5" t="inlineStr">
        <is>
          <t>2003</t>
        </is>
      </c>
      <c r="B67" s="5" t="inlineStr"/>
      <c r="C67" s="5" t="inlineStr">
        <is>
          <t>2ND 2NDA. D.</t>
        </is>
      </c>
      <c r="D67" s="5" t="inlineStr">
        <is>
          <t>DGA</t>
        </is>
      </c>
      <c r="E67" s="6" t="n">
        <v>526</v>
      </c>
      <c r="F67" s="5" t="n"/>
      <c r="G67" s="5" t="n"/>
      <c r="H67" s="5" t="n"/>
      <c r="I67" s="5" t="n"/>
      <c r="J67" s="7">
        <f>IF(AND(N(F67)&gt;0,N(I67)&gt;0),I67-F67-IF(N(G67)&gt;0,0.5,0)-IF(N(H67)&gt;0,0.5,0),0)</f>
        <v/>
      </c>
      <c r="K67" s="5" t="n"/>
      <c r="L67" s="7">
        <f>MIN(J67,8.0)</f>
        <v/>
      </c>
      <c r="M67" s="7">
        <f>MAX(0,MIN(J67,12)-8.0)</f>
        <v/>
      </c>
      <c r="N67" s="7">
        <f>MAX(0,J67-12)</f>
        <v/>
      </c>
      <c r="O67" s="5" t="n"/>
      <c r="P67" s="6">
        <f>E67*(L67+M67*1.5+N67*2+O67*3+N(K67))</f>
        <v/>
      </c>
      <c r="Q67" s="6" t="n">
        <v>526</v>
      </c>
      <c r="R67" s="6">
        <f>Q67-P67</f>
        <v/>
      </c>
    </row>
    <row r="68">
      <c r="P68" s="2" t="inlineStr">
        <is>
          <t>2NDASSTDIRECTORS LABOR</t>
        </is>
      </c>
      <c r="R68" s="8">
        <f>SUM(R66:R67)</f>
        <v/>
      </c>
    </row>
    <row r="70">
      <c r="B70" s="2" t="inlineStr">
        <is>
          <t>SCRIPTSUPERVISOR</t>
        </is>
      </c>
    </row>
    <row r="71">
      <c r="A71" s="5" t="inlineStr">
        <is>
          <t>2005</t>
        </is>
      </c>
      <c r="B71" s="5" t="inlineStr">
        <is>
          <t>Renata Amador</t>
        </is>
      </c>
      <c r="C71" s="5" t="inlineStr">
        <is>
          <t>SCRIPTSUPERVISOR</t>
        </is>
      </c>
      <c r="D71" s="5" t="inlineStr">
        <is>
          <t>Local871</t>
        </is>
      </c>
      <c r="E71" s="6" t="n">
        <v>25.5</v>
      </c>
      <c r="F71" s="5" t="n"/>
      <c r="G71" s="5" t="n"/>
      <c r="H71" s="5" t="n"/>
      <c r="I71" s="5" t="n"/>
      <c r="J71" s="7">
        <f>IF(AND(N(F71)&gt;0,N(I71)&gt;0),I71-F71-IF(N(G71)&gt;0,0.5,0)-IF(N(H71)&gt;0,0.5,0),0)</f>
        <v/>
      </c>
      <c r="K71" s="5" t="n"/>
      <c r="L71" s="7">
        <f>MIN(J71,10.0)</f>
        <v/>
      </c>
      <c r="M71" s="7">
        <f>MAX(0,MIN(J71,12)-10.0)</f>
        <v/>
      </c>
      <c r="N71" s="7">
        <f>MAX(0,J71-12)</f>
        <v/>
      </c>
      <c r="O71" s="5" t="n"/>
      <c r="P71" s="6">
        <f>E71*(L71+M71*1.5+N71*2+O71*3+N(K71))</f>
        <v/>
      </c>
      <c r="Q71" s="6" t="n">
        <v>439.87</v>
      </c>
      <c r="R71" s="6">
        <f>Q71-P71</f>
        <v/>
      </c>
    </row>
    <row r="72">
      <c r="P72" s="2" t="inlineStr">
        <is>
          <t>SCRIPTSUPERVISOR LABOR</t>
        </is>
      </c>
      <c r="R72" s="8">
        <f>SUM(R71:R71)</f>
        <v/>
      </c>
    </row>
    <row r="74">
      <c r="B74" s="2" t="inlineStr">
        <is>
          <t>LOCATIONMANAGERS</t>
        </is>
      </c>
    </row>
    <row r="75">
      <c r="A75" s="5" t="inlineStr">
        <is>
          <t>2007</t>
        </is>
      </c>
      <c r="B75" s="5" t="inlineStr">
        <is>
          <t>Stacey Brashear-Rodriquez</t>
        </is>
      </c>
      <c r="C75" s="5" t="inlineStr">
        <is>
          <t>LOCATIONMANAGER</t>
        </is>
      </c>
      <c r="D75" s="5" t="inlineStr">
        <is>
          <t>Local399</t>
        </is>
      </c>
      <c r="E75" s="6" t="n">
        <v>557.6</v>
      </c>
      <c r="F75" s="5" t="n"/>
      <c r="G75" s="5" t="n"/>
      <c r="H75" s="5" t="n"/>
      <c r="I75" s="5" t="n"/>
      <c r="J75" s="7">
        <f>IF(AND(N(F75)&gt;0,N(I75)&gt;0),I75-F75-IF(N(G75)&gt;0,0.5,0)-IF(N(H75)&gt;0,0.5,0),0)</f>
        <v/>
      </c>
      <c r="K75" s="5" t="n"/>
      <c r="L75" s="7">
        <f>MIN(J75,8.0)</f>
        <v/>
      </c>
      <c r="M75" s="7">
        <f>MAX(0,MIN(J75,12)-8.0)</f>
        <v/>
      </c>
      <c r="N75" s="7">
        <f>MAX(0,J75-12)</f>
        <v/>
      </c>
      <c r="O75" s="5" t="n"/>
      <c r="P75" s="6">
        <f>E75*(L75+M75*1.5+N75*2+O75*3+N(K75))</f>
        <v/>
      </c>
      <c r="Q75" s="6" t="n">
        <v>557.6</v>
      </c>
      <c r="R75" s="6">
        <f>Q75-P75</f>
        <v/>
      </c>
    </row>
    <row r="76">
      <c r="P76" s="2" t="inlineStr">
        <is>
          <t>LOCATIONMANAGERS LABOR</t>
        </is>
      </c>
      <c r="R76" s="8">
        <f>SUM(R75:R75)</f>
        <v/>
      </c>
    </row>
    <row r="78">
      <c r="B78" s="2" t="inlineStr">
        <is>
          <t>ASSISTANTLOCATIONMANAGERS</t>
        </is>
      </c>
    </row>
    <row r="79">
      <c r="A79" s="5" t="inlineStr">
        <is>
          <t>2008</t>
        </is>
      </c>
      <c r="B79" s="5" t="inlineStr">
        <is>
          <t>Rich Heichel</t>
        </is>
      </c>
      <c r="C79" s="5" t="inlineStr">
        <is>
          <t>KEYASSTLOCATIONMGR#1</t>
        </is>
      </c>
      <c r="D79" s="5" t="inlineStr">
        <is>
          <t>Local399</t>
        </is>
      </c>
      <c r="E79" s="6" t="n">
        <v>334.2</v>
      </c>
      <c r="F79" s="5" t="n"/>
      <c r="G79" s="5" t="n"/>
      <c r="H79" s="5" t="n"/>
      <c r="I79" s="5" t="n"/>
      <c r="J79" s="7">
        <f>IF(AND(N(F79)&gt;0,N(I79)&gt;0),I79-F79-IF(N(G79)&gt;0,0.5,0)-IF(N(H79)&gt;0,0.5,0),0)</f>
        <v/>
      </c>
      <c r="K79" s="5" t="n"/>
      <c r="L79" s="7">
        <f>MIN(J79,8.0)</f>
        <v/>
      </c>
      <c r="M79" s="7">
        <f>MAX(0,MIN(J79,12)-8.0)</f>
        <v/>
      </c>
      <c r="N79" s="7">
        <f>MAX(0,J79-12)</f>
        <v/>
      </c>
      <c r="O79" s="5" t="n"/>
      <c r="P79" s="6">
        <f>E79*(L79+M79*1.5+N79*2+O79*3+N(K79))</f>
        <v/>
      </c>
      <c r="Q79" s="6" t="n">
        <v>334.2</v>
      </c>
      <c r="R79" s="6">
        <f>Q79-P79</f>
        <v/>
      </c>
    </row>
    <row r="80">
      <c r="A80" s="5" t="inlineStr">
        <is>
          <t>2008</t>
        </is>
      </c>
      <c r="B80" s="5" t="inlineStr">
        <is>
          <t>Jason Mc Cauley</t>
        </is>
      </c>
      <c r="C80" s="5" t="inlineStr">
        <is>
          <t>LOCATIONASST</t>
        </is>
      </c>
      <c r="D80" s="5" t="inlineStr">
        <is>
          <t>Local399</t>
        </is>
      </c>
      <c r="E80" s="6" t="n">
        <v>229</v>
      </c>
      <c r="F80" s="5" t="n"/>
      <c r="G80" s="5" t="n"/>
      <c r="H80" s="5" t="n"/>
      <c r="I80" s="5" t="n"/>
      <c r="J80" s="7">
        <f>IF(AND(N(F80)&gt;0,N(I80)&gt;0),I80-F80-IF(N(G80)&gt;0,0.5,0)-IF(N(H80)&gt;0,0.5,0),0)</f>
        <v/>
      </c>
      <c r="K80" s="5" t="n"/>
      <c r="L80" s="7">
        <f>MIN(J80,8.0)</f>
        <v/>
      </c>
      <c r="M80" s="7">
        <f>MAX(0,MIN(J80,12)-8.0)</f>
        <v/>
      </c>
      <c r="N80" s="7">
        <f>MAX(0,J80-12)</f>
        <v/>
      </c>
      <c r="O80" s="5" t="n"/>
      <c r="P80" s="6">
        <f>E80*(L80+M80*1.5+N80*2+O80*3+N(K80))</f>
        <v/>
      </c>
      <c r="Q80" s="6" t="n">
        <v>229</v>
      </c>
      <c r="R80" s="6">
        <f>Q80-P80</f>
        <v/>
      </c>
    </row>
    <row r="81">
      <c r="P81" s="2" t="inlineStr">
        <is>
          <t>ASSISTANTLOCATIONMANAGERS LABOR</t>
        </is>
      </c>
      <c r="R81" s="8">
        <f>SUM(R79:R80)</f>
        <v/>
      </c>
    </row>
    <row r="83">
      <c r="B83" s="2" t="inlineStr">
        <is>
          <t>PRODUCTIONCOORDINATOR</t>
        </is>
      </c>
    </row>
    <row r="84">
      <c r="A84" s="5" t="inlineStr">
        <is>
          <t>2009</t>
        </is>
      </c>
      <c r="B84" s="5" t="inlineStr">
        <is>
          <t>Ali Griffith</t>
        </is>
      </c>
      <c r="C84" s="5" t="inlineStr">
        <is>
          <t>PRODUCTIONOFCCOORD</t>
        </is>
      </c>
      <c r="D84" s="5" t="inlineStr"/>
      <c r="E84" s="6" t="n">
        <v>360</v>
      </c>
      <c r="F84" s="5" t="n"/>
      <c r="G84" s="5" t="n"/>
      <c r="H84" s="5" t="n"/>
      <c r="I84" s="5" t="n"/>
      <c r="J84" s="7">
        <f>IF(AND(N(F84)&gt;0,N(I84)&gt;0),I84-F84-IF(N(G84)&gt;0,0.5,0)-IF(N(H84)&gt;0,0.5,0),0)</f>
        <v/>
      </c>
      <c r="K84" s="5" t="n"/>
      <c r="L84" s="7">
        <f>MIN(J84,8.0)</f>
        <v/>
      </c>
      <c r="M84" s="7">
        <f>MAX(0,MIN(J84,12)-8.0)</f>
        <v/>
      </c>
      <c r="N84" s="7">
        <f>MAX(0,J84-12)</f>
        <v/>
      </c>
      <c r="O84" s="5" t="n"/>
      <c r="P84" s="6">
        <f>E84*(L84+M84*1.5+N84*2+O84*3+N(K84))</f>
        <v/>
      </c>
      <c r="Q84" s="6" t="n">
        <v>360</v>
      </c>
      <c r="R84" s="6">
        <f>Q84-P84</f>
        <v/>
      </c>
    </row>
    <row r="85">
      <c r="P85" s="2" t="inlineStr">
        <is>
          <t>PRODUCTIONCOORDINATOR LABOR</t>
        </is>
      </c>
      <c r="R85" s="8">
        <f>SUM(R84:R84)</f>
        <v/>
      </c>
    </row>
    <row r="87">
      <c r="B87" s="2" t="inlineStr">
        <is>
          <t>ASSTPRODUCTIONCOORDINATOR</t>
        </is>
      </c>
    </row>
    <row r="88">
      <c r="A88" s="5" t="inlineStr">
        <is>
          <t>2010</t>
        </is>
      </c>
      <c r="B88" s="5" t="inlineStr">
        <is>
          <t>Holly Dellocono</t>
        </is>
      </c>
      <c r="C88" s="5" t="inlineStr">
        <is>
          <t>APOC</t>
        </is>
      </c>
      <c r="D88" s="5" t="inlineStr">
        <is>
          <t>Local871</t>
        </is>
      </c>
      <c r="E88" s="6" t="n">
        <v>20.57</v>
      </c>
      <c r="F88" s="5" t="n"/>
      <c r="G88" s="5" t="n"/>
      <c r="H88" s="5" t="n"/>
      <c r="I88" s="5" t="n"/>
      <c r="J88" s="7">
        <f>IF(AND(N(F88)&gt;0,N(I88)&gt;0),I88-F88-IF(N(G88)&gt;0,0.5,0)-IF(N(H88)&gt;0,0.5,0),0)</f>
        <v/>
      </c>
      <c r="K88" s="5" t="n"/>
      <c r="L88" s="7">
        <f>MIN(J88,10.0)</f>
        <v/>
      </c>
      <c r="M88" s="7">
        <f>MAX(0,MIN(J88,12)-10.0)</f>
        <v/>
      </c>
      <c r="N88" s="7">
        <f>MAX(0,J88-12)</f>
        <v/>
      </c>
      <c r="O88" s="5" t="n"/>
      <c r="P88" s="6">
        <f>E88*(L88+M88*1.5+N88*2+O88*3+N(K88))</f>
        <v/>
      </c>
      <c r="Q88" s="6" t="n">
        <v>287.98</v>
      </c>
      <c r="R88" s="6">
        <f>Q88-P88</f>
        <v/>
      </c>
    </row>
    <row r="89">
      <c r="P89" s="2" t="inlineStr">
        <is>
          <t>ASSTPRODUCTIONCOORDINATOR LABOR</t>
        </is>
      </c>
      <c r="R89" s="8">
        <f>SUM(R88:R88)</f>
        <v/>
      </c>
    </row>
    <row r="91">
      <c r="B91" s="2" t="inlineStr">
        <is>
          <t>OFFICESTAFFASSISTANTS</t>
        </is>
      </c>
    </row>
    <row r="92">
      <c r="A92" s="5" t="inlineStr">
        <is>
          <t>2011</t>
        </is>
      </c>
      <c r="B92" s="5" t="inlineStr">
        <is>
          <t>John Humber</t>
        </is>
      </c>
      <c r="C92" s="5" t="inlineStr">
        <is>
          <t>OFFICEPA#1</t>
        </is>
      </c>
      <c r="D92" s="5" t="inlineStr"/>
      <c r="E92" s="6" t="n">
        <v>22.5</v>
      </c>
      <c r="F92" s="5" t="n"/>
      <c r="G92" s="5" t="n"/>
      <c r="H92" s="5" t="n"/>
      <c r="I92" s="5" t="n"/>
      <c r="J92" s="7">
        <f>IF(AND(N(F92)&gt;0,N(I92)&gt;0),I92-F92-IF(N(G92)&gt;0,0.5,0)-IF(N(H92)&gt;0,0.5,0),0)</f>
        <v/>
      </c>
      <c r="K92" s="5" t="n"/>
      <c r="L92" s="7">
        <f>MIN(J92,8.0)</f>
        <v/>
      </c>
      <c r="M92" s="7">
        <f>MAX(0,MIN(J92,12)-8.0)</f>
        <v/>
      </c>
      <c r="N92" s="7">
        <f>MAX(0,J92-12)</f>
        <v/>
      </c>
      <c r="O92" s="5" t="n"/>
      <c r="P92" s="6">
        <f>E92*(L92+M92*1.5+N92*2+O92*3+N(K92))</f>
        <v/>
      </c>
      <c r="Q92" s="6" t="n">
        <v>168</v>
      </c>
      <c r="R92" s="6">
        <f>Q92-P92</f>
        <v/>
      </c>
    </row>
    <row r="93">
      <c r="A93" s="5" t="inlineStr">
        <is>
          <t>2011</t>
        </is>
      </c>
      <c r="B93" s="5" t="inlineStr">
        <is>
          <t>Sarah Semenas</t>
        </is>
      </c>
      <c r="C93" s="5" t="inlineStr">
        <is>
          <t>OFFICEPA#2</t>
        </is>
      </c>
      <c r="D93" s="5" t="inlineStr"/>
      <c r="E93" s="6" t="n">
        <v>22.5</v>
      </c>
      <c r="F93" s="5" t="n"/>
      <c r="G93" s="5" t="n"/>
      <c r="H93" s="5" t="n"/>
      <c r="I93" s="5" t="n"/>
      <c r="J93" s="7">
        <f>IF(AND(N(F93)&gt;0,N(I93)&gt;0),I93-F93-IF(N(G93)&gt;0,0.5,0)-IF(N(H93)&gt;0,0.5,0),0)</f>
        <v/>
      </c>
      <c r="K93" s="5" t="n"/>
      <c r="L93" s="7">
        <f>MIN(J93,8.0)</f>
        <v/>
      </c>
      <c r="M93" s="7">
        <f>MAX(0,MIN(J93,12)-8.0)</f>
        <v/>
      </c>
      <c r="N93" s="7">
        <f>MAX(0,J93-12)</f>
        <v/>
      </c>
      <c r="O93" s="5" t="n"/>
      <c r="P93" s="6">
        <f>E93*(L93+M93*1.5+N93*2+O93*3+N(K93))</f>
        <v/>
      </c>
      <c r="Q93" s="6" t="n">
        <v>168</v>
      </c>
      <c r="R93" s="6">
        <f>Q93-P93</f>
        <v/>
      </c>
    </row>
    <row r="94">
      <c r="P94" s="2" t="inlineStr">
        <is>
          <t>OFFICESTAFFASSISTANTS LABOR</t>
        </is>
      </c>
      <c r="R94" s="8">
        <f>SUM(R92:R93)</f>
        <v/>
      </c>
    </row>
    <row r="96">
      <c r="B96" s="2" t="inlineStr">
        <is>
          <t>SETSTAFFASSISTANTS</t>
        </is>
      </c>
    </row>
    <row r="97">
      <c r="A97" s="5" t="inlineStr">
        <is>
          <t>2012</t>
        </is>
      </c>
      <c r="B97" s="5" t="inlineStr">
        <is>
          <t>Paula Henry</t>
        </is>
      </c>
      <c r="C97" s="5" t="inlineStr">
        <is>
          <t>KEYSETPA</t>
        </is>
      </c>
      <c r="D97" s="5" t="inlineStr"/>
      <c r="E97" s="6" t="n">
        <v>12</v>
      </c>
      <c r="F97" s="5" t="n"/>
      <c r="G97" s="5" t="n"/>
      <c r="H97" s="5" t="n"/>
      <c r="I97" s="5" t="n"/>
      <c r="J97" s="7">
        <f>IF(AND(N(F97)&gt;0,N(I97)&gt;0),I97-F97-IF(N(G97)&gt;0,0.5,0)-IF(N(H97)&gt;0,0.5,0),0)</f>
        <v/>
      </c>
      <c r="K97" s="5" t="n"/>
      <c r="L97" s="7">
        <f>MIN(J97,8.0)</f>
        <v/>
      </c>
      <c r="M97" s="7">
        <f>MAX(0,MIN(J97,12)-8.0)</f>
        <v/>
      </c>
      <c r="N97" s="7">
        <f>MAX(0,J97-12)</f>
        <v/>
      </c>
      <c r="O97" s="5" t="n"/>
      <c r="P97" s="6">
        <f>E97*(L97+M97*1.5+N97*2+O97*3+N(K97))</f>
        <v/>
      </c>
      <c r="Q97" s="6" t="n">
        <v>216</v>
      </c>
      <c r="R97" s="6">
        <f>Q97-P97</f>
        <v/>
      </c>
    </row>
    <row r="98">
      <c r="A98" s="5" t="inlineStr">
        <is>
          <t>2012</t>
        </is>
      </c>
      <c r="B98" s="5" t="inlineStr"/>
      <c r="C98" s="5" t="inlineStr">
        <is>
          <t>SETPA#2</t>
        </is>
      </c>
      <c r="D98" s="5" t="inlineStr"/>
      <c r="E98" s="6" t="n">
        <v>12</v>
      </c>
      <c r="F98" s="5" t="n"/>
      <c r="G98" s="5" t="n"/>
      <c r="H98" s="5" t="n"/>
      <c r="I98" s="5" t="n"/>
      <c r="J98" s="7">
        <f>IF(AND(N(F98)&gt;0,N(I98)&gt;0),I98-F98-IF(N(G98)&gt;0,0.5,0)-IF(N(H98)&gt;0,0.5,0),0)</f>
        <v/>
      </c>
      <c r="K98" s="5" t="n"/>
      <c r="L98" s="7">
        <f>MIN(J98,8.0)</f>
        <v/>
      </c>
      <c r="M98" s="7">
        <f>MAX(0,MIN(J98,12)-8.0)</f>
        <v/>
      </c>
      <c r="N98" s="7">
        <f>MAX(0,J98-12)</f>
        <v/>
      </c>
      <c r="O98" s="5" t="n"/>
      <c r="P98" s="6">
        <f>E98*(L98+M98*1.5+N98*2+O98*3+N(K98))</f>
        <v/>
      </c>
      <c r="Q98" s="6" t="n">
        <v>216</v>
      </c>
      <c r="R98" s="6">
        <f>Q98-P98</f>
        <v/>
      </c>
    </row>
    <row r="99">
      <c r="A99" s="5" t="inlineStr">
        <is>
          <t>2012</t>
        </is>
      </c>
      <c r="B99" s="5" t="inlineStr"/>
      <c r="C99" s="5" t="inlineStr">
        <is>
          <t>SETPA#3</t>
        </is>
      </c>
      <c r="D99" s="5" t="inlineStr"/>
      <c r="E99" s="6" t="n">
        <v>12</v>
      </c>
      <c r="F99" s="5" t="n"/>
      <c r="G99" s="5" t="n"/>
      <c r="H99" s="5" t="n"/>
      <c r="I99" s="5" t="n"/>
      <c r="J99" s="7">
        <f>IF(AND(N(F99)&gt;0,N(I99)&gt;0),I99-F99-IF(N(G99)&gt;0,0.5,0)-IF(N(H99)&gt;0,0.5,0),0)</f>
        <v/>
      </c>
      <c r="K99" s="5" t="n"/>
      <c r="L99" s="7">
        <f>MIN(J99,8.0)</f>
        <v/>
      </c>
      <c r="M99" s="7">
        <f>MAX(0,MIN(J99,12)-8.0)</f>
        <v/>
      </c>
      <c r="N99" s="7">
        <f>MAX(0,J99-12)</f>
        <v/>
      </c>
      <c r="O99" s="5" t="n"/>
      <c r="P99" s="6">
        <f>E99*(L99+M99*1.5+N99*2+O99*3+N(K99))</f>
        <v/>
      </c>
      <c r="Q99" s="6" t="n">
        <v>216</v>
      </c>
      <c r="R99" s="6">
        <f>Q99-P99</f>
        <v/>
      </c>
    </row>
    <row r="100">
      <c r="A100" s="5" t="inlineStr">
        <is>
          <t>2012</t>
        </is>
      </c>
      <c r="B100" s="5" t="inlineStr"/>
      <c r="C100" s="5" t="inlineStr">
        <is>
          <t>SETPA#4</t>
        </is>
      </c>
      <c r="D100" s="5" t="inlineStr"/>
      <c r="E100" s="6" t="n">
        <v>12</v>
      </c>
      <c r="F100" s="5" t="n"/>
      <c r="G100" s="5" t="n"/>
      <c r="H100" s="5" t="n"/>
      <c r="I100" s="5" t="n"/>
      <c r="J100" s="7">
        <f>IF(AND(N(F100)&gt;0,N(I100)&gt;0),I100-F100-IF(N(G100)&gt;0,0.5,0)-IF(N(H100)&gt;0,0.5,0),0)</f>
        <v/>
      </c>
      <c r="K100" s="5" t="n"/>
      <c r="L100" s="7">
        <f>MIN(J100,8.0)</f>
        <v/>
      </c>
      <c r="M100" s="7">
        <f>MAX(0,MIN(J100,12)-8.0)</f>
        <v/>
      </c>
      <c r="N100" s="7">
        <f>MAX(0,J100-12)</f>
        <v/>
      </c>
      <c r="O100" s="5" t="n"/>
      <c r="P100" s="6">
        <f>E100*(L100+M100*1.5+N100*2+O100*3+N(K100))</f>
        <v/>
      </c>
      <c r="Q100" s="6" t="n">
        <v>216</v>
      </c>
      <c r="R100" s="6">
        <f>Q100-P100</f>
        <v/>
      </c>
    </row>
    <row r="101">
      <c r="P101" s="2" t="inlineStr">
        <is>
          <t>SETSTAFFASSISTANTS LABOR</t>
        </is>
      </c>
      <c r="R101" s="8">
        <f>SUM(R97:R100)</f>
        <v/>
      </c>
    </row>
    <row r="103">
      <c r="B103" s="2" t="inlineStr">
        <is>
          <t>PRODUCTIONACCOUNTANT</t>
        </is>
      </c>
    </row>
    <row r="104">
      <c r="A104" s="5" t="inlineStr">
        <is>
          <t>2013</t>
        </is>
      </c>
      <c r="B104" s="5" t="inlineStr">
        <is>
          <t>Joel Tokarsky</t>
        </is>
      </c>
      <c r="C104" s="5" t="inlineStr">
        <is>
          <t>PRODUCTIONACCOUNTANT</t>
        </is>
      </c>
      <c r="D104" s="5" t="inlineStr">
        <is>
          <t>Local871</t>
        </is>
      </c>
      <c r="E104" s="6" t="n">
        <v>740</v>
      </c>
      <c r="F104" s="5" t="n"/>
      <c r="G104" s="5" t="n"/>
      <c r="H104" s="5" t="n"/>
      <c r="I104" s="5" t="n"/>
      <c r="J104" s="7">
        <f>IF(AND(N(F104)&gt;0,N(I104)&gt;0),I104-F104-IF(N(G104)&gt;0,0.5,0)-IF(N(H104)&gt;0,0.5,0),0)</f>
        <v/>
      </c>
      <c r="K104" s="5" t="n"/>
      <c r="L104" s="7">
        <f>MIN(J104,10.0)</f>
        <v/>
      </c>
      <c r="M104" s="7">
        <f>MAX(0,MIN(J104,12)-10.0)</f>
        <v/>
      </c>
      <c r="N104" s="7">
        <f>MAX(0,J104-12)</f>
        <v/>
      </c>
      <c r="O104" s="5" t="n"/>
      <c r="P104" s="6">
        <f>E104*(L104+M104*1.5+N104*2+O104*3+N(K104))</f>
        <v/>
      </c>
      <c r="Q104" s="6" t="n">
        <v>740</v>
      </c>
      <c r="R104" s="6">
        <f>Q104-P104</f>
        <v/>
      </c>
    </row>
    <row r="105">
      <c r="P105" s="2" t="inlineStr">
        <is>
          <t>PRODUCTIONACCOUNTANT LABOR</t>
        </is>
      </c>
      <c r="R105" s="8">
        <f>SUM(R104:R104)</f>
        <v/>
      </c>
    </row>
    <row r="107">
      <c r="B107" s="2" t="inlineStr">
        <is>
          <t>ASSTPRODUCTIONACCOUNTANTS</t>
        </is>
      </c>
    </row>
    <row r="108">
      <c r="A108" s="5" t="inlineStr">
        <is>
          <t>2014</t>
        </is>
      </c>
      <c r="B108" s="5" t="inlineStr">
        <is>
          <t>Co-Co Aiello</t>
        </is>
      </c>
      <c r="C108" s="5" t="inlineStr">
        <is>
          <t>1STASSTACCT</t>
        </is>
      </c>
      <c r="D108" s="5" t="inlineStr">
        <is>
          <t>Local871</t>
        </is>
      </c>
      <c r="E108" s="6" t="n">
        <v>480</v>
      </c>
      <c r="F108" s="5" t="n"/>
      <c r="G108" s="5" t="n"/>
      <c r="H108" s="5" t="n"/>
      <c r="I108" s="5" t="n"/>
      <c r="J108" s="7">
        <f>IF(AND(N(F108)&gt;0,N(I108)&gt;0),I108-F108-IF(N(G108)&gt;0,0.5,0)-IF(N(H108)&gt;0,0.5,0),0)</f>
        <v/>
      </c>
      <c r="K108" s="5" t="n"/>
      <c r="L108" s="7">
        <f>MIN(J108,10.0)</f>
        <v/>
      </c>
      <c r="M108" s="7">
        <f>MAX(0,MIN(J108,12)-10.0)</f>
        <v/>
      </c>
      <c r="N108" s="7">
        <f>MAX(0,J108-12)</f>
        <v/>
      </c>
      <c r="O108" s="5" t="n"/>
      <c r="P108" s="6">
        <f>E108*(L108+M108*1.5+N108*2+O108*3+N(K108))</f>
        <v/>
      </c>
      <c r="Q108" s="6" t="n">
        <v>480</v>
      </c>
      <c r="R108" s="6">
        <f>Q108-P108</f>
        <v/>
      </c>
    </row>
    <row r="109">
      <c r="A109" s="5" t="inlineStr">
        <is>
          <t>2014</t>
        </is>
      </c>
      <c r="B109" s="5" t="inlineStr">
        <is>
          <t>Steve Goldstein</t>
        </is>
      </c>
      <c r="C109" s="5" t="inlineStr">
        <is>
          <t>PAYROLLACCT</t>
        </is>
      </c>
      <c r="D109" s="5" t="inlineStr">
        <is>
          <t>Local871</t>
        </is>
      </c>
      <c r="E109" s="6" t="n">
        <v>420</v>
      </c>
      <c r="F109" s="5" t="n"/>
      <c r="G109" s="5" t="n"/>
      <c r="H109" s="5" t="n"/>
      <c r="I109" s="5" t="n"/>
      <c r="J109" s="7">
        <f>IF(AND(N(F109)&gt;0,N(I109)&gt;0),I109-F109-IF(N(G109)&gt;0,0.5,0)-IF(N(H109)&gt;0,0.5,0),0)</f>
        <v/>
      </c>
      <c r="K109" s="5" t="n"/>
      <c r="L109" s="7">
        <f>MIN(J109,10.0)</f>
        <v/>
      </c>
      <c r="M109" s="7">
        <f>MAX(0,MIN(J109,12)-10.0)</f>
        <v/>
      </c>
      <c r="N109" s="7">
        <f>MAX(0,J109-12)</f>
        <v/>
      </c>
      <c r="O109" s="5" t="n"/>
      <c r="P109" s="6">
        <f>E109*(L109+M109*1.5+N109*2+O109*3+N(K109))</f>
        <v/>
      </c>
      <c r="Q109" s="6" t="n">
        <v>420</v>
      </c>
      <c r="R109" s="6">
        <f>Q109-P109</f>
        <v/>
      </c>
    </row>
    <row r="110">
      <c r="P110" s="2" t="inlineStr">
        <is>
          <t>ASSTPRODUCTIONACCOUNTANTS LABOR</t>
        </is>
      </c>
      <c r="R110" s="8">
        <f>SUM(R108:R109)</f>
        <v/>
      </c>
    </row>
    <row r="112">
      <c r="B112" s="2" t="inlineStr">
        <is>
          <t>CONSTRUCTIONCOORDINATOR</t>
        </is>
      </c>
    </row>
    <row r="113">
      <c r="A113" s="5" t="inlineStr">
        <is>
          <t>2302</t>
        </is>
      </c>
      <c r="B113" s="5" t="inlineStr">
        <is>
          <t>Drew Rebelin</t>
        </is>
      </c>
      <c r="C113" s="5" t="inlineStr">
        <is>
          <t>CONSTCOORDINATOR</t>
        </is>
      </c>
      <c r="D113" s="5" t="inlineStr">
        <is>
          <t>Local44</t>
        </is>
      </c>
      <c r="E113" s="6" t="n">
        <v>400</v>
      </c>
      <c r="F113" s="5" t="n"/>
      <c r="G113" s="5" t="n"/>
      <c r="H113" s="5" t="n"/>
      <c r="I113" s="5" t="n"/>
      <c r="J113" s="7">
        <f>IF(AND(N(F113)&gt;0,N(I113)&gt;0),I113-F113-IF(N(G113)&gt;0,0.5,0)-IF(N(H113)&gt;0,0.5,0),0)</f>
        <v/>
      </c>
      <c r="K113" s="5" t="n"/>
      <c r="L113" s="7">
        <f>MIN(J113,10.0)</f>
        <v/>
      </c>
      <c r="M113" s="7">
        <f>MAX(0,MIN(J113,12)-10.0)</f>
        <v/>
      </c>
      <c r="N113" s="7">
        <f>MAX(0,J113-12)</f>
        <v/>
      </c>
      <c r="O113" s="5" t="n"/>
      <c r="P113" s="6">
        <f>E113*(L113+M113*1.5+N113*2+O113*3+N(K113))</f>
        <v/>
      </c>
      <c r="Q113" s="5" t="n"/>
      <c r="R113" s="6">
        <f>Q113-P113</f>
        <v/>
      </c>
    </row>
    <row r="114">
      <c r="P114" s="2" t="inlineStr">
        <is>
          <t>CONSTRUCTIONCOORDINATOR LABOR</t>
        </is>
      </c>
      <c r="R114" s="8">
        <f>SUM(R113:R113)</f>
        <v/>
      </c>
    </row>
    <row r="116">
      <c r="B116" s="2" t="inlineStr">
        <is>
          <t>PAINTFOREMAN</t>
        </is>
      </c>
    </row>
    <row r="117">
      <c r="A117" s="5" t="inlineStr">
        <is>
          <t>2304</t>
        </is>
      </c>
      <c r="B117" s="5" t="inlineStr">
        <is>
          <t>Kristeen Reimnitz</t>
        </is>
      </c>
      <c r="C117" s="5" t="inlineStr">
        <is>
          <t>PAINTER</t>
        </is>
      </c>
      <c r="D117" s="5" t="inlineStr">
        <is>
          <t>Local729</t>
        </is>
      </c>
      <c r="E117" s="6" t="n">
        <v>23.04</v>
      </c>
      <c r="F117" s="5" t="n"/>
      <c r="G117" s="5" t="n"/>
      <c r="H117" s="5" t="n"/>
      <c r="I117" s="5" t="n"/>
      <c r="J117" s="7">
        <f>IF(AND(N(F117)&gt;0,N(I117)&gt;0),I117-F117-IF(N(G117)&gt;0,0.5,0)-IF(N(H117)&gt;0,0.5,0),0)</f>
        <v/>
      </c>
      <c r="K117" s="5" t="n"/>
      <c r="L117" s="7">
        <f>MIN(J117,10.0)</f>
        <v/>
      </c>
      <c r="M117" s="7">
        <f>MAX(0,MIN(J117,12)-10.0)</f>
        <v/>
      </c>
      <c r="N117" s="7">
        <f>MAX(0,J117-12)</f>
        <v/>
      </c>
      <c r="O117" s="5" t="n"/>
      <c r="P117" s="6">
        <f>E117*(L117+M117*1.5+N117*2+O117*3+N(K117))</f>
        <v/>
      </c>
      <c r="Q117" s="5" t="n"/>
      <c r="R117" s="6">
        <f>Q117-P117</f>
        <v/>
      </c>
    </row>
    <row r="118">
      <c r="P118" s="2" t="inlineStr">
        <is>
          <t>PAINTFOREMAN LABOR</t>
        </is>
      </c>
      <c r="R118" s="8">
        <f>SUM(R117:R117)</f>
        <v/>
      </c>
    </row>
    <row r="120">
      <c r="B120" s="2" t="inlineStr">
        <is>
          <t>FIRSTAIDLABOR</t>
        </is>
      </c>
    </row>
    <row r="121">
      <c r="A121" s="5" t="inlineStr">
        <is>
          <t>2310</t>
        </is>
      </c>
      <c r="B121" s="5" t="inlineStr"/>
      <c r="C121" s="5" t="inlineStr">
        <is>
          <t>CONSTRUCTIONMEDIC</t>
        </is>
      </c>
      <c r="D121" s="5" t="inlineStr">
        <is>
          <t>Local80</t>
        </is>
      </c>
      <c r="E121" s="6" t="n">
        <v>23.04</v>
      </c>
      <c r="F121" s="5" t="n"/>
      <c r="G121" s="5" t="n"/>
      <c r="H121" s="5" t="n"/>
      <c r="I121" s="5" t="n"/>
      <c r="J121" s="7">
        <f>IF(AND(N(F121)&gt;0,N(I121)&gt;0),I121-F121-IF(N(G121)&gt;0,0.5,0)-IF(N(H121)&gt;0,0.5,0),0)</f>
        <v/>
      </c>
      <c r="K121" s="5" t="n"/>
      <c r="L121" s="7">
        <f>MIN(J121,10.0)</f>
        <v/>
      </c>
      <c r="M121" s="7">
        <f>MAX(0,MIN(J121,12)-10.0)</f>
        <v/>
      </c>
      <c r="N121" s="7">
        <f>MAX(0,J121-12)</f>
        <v/>
      </c>
      <c r="O121" s="5" t="n"/>
      <c r="P121" s="6">
        <f>E121*(L121+M121*1.5+N121*2+O121*3+N(K121))</f>
        <v/>
      </c>
      <c r="Q121" s="5" t="n"/>
      <c r="R121" s="6">
        <f>Q121-P121</f>
        <v/>
      </c>
    </row>
    <row r="122">
      <c r="P122" s="2" t="inlineStr">
        <is>
          <t>FIRSTAIDLABOR LABOR</t>
        </is>
      </c>
      <c r="R122" s="8">
        <f>SUM(R121:R121)</f>
        <v/>
      </c>
    </row>
    <row r="124">
      <c r="B124" s="2" t="inlineStr">
        <is>
          <t>KEYGRIP</t>
        </is>
      </c>
    </row>
    <row r="125">
      <c r="A125" s="5" t="inlineStr">
        <is>
          <t>2501</t>
        </is>
      </c>
      <c r="B125" s="5" t="inlineStr">
        <is>
          <t>Pat O'Mara</t>
        </is>
      </c>
      <c r="C125" s="5" t="inlineStr">
        <is>
          <t>KEYGRIP</t>
        </is>
      </c>
      <c r="D125" s="5" t="inlineStr">
        <is>
          <t>Local80</t>
        </is>
      </c>
      <c r="E125" s="6" t="n">
        <v>25.5</v>
      </c>
      <c r="F125" s="5" t="n"/>
      <c r="G125" s="5" t="n"/>
      <c r="H125" s="5" t="n"/>
      <c r="I125" s="5" t="n"/>
      <c r="J125" s="7">
        <f>IF(AND(N(F125)&gt;0,N(I125)&gt;0),I125-F125-IF(N(G125)&gt;0,0.5,0)-IF(N(H125)&gt;0,0.5,0),0)</f>
        <v/>
      </c>
      <c r="K125" s="5" t="n"/>
      <c r="L125" s="7">
        <f>MIN(J125,10.0)</f>
        <v/>
      </c>
      <c r="M125" s="7">
        <f>MAX(0,MIN(J125,12)-10.0)</f>
        <v/>
      </c>
      <c r="N125" s="7">
        <f>MAX(0,J125-12)</f>
        <v/>
      </c>
      <c r="O125" s="5" t="n"/>
      <c r="P125" s="6">
        <f>E125*(L125+M125*1.5+N125*2+O125*3+N(K125))</f>
        <v/>
      </c>
      <c r="Q125" s="6" t="n">
        <v>395.25</v>
      </c>
      <c r="R125" s="6">
        <f>Q125-P125</f>
        <v/>
      </c>
    </row>
    <row r="126">
      <c r="P126" s="2" t="inlineStr">
        <is>
          <t>KEYGRIP LABOR</t>
        </is>
      </c>
      <c r="R126" s="8">
        <f>SUM(R125:R125)</f>
        <v/>
      </c>
    </row>
    <row r="128">
      <c r="B128" s="2" t="inlineStr">
        <is>
          <t>BESTBOYGRIP</t>
        </is>
      </c>
    </row>
    <row r="129">
      <c r="A129" s="5" t="inlineStr">
        <is>
          <t>2502</t>
        </is>
      </c>
      <c r="B129" s="5" t="inlineStr">
        <is>
          <t>Aaron Fairley</t>
        </is>
      </c>
      <c r="C129" s="5" t="inlineStr">
        <is>
          <t>BESTBOYGRIP</t>
        </is>
      </c>
      <c r="D129" s="5" t="inlineStr">
        <is>
          <t>Local80</t>
        </is>
      </c>
      <c r="E129" s="6" t="n">
        <v>23.04</v>
      </c>
      <c r="F129" s="5" t="n"/>
      <c r="G129" s="5" t="n"/>
      <c r="H129" s="5" t="n"/>
      <c r="I129" s="5" t="n"/>
      <c r="J129" s="7">
        <f>IF(AND(N(F129)&gt;0,N(I129)&gt;0),I129-F129-IF(N(G129)&gt;0,0.5,0)-IF(N(H129)&gt;0,0.5,0),0)</f>
        <v/>
      </c>
      <c r="K129" s="5" t="n"/>
      <c r="L129" s="7">
        <f>MIN(J129,10.0)</f>
        <v/>
      </c>
      <c r="M129" s="7">
        <f>MAX(0,MIN(J129,12)-10.0)</f>
        <v/>
      </c>
      <c r="N129" s="7">
        <f>MAX(0,J129-12)</f>
        <v/>
      </c>
      <c r="O129" s="5" t="n"/>
      <c r="P129" s="6">
        <f>E129*(L129+M129*1.5+N129*2+O129*3+N(K129))</f>
        <v/>
      </c>
      <c r="Q129" s="6" t="n">
        <v>357.12</v>
      </c>
      <c r="R129" s="6">
        <f>Q129-P129</f>
        <v/>
      </c>
    </row>
    <row r="130">
      <c r="A130" s="5" t="inlineStr">
        <is>
          <t>2502</t>
        </is>
      </c>
      <c r="B130" s="5" t="inlineStr"/>
      <c r="C130" s="5" t="inlineStr">
        <is>
          <t>STUDIOBESTBOYGRIP</t>
        </is>
      </c>
      <c r="D130" s="5" t="inlineStr">
        <is>
          <t>Local80</t>
        </is>
      </c>
      <c r="E130" s="6" t="n">
        <v>43.05</v>
      </c>
      <c r="F130" s="5" t="n"/>
      <c r="G130" s="5" t="n"/>
      <c r="H130" s="5" t="n"/>
      <c r="I130" s="5" t="n"/>
      <c r="J130" s="7">
        <f>IF(AND(N(F130)&gt;0,N(I130)&gt;0),I130-F130-IF(N(G130)&gt;0,0.5,0)-IF(N(H130)&gt;0,0.5,0),0)</f>
        <v/>
      </c>
      <c r="K130" s="5" t="n"/>
      <c r="L130" s="7">
        <f>MIN(J130,10.0)</f>
        <v/>
      </c>
      <c r="M130" s="7">
        <f>MAX(0,MIN(J130,12)-10.0)</f>
        <v/>
      </c>
      <c r="N130" s="7">
        <f>MAX(0,J130-12)</f>
        <v/>
      </c>
      <c r="O130" s="5" t="n"/>
      <c r="P130" s="6">
        <f>E130*(L130+M130*1.5+N130*2+O130*3+N(K130))</f>
        <v/>
      </c>
      <c r="Q130" s="6" t="n">
        <v>667.27</v>
      </c>
      <c r="R130" s="6">
        <f>Q130-P130</f>
        <v/>
      </c>
    </row>
    <row r="131">
      <c r="P131" s="2" t="inlineStr">
        <is>
          <t>BESTBOYGRIP LABOR</t>
        </is>
      </c>
      <c r="R131" s="8">
        <f>SUM(R129:R130)</f>
        <v/>
      </c>
    </row>
    <row r="133">
      <c r="B133" s="2" t="inlineStr">
        <is>
          <t>DOLLYGRIP</t>
        </is>
      </c>
    </row>
    <row r="134">
      <c r="A134" s="5" t="inlineStr">
        <is>
          <t>2503</t>
        </is>
      </c>
      <c r="B134" s="5" t="inlineStr">
        <is>
          <t>Peter Weidenfeller</t>
        </is>
      </c>
      <c r="C134" s="5" t="inlineStr">
        <is>
          <t>"A"DOLLYGRIP</t>
        </is>
      </c>
      <c r="D134" s="5" t="inlineStr">
        <is>
          <t>Local80</t>
        </is>
      </c>
      <c r="E134" s="6" t="n">
        <v>23.04</v>
      </c>
      <c r="F134" s="5" t="n"/>
      <c r="G134" s="5" t="n"/>
      <c r="H134" s="5" t="n"/>
      <c r="I134" s="5" t="n"/>
      <c r="J134" s="7">
        <f>IF(AND(N(F134)&gt;0,N(I134)&gt;0),I134-F134-IF(N(G134)&gt;0,0.5,0)-IF(N(H134)&gt;0,0.5,0),0)</f>
        <v/>
      </c>
      <c r="K134" s="5" t="n"/>
      <c r="L134" s="7">
        <f>MIN(J134,10.0)</f>
        <v/>
      </c>
      <c r="M134" s="7">
        <f>MAX(0,MIN(J134,12)-10.0)</f>
        <v/>
      </c>
      <c r="N134" s="7">
        <f>MAX(0,J134-12)</f>
        <v/>
      </c>
      <c r="O134" s="5" t="n"/>
      <c r="P134" s="6">
        <f>E134*(L134+M134*1.5+N134*2+O134*3+N(K134))</f>
        <v/>
      </c>
      <c r="Q134" s="6" t="n">
        <v>357.12</v>
      </c>
      <c r="R134" s="6">
        <f>Q134-P134</f>
        <v/>
      </c>
    </row>
    <row r="135">
      <c r="P135" s="2" t="inlineStr">
        <is>
          <t>DOLLYGRIP LABOR</t>
        </is>
      </c>
      <c r="R135" s="8">
        <f>SUM(R134:R134)</f>
        <v/>
      </c>
    </row>
    <row r="137">
      <c r="B137" s="2" t="inlineStr">
        <is>
          <t>CRANEGRIPS</t>
        </is>
      </c>
    </row>
    <row r="138">
      <c r="A138" s="5" t="inlineStr">
        <is>
          <t>2504</t>
        </is>
      </c>
      <c r="B138" s="5" t="inlineStr"/>
      <c r="C138" s="5" t="inlineStr">
        <is>
          <t>CRANEOPERATOR</t>
        </is>
      </c>
      <c r="D138" s="5" t="inlineStr">
        <is>
          <t>Local80</t>
        </is>
      </c>
      <c r="E138" s="6" t="n">
        <v>792</v>
      </c>
      <c r="F138" s="5" t="n"/>
      <c r="G138" s="5" t="n"/>
      <c r="H138" s="5" t="n"/>
      <c r="I138" s="5" t="n"/>
      <c r="J138" s="7">
        <f>IF(AND(N(F138)&gt;0,N(I138)&gt;0),I138-F138-IF(N(G138)&gt;0,0.5,0)-IF(N(H138)&gt;0,0.5,0),0)</f>
        <v/>
      </c>
      <c r="K138" s="5" t="n"/>
      <c r="L138" s="7">
        <f>MIN(J138,10.0)</f>
        <v/>
      </c>
      <c r="M138" s="7">
        <f>MAX(0,MIN(J138,12)-10.0)</f>
        <v/>
      </c>
      <c r="N138" s="7">
        <f>MAX(0,J138-12)</f>
        <v/>
      </c>
      <c r="O138" s="5" t="n"/>
      <c r="P138" s="6">
        <f>E138*(L138+M138*1.5+N138*2+O138*3+N(K138))</f>
        <v/>
      </c>
      <c r="Q138" s="6" t="n">
        <v>924</v>
      </c>
      <c r="R138" s="6">
        <f>Q138-P138</f>
        <v/>
      </c>
    </row>
    <row r="139">
      <c r="A139" s="5" t="inlineStr">
        <is>
          <t>2504</t>
        </is>
      </c>
      <c r="B139" s="5" t="inlineStr"/>
      <c r="C139" s="5" t="inlineStr">
        <is>
          <t>CRANEASSISTANT</t>
        </is>
      </c>
      <c r="D139" s="5" t="inlineStr">
        <is>
          <t>Local80</t>
        </is>
      </c>
      <c r="E139" s="6" t="n">
        <v>660</v>
      </c>
      <c r="F139" s="5" t="n"/>
      <c r="G139" s="5" t="n"/>
      <c r="H139" s="5" t="n"/>
      <c r="I139" s="5" t="n"/>
      <c r="J139" s="7">
        <f>IF(AND(N(F139)&gt;0,N(I139)&gt;0),I139-F139-IF(N(G139)&gt;0,0.5,0)-IF(N(H139)&gt;0,0.5,0),0)</f>
        <v/>
      </c>
      <c r="K139" s="5" t="n"/>
      <c r="L139" s="7">
        <f>MIN(J139,10.0)</f>
        <v/>
      </c>
      <c r="M139" s="7">
        <f>MAX(0,MIN(J139,12)-10.0)</f>
        <v/>
      </c>
      <c r="N139" s="7">
        <f>MAX(0,J139-12)</f>
        <v/>
      </c>
      <c r="O139" s="5" t="n"/>
      <c r="P139" s="6">
        <f>E139*(L139+M139*1.5+N139*2+O139*3+N(K139))</f>
        <v/>
      </c>
      <c r="Q139" s="6" t="n">
        <v>770</v>
      </c>
      <c r="R139" s="6">
        <f>Q139-P139</f>
        <v/>
      </c>
    </row>
    <row r="140">
      <c r="P140" s="2" t="inlineStr">
        <is>
          <t>CRANEGRIPS LABOR</t>
        </is>
      </c>
      <c r="R140" s="8">
        <f>SUM(R138:R139)</f>
        <v/>
      </c>
    </row>
    <row r="142">
      <c r="B142" s="2" t="inlineStr">
        <is>
          <t>COMPANYGRIPS</t>
        </is>
      </c>
    </row>
    <row r="143">
      <c r="A143" s="5" t="inlineStr">
        <is>
          <t>2505</t>
        </is>
      </c>
      <c r="B143" s="5" t="inlineStr"/>
      <c r="C143" s="5" t="inlineStr">
        <is>
          <t>GRIP#1</t>
        </is>
      </c>
      <c r="D143" s="5" t="inlineStr">
        <is>
          <t>Local80</t>
        </is>
      </c>
      <c r="E143" s="6" t="n">
        <v>20.57</v>
      </c>
      <c r="F143" s="5" t="n"/>
      <c r="G143" s="5" t="n"/>
      <c r="H143" s="5" t="n"/>
      <c r="I143" s="5" t="n"/>
      <c r="J143" s="7">
        <f>IF(AND(N(F143)&gt;0,N(I143)&gt;0),I143-F143-IF(N(G143)&gt;0,0.5,0)-IF(N(H143)&gt;0,0.5,0),0)</f>
        <v/>
      </c>
      <c r="K143" s="5" t="n"/>
      <c r="L143" s="7">
        <f>MIN(J143,10.0)</f>
        <v/>
      </c>
      <c r="M143" s="7">
        <f>MAX(0,MIN(J143,12)-10.0)</f>
        <v/>
      </c>
      <c r="N143" s="7">
        <f>MAX(0,J143-12)</f>
        <v/>
      </c>
      <c r="O143" s="5" t="n"/>
      <c r="P143" s="6">
        <f>E143*(L143+M143*1.5+N143*2+O143*3+N(K143))</f>
        <v/>
      </c>
      <c r="Q143" s="6" t="n">
        <v>318.83</v>
      </c>
      <c r="R143" s="6">
        <f>Q143-P143</f>
        <v/>
      </c>
    </row>
    <row r="144">
      <c r="A144" s="5" t="inlineStr">
        <is>
          <t>2505</t>
        </is>
      </c>
      <c r="B144" s="5" t="inlineStr"/>
      <c r="C144" s="5" t="inlineStr">
        <is>
          <t>GRIP#2</t>
        </is>
      </c>
      <c r="D144" s="5" t="inlineStr">
        <is>
          <t>Local80</t>
        </is>
      </c>
      <c r="E144" s="6" t="n">
        <v>20.57</v>
      </c>
      <c r="F144" s="5" t="n"/>
      <c r="G144" s="5" t="n"/>
      <c r="H144" s="5" t="n"/>
      <c r="I144" s="5" t="n"/>
      <c r="J144" s="7">
        <f>IF(AND(N(F144)&gt;0,N(I144)&gt;0),I144-F144-IF(N(G144)&gt;0,0.5,0)-IF(N(H144)&gt;0,0.5,0),0)</f>
        <v/>
      </c>
      <c r="K144" s="5" t="n"/>
      <c r="L144" s="7">
        <f>MIN(J144,10.0)</f>
        <v/>
      </c>
      <c r="M144" s="7">
        <f>MAX(0,MIN(J144,12)-10.0)</f>
        <v/>
      </c>
      <c r="N144" s="7">
        <f>MAX(0,J144-12)</f>
        <v/>
      </c>
      <c r="O144" s="5" t="n"/>
      <c r="P144" s="6">
        <f>E144*(L144+M144*1.5+N144*2+O144*3+N(K144))</f>
        <v/>
      </c>
      <c r="Q144" s="6" t="n">
        <v>318.83</v>
      </c>
      <c r="R144" s="6">
        <f>Q144-P144</f>
        <v/>
      </c>
    </row>
    <row r="145">
      <c r="A145" s="5" t="inlineStr">
        <is>
          <t>2505</t>
        </is>
      </c>
      <c r="B145" s="5" t="inlineStr"/>
      <c r="C145" s="5" t="inlineStr">
        <is>
          <t>GRIP#3</t>
        </is>
      </c>
      <c r="D145" s="5" t="inlineStr">
        <is>
          <t>Local80</t>
        </is>
      </c>
      <c r="E145" s="6" t="n">
        <v>20.57</v>
      </c>
      <c r="F145" s="5" t="n"/>
      <c r="G145" s="5" t="n"/>
      <c r="H145" s="5" t="n"/>
      <c r="I145" s="5" t="n"/>
      <c r="J145" s="7">
        <f>IF(AND(N(F145)&gt;0,N(I145)&gt;0),I145-F145-IF(N(G145)&gt;0,0.5,0)-IF(N(H145)&gt;0,0.5,0),0)</f>
        <v/>
      </c>
      <c r="K145" s="5" t="n"/>
      <c r="L145" s="7">
        <f>MIN(J145,10.0)</f>
        <v/>
      </c>
      <c r="M145" s="7">
        <f>MAX(0,MIN(J145,12)-10.0)</f>
        <v/>
      </c>
      <c r="N145" s="7">
        <f>MAX(0,J145-12)</f>
        <v/>
      </c>
      <c r="O145" s="5" t="n"/>
      <c r="P145" s="6">
        <f>E145*(L145+M145*1.5+N145*2+O145*3+N(K145))</f>
        <v/>
      </c>
      <c r="Q145" s="6" t="n">
        <v>318.83</v>
      </c>
      <c r="R145" s="6">
        <f>Q145-P145</f>
        <v/>
      </c>
    </row>
    <row r="146">
      <c r="P146" s="2" t="inlineStr">
        <is>
          <t>COMPANYGRIPS LABOR</t>
        </is>
      </c>
      <c r="R146" s="8">
        <f>SUM(R143:R145)</f>
        <v/>
      </c>
    </row>
    <row r="148">
      <c r="B148" s="2" t="inlineStr">
        <is>
          <t>OTHERLABOR</t>
        </is>
      </c>
    </row>
    <row r="149">
      <c r="A149" s="5" t="inlineStr">
        <is>
          <t>2506</t>
        </is>
      </c>
      <c r="B149" s="5" t="inlineStr"/>
      <c r="C149" s="5" t="inlineStr">
        <is>
          <t>GRIPMANDAYS&amp;RIGGINGMANDAYS</t>
        </is>
      </c>
      <c r="D149" s="5" t="inlineStr">
        <is>
          <t>Local80</t>
        </is>
      </c>
      <c r="E149" s="6" t="n">
        <v>20.57</v>
      </c>
      <c r="F149" s="5" t="n"/>
      <c r="G149" s="5" t="n"/>
      <c r="H149" s="5" t="n"/>
      <c r="I149" s="5" t="n"/>
      <c r="J149" s="7">
        <f>IF(AND(N(F149)&gt;0,N(I149)&gt;0),I149-F149-IF(N(G149)&gt;0,0.5,0)-IF(N(H149)&gt;0,0.5,0),0)</f>
        <v/>
      </c>
      <c r="K149" s="5" t="n"/>
      <c r="L149" s="7">
        <f>MIN(J149,10.0)</f>
        <v/>
      </c>
      <c r="M149" s="7">
        <f>MAX(0,MIN(J149,12)-10.0)</f>
        <v/>
      </c>
      <c r="N149" s="7">
        <f>MAX(0,J149-12)</f>
        <v/>
      </c>
      <c r="O149" s="5" t="n"/>
      <c r="P149" s="6">
        <f>E149*(L149+M149*1.5+N149*2+O149*3+N(K149))</f>
        <v/>
      </c>
      <c r="Q149" s="6" t="n">
        <v>318.83</v>
      </c>
      <c r="R149" s="6">
        <f>Q149-P149</f>
        <v/>
      </c>
    </row>
    <row r="150">
      <c r="P150" s="2" t="inlineStr">
        <is>
          <t>OTHERLABOR LABOR</t>
        </is>
      </c>
      <c r="R150" s="8">
        <f>SUM(R149:R149)</f>
        <v/>
      </c>
    </row>
    <row r="152">
      <c r="B152" s="2" t="inlineStr">
        <is>
          <t>STANDBYLABOR</t>
        </is>
      </c>
    </row>
    <row r="153">
      <c r="A153" s="5" t="inlineStr">
        <is>
          <t>2510</t>
        </is>
      </c>
      <c r="B153" s="5" t="inlineStr"/>
      <c r="C153" s="5" t="inlineStr">
        <is>
          <t>LAYOUTBOARD</t>
        </is>
      </c>
      <c r="D153" s="5" t="inlineStr">
        <is>
          <t>Local729</t>
        </is>
      </c>
      <c r="E153" s="6" t="n">
        <v>25.5</v>
      </c>
      <c r="F153" s="5" t="n"/>
      <c r="G153" s="5" t="n"/>
      <c r="H153" s="5" t="n"/>
      <c r="I153" s="5" t="n"/>
      <c r="J153" s="7">
        <f>IF(AND(N(F153)&gt;0,N(I153)&gt;0),I153-F153-IF(N(G153)&gt;0,0.5,0)-IF(N(H153)&gt;0,0.5,0),0)</f>
        <v/>
      </c>
      <c r="K153" s="5" t="n"/>
      <c r="L153" s="7">
        <f>MIN(J153,10.0)</f>
        <v/>
      </c>
      <c r="M153" s="7">
        <f>MAX(0,MIN(J153,12)-10.0)</f>
        <v/>
      </c>
      <c r="N153" s="7">
        <f>MAX(0,J153-12)</f>
        <v/>
      </c>
      <c r="O153" s="5" t="n"/>
      <c r="P153" s="6">
        <f>E153*(L153+M153*1.5+N153*2+O153*3+N(K153))</f>
        <v/>
      </c>
      <c r="Q153" s="6" t="n">
        <v>395.25</v>
      </c>
      <c r="R153" s="6">
        <f>Q153-P153</f>
        <v/>
      </c>
    </row>
    <row r="154">
      <c r="P154" s="2" t="inlineStr">
        <is>
          <t>STANDBYLABOR LABOR</t>
        </is>
      </c>
      <c r="R154" s="8">
        <f>SUM(R153:R153)</f>
        <v/>
      </c>
    </row>
    <row r="156">
      <c r="B156" s="2" t="inlineStr">
        <is>
          <t>SETCRAFTSERVICELABOR</t>
        </is>
      </c>
    </row>
    <row r="157">
      <c r="A157" s="5" t="inlineStr">
        <is>
          <t>2511</t>
        </is>
      </c>
      <c r="B157" s="5" t="inlineStr">
        <is>
          <t>Maurico Solis</t>
        </is>
      </c>
      <c r="C157" s="5" t="inlineStr">
        <is>
          <t>KEYCRAFTSERVICE</t>
        </is>
      </c>
      <c r="D157" s="5" t="inlineStr">
        <is>
          <t>Local80</t>
        </is>
      </c>
      <c r="E157" s="6" t="n">
        <v>25.5</v>
      </c>
      <c r="F157" s="5" t="n"/>
      <c r="G157" s="5" t="n"/>
      <c r="H157" s="5" t="n"/>
      <c r="I157" s="5" t="n"/>
      <c r="J157" s="7">
        <f>IF(AND(N(F157)&gt;0,N(I157)&gt;0),I157-F157-IF(N(G157)&gt;0,0.5,0)-IF(N(H157)&gt;0,0.5,0),0)</f>
        <v/>
      </c>
      <c r="K157" s="5" t="n"/>
      <c r="L157" s="7">
        <f>MIN(J157,10.0)</f>
        <v/>
      </c>
      <c r="M157" s="7">
        <f>MAX(0,MIN(J157,12)-10.0)</f>
        <v/>
      </c>
      <c r="N157" s="7">
        <f>MAX(0,J157-12)</f>
        <v/>
      </c>
      <c r="O157" s="5" t="n"/>
      <c r="P157" s="6">
        <f>E157*(L157+M157*1.5+N157*2+O157*3+N(K157))</f>
        <v/>
      </c>
      <c r="Q157" s="6" t="n">
        <v>439.87</v>
      </c>
      <c r="R157" s="6">
        <f>Q157-P157</f>
        <v/>
      </c>
    </row>
    <row r="158">
      <c r="A158" s="5" t="inlineStr">
        <is>
          <t>2511</t>
        </is>
      </c>
      <c r="B158" s="5" t="inlineStr"/>
      <c r="C158" s="5" t="inlineStr">
        <is>
          <t>ASSTCRAFTSERVICE</t>
        </is>
      </c>
      <c r="D158" s="5" t="inlineStr">
        <is>
          <t>Local80</t>
        </is>
      </c>
      <c r="E158" s="6" t="n">
        <v>23.04</v>
      </c>
      <c r="F158" s="5" t="n"/>
      <c r="G158" s="5" t="n"/>
      <c r="H158" s="5" t="n"/>
      <c r="I158" s="5" t="n"/>
      <c r="J158" s="7">
        <f>IF(AND(N(F158)&gt;0,N(I158)&gt;0),I158-F158-IF(N(G158)&gt;0,0.5,0)-IF(N(H158)&gt;0,0.5,0),0)</f>
        <v/>
      </c>
      <c r="K158" s="5" t="n"/>
      <c r="L158" s="7">
        <f>MIN(J158,10.0)</f>
        <v/>
      </c>
      <c r="M158" s="7">
        <f>MAX(0,MIN(J158,12)-10.0)</f>
        <v/>
      </c>
      <c r="N158" s="7">
        <f>MAX(0,J158-12)</f>
        <v/>
      </c>
      <c r="O158" s="5" t="n"/>
      <c r="P158" s="6">
        <f>E158*(L158+M158*1.5+N158*2+O158*3+N(K158))</f>
        <v/>
      </c>
      <c r="Q158" s="6" t="n">
        <v>397.43</v>
      </c>
      <c r="R158" s="6">
        <f>Q158-P158</f>
        <v/>
      </c>
    </row>
    <row r="159">
      <c r="P159" s="2" t="inlineStr">
        <is>
          <t>SETCRAFTSERVICELABOR LABOR</t>
        </is>
      </c>
      <c r="R159" s="8">
        <f>SUM(R157:R158)</f>
        <v/>
      </c>
    </row>
    <row r="161">
      <c r="B161" s="2" t="inlineStr">
        <is>
          <t>SETFIRSTAIDLABOR</t>
        </is>
      </c>
    </row>
    <row r="162">
      <c r="A162" s="5" t="inlineStr">
        <is>
          <t>2514</t>
        </is>
      </c>
      <c r="B162" s="5" t="inlineStr">
        <is>
          <t>Robert Hill</t>
        </is>
      </c>
      <c r="C162" s="5" t="inlineStr">
        <is>
          <t>SETMEDIC</t>
        </is>
      </c>
      <c r="D162" s="5" t="inlineStr">
        <is>
          <t>Local80</t>
        </is>
      </c>
      <c r="E162" s="6" t="n">
        <v>23.04</v>
      </c>
      <c r="F162" s="5" t="n"/>
      <c r="G162" s="5" t="n"/>
      <c r="H162" s="5" t="n"/>
      <c r="I162" s="5" t="n"/>
      <c r="J162" s="7">
        <f>IF(AND(N(F162)&gt;0,N(I162)&gt;0),I162-F162-IF(N(G162)&gt;0,0.5,0)-IF(N(H162)&gt;0,0.5,0),0)</f>
        <v/>
      </c>
      <c r="K162" s="5" t="n"/>
      <c r="L162" s="7">
        <f>MIN(J162,10.0)</f>
        <v/>
      </c>
      <c r="M162" s="7">
        <f>MAX(0,MIN(J162,12)-10.0)</f>
        <v/>
      </c>
      <c r="N162" s="7">
        <f>MAX(0,J162-12)</f>
        <v/>
      </c>
      <c r="O162" s="5" t="n"/>
      <c r="P162" s="6">
        <f>E162*(L162+M162*1.5+N162*2+O162*3+N(K162))</f>
        <v/>
      </c>
      <c r="Q162" s="6" t="n">
        <v>397.43</v>
      </c>
      <c r="R162" s="6">
        <f>Q162-P162</f>
        <v/>
      </c>
    </row>
    <row r="163">
      <c r="A163" s="5" t="inlineStr">
        <is>
          <t>2514</t>
        </is>
      </c>
      <c r="B163" s="5" t="inlineStr"/>
      <c r="C163" s="5" t="inlineStr">
        <is>
          <t>RIGGINGMEDICMANDAYS</t>
        </is>
      </c>
      <c r="D163" s="5" t="inlineStr">
        <is>
          <t>Local80</t>
        </is>
      </c>
      <c r="E163" s="6" t="n">
        <v>23.04</v>
      </c>
      <c r="F163" s="5" t="n"/>
      <c r="G163" s="5" t="n"/>
      <c r="H163" s="5" t="n"/>
      <c r="I163" s="5" t="n"/>
      <c r="J163" s="7">
        <f>IF(AND(N(F163)&gt;0,N(I163)&gt;0),I163-F163-IF(N(G163)&gt;0,0.5,0)-IF(N(H163)&gt;0,0.5,0),0)</f>
        <v/>
      </c>
      <c r="K163" s="5" t="n"/>
      <c r="L163" s="7">
        <f>MIN(J163,10.0)</f>
        <v/>
      </c>
      <c r="M163" s="7">
        <f>MAX(0,MIN(J163,12)-10.0)</f>
        <v/>
      </c>
      <c r="N163" s="7">
        <f>MAX(0,J163-12)</f>
        <v/>
      </c>
      <c r="O163" s="5" t="n"/>
      <c r="P163" s="6">
        <f>E163*(L163+M163*1.5+N163*2+O163*3+N(K163))</f>
        <v/>
      </c>
      <c r="Q163" s="5" t="n"/>
      <c r="R163" s="6">
        <f>Q163-P163</f>
        <v/>
      </c>
    </row>
    <row r="164">
      <c r="P164" s="2" t="inlineStr">
        <is>
          <t>SETFIRSTAIDLABOR LABOR</t>
        </is>
      </c>
      <c r="R164" s="8">
        <f>SUM(R162:R163)</f>
        <v/>
      </c>
    </row>
    <row r="166">
      <c r="B166" s="2" t="inlineStr">
        <is>
          <t>SFXCOORDINATOR</t>
        </is>
      </c>
    </row>
    <row r="167">
      <c r="A167" s="5" t="inlineStr">
        <is>
          <t>2601</t>
        </is>
      </c>
      <c r="B167" s="5" t="inlineStr">
        <is>
          <t>Zak Knight</t>
        </is>
      </c>
      <c r="C167" s="5" t="inlineStr">
        <is>
          <t>SPFXCOORDINATOR</t>
        </is>
      </c>
      <c r="D167" s="5" t="inlineStr">
        <is>
          <t>Local44</t>
        </is>
      </c>
      <c r="E167" s="6" t="n">
        <v>42</v>
      </c>
      <c r="F167" s="5" t="n"/>
      <c r="G167" s="5" t="n"/>
      <c r="H167" s="5" t="n"/>
      <c r="I167" s="5" t="n"/>
      <c r="J167" s="7">
        <f>IF(AND(N(F167)&gt;0,N(I167)&gt;0),I167-F167-IF(N(G167)&gt;0,0.5,0)-IF(N(H167)&gt;0,0.5,0),0)</f>
        <v/>
      </c>
      <c r="K167" s="5" t="n"/>
      <c r="L167" s="7">
        <f>MIN(J167,10.0)</f>
        <v/>
      </c>
      <c r="M167" s="7">
        <f>MAX(0,MIN(J167,12)-10.0)</f>
        <v/>
      </c>
      <c r="N167" s="7">
        <f>MAX(0,J167-12)</f>
        <v/>
      </c>
      <c r="O167" s="5" t="n"/>
      <c r="P167" s="6">
        <f>E167*(L167+M167*1.5+N167*2+O167*3+N(K167))</f>
        <v/>
      </c>
      <c r="Q167" s="6" t="n">
        <v>651</v>
      </c>
      <c r="R167" s="6">
        <f>Q167-P167</f>
        <v/>
      </c>
    </row>
    <row r="168">
      <c r="P168" s="2" t="inlineStr">
        <is>
          <t>SFXCOORDINATOR LABOR</t>
        </is>
      </c>
      <c r="R168" s="8">
        <f>SUM(R167:R167)</f>
        <v/>
      </c>
    </row>
    <row r="170">
      <c r="B170" s="2" t="inlineStr">
        <is>
          <t>SFXTECHMANDAYS</t>
        </is>
      </c>
    </row>
    <row r="171">
      <c r="A171" s="5" t="inlineStr">
        <is>
          <t>2609</t>
        </is>
      </c>
      <c r="B171" s="5" t="inlineStr"/>
      <c r="C171" s="5" t="inlineStr">
        <is>
          <t>SPFXTECHMANDAYS</t>
        </is>
      </c>
      <c r="D171" s="5" t="inlineStr">
        <is>
          <t>Local44</t>
        </is>
      </c>
      <c r="E171" s="6" t="n">
        <v>40</v>
      </c>
      <c r="F171" s="5" t="n"/>
      <c r="G171" s="5" t="n"/>
      <c r="H171" s="5" t="n"/>
      <c r="I171" s="5" t="n"/>
      <c r="J171" s="7">
        <f>IF(AND(N(F171)&gt;0,N(I171)&gt;0),I171-F171-IF(N(G171)&gt;0,0.5,0)-IF(N(H171)&gt;0,0.5,0),0)</f>
        <v/>
      </c>
      <c r="K171" s="5" t="n"/>
      <c r="L171" s="7">
        <f>MIN(J171,10.0)</f>
        <v/>
      </c>
      <c r="M171" s="7">
        <f>MAX(0,MIN(J171,12)-10.0)</f>
        <v/>
      </c>
      <c r="N171" s="7">
        <f>MAX(0,J171-12)</f>
        <v/>
      </c>
      <c r="O171" s="5" t="n"/>
      <c r="P171" s="6">
        <f>E171*(L171+M171*1.5+N171*2+O171*3+N(K171))</f>
        <v/>
      </c>
      <c r="Q171" s="6" t="n">
        <v>620</v>
      </c>
      <c r="R171" s="6">
        <f>Q171-P171</f>
        <v/>
      </c>
    </row>
    <row r="172">
      <c r="A172" s="5" t="inlineStr">
        <is>
          <t>2609</t>
        </is>
      </c>
      <c r="B172" s="5" t="inlineStr"/>
      <c r="C172" s="5" t="inlineStr">
        <is>
          <t>SPFXASSISTANTMANDAYS</t>
        </is>
      </c>
      <c r="D172" s="5" t="inlineStr">
        <is>
          <t>Local44</t>
        </is>
      </c>
      <c r="E172" s="6" t="n">
        <v>25.5</v>
      </c>
      <c r="F172" s="5" t="n"/>
      <c r="G172" s="5" t="n"/>
      <c r="H172" s="5" t="n"/>
      <c r="I172" s="5" t="n"/>
      <c r="J172" s="7">
        <f>IF(AND(N(F172)&gt;0,N(I172)&gt;0),I172-F172-IF(N(G172)&gt;0,0.5,0)-IF(N(H172)&gt;0,0.5,0),0)</f>
        <v/>
      </c>
      <c r="K172" s="5" t="n"/>
      <c r="L172" s="7">
        <f>MIN(J172,10.0)</f>
        <v/>
      </c>
      <c r="M172" s="7">
        <f>MAX(0,MIN(J172,12)-10.0)</f>
        <v/>
      </c>
      <c r="N172" s="7">
        <f>MAX(0,J172-12)</f>
        <v/>
      </c>
      <c r="O172" s="5" t="n"/>
      <c r="P172" s="6">
        <f>E172*(L172+M172*1.5+N172*2+O172*3+N(K172))</f>
        <v/>
      </c>
      <c r="Q172" s="6" t="n">
        <v>395.25</v>
      </c>
      <c r="R172" s="6">
        <f>Q172-P172</f>
        <v/>
      </c>
    </row>
    <row r="173">
      <c r="A173" s="5" t="inlineStr">
        <is>
          <t>2609</t>
        </is>
      </c>
      <c r="B173" s="5" t="inlineStr"/>
      <c r="C173" s="5" t="inlineStr">
        <is>
          <t>PYROMANDAYS</t>
        </is>
      </c>
      <c r="D173" s="5" t="inlineStr">
        <is>
          <t>Local44</t>
        </is>
      </c>
      <c r="E173" s="6" t="n">
        <v>68.18000000000001</v>
      </c>
      <c r="F173" s="5" t="n"/>
      <c r="G173" s="5" t="n"/>
      <c r="H173" s="5" t="n"/>
      <c r="I173" s="5" t="n"/>
      <c r="J173" s="7">
        <f>IF(AND(N(F173)&gt;0,N(I173)&gt;0),I173-F173-IF(N(G173)&gt;0,0.5,0)-IF(N(H173)&gt;0,0.5,0),0)</f>
        <v/>
      </c>
      <c r="K173" s="5" t="n"/>
      <c r="L173" s="7">
        <f>MIN(J173,10.0)</f>
        <v/>
      </c>
      <c r="M173" s="7">
        <f>MAX(0,MIN(J173,12)-10.0)</f>
        <v/>
      </c>
      <c r="N173" s="7">
        <f>MAX(0,J173-12)</f>
        <v/>
      </c>
      <c r="O173" s="5" t="n"/>
      <c r="P173" s="6">
        <f>E173*(L173+M173*1.5+N173*2+O173*3+N(K173))</f>
        <v/>
      </c>
      <c r="Q173" s="6" t="n">
        <v>749.98</v>
      </c>
      <c r="R173" s="6">
        <f>Q173-P173</f>
        <v/>
      </c>
    </row>
    <row r="174">
      <c r="P174" s="2" t="inlineStr">
        <is>
          <t>SFXTECHMANDAYS LABOR</t>
        </is>
      </c>
      <c r="R174" s="8">
        <f>SUM(R171:R173)</f>
        <v/>
      </c>
    </row>
    <row r="176">
      <c r="B176" s="2" t="inlineStr">
        <is>
          <t>SETDECORATOR</t>
        </is>
      </c>
    </row>
    <row r="177">
      <c r="A177" s="5" t="inlineStr">
        <is>
          <t>2701</t>
        </is>
      </c>
      <c r="B177" s="5" t="inlineStr">
        <is>
          <t>Sandy Skora</t>
        </is>
      </c>
      <c r="C177" s="5" t="inlineStr">
        <is>
          <t>SETDECORATOR</t>
        </is>
      </c>
      <c r="D177" s="5" t="inlineStr">
        <is>
          <t>Local44</t>
        </is>
      </c>
      <c r="E177" s="6" t="n">
        <v>400</v>
      </c>
      <c r="F177" s="5" t="n"/>
      <c r="G177" s="5" t="n"/>
      <c r="H177" s="5" t="n"/>
      <c r="I177" s="5" t="n"/>
      <c r="J177" s="7">
        <f>IF(AND(N(F177)&gt;0,N(I177)&gt;0),I177-F177-IF(N(G177)&gt;0,0.5,0)-IF(N(H177)&gt;0,0.5,0),0)</f>
        <v/>
      </c>
      <c r="K177" s="5" t="n"/>
      <c r="L177" s="7">
        <f>MIN(J177,10.0)</f>
        <v/>
      </c>
      <c r="M177" s="7">
        <f>MAX(0,MIN(J177,12)-10.0)</f>
        <v/>
      </c>
      <c r="N177" s="7">
        <f>MAX(0,J177-12)</f>
        <v/>
      </c>
      <c r="O177" s="5" t="n"/>
      <c r="P177" s="6">
        <f>E177*(L177+M177*1.5+N177*2+O177*3+N(K177))</f>
        <v/>
      </c>
      <c r="Q177" s="6" t="n">
        <v>400</v>
      </c>
      <c r="R177" s="6">
        <f>Q177-P177</f>
        <v/>
      </c>
    </row>
    <row r="178">
      <c r="P178" s="2" t="inlineStr">
        <is>
          <t>SETDECORATOR LABOR</t>
        </is>
      </c>
      <c r="R178" s="8">
        <f>SUM(R177:R177)</f>
        <v/>
      </c>
    </row>
    <row r="180">
      <c r="B180" s="2" t="inlineStr">
        <is>
          <t>LEADPERSON</t>
        </is>
      </c>
    </row>
    <row r="181">
      <c r="A181" s="5" t="inlineStr">
        <is>
          <t>2702</t>
        </is>
      </c>
      <c r="B181" s="5" t="inlineStr">
        <is>
          <t>Josh Richmond</t>
        </is>
      </c>
      <c r="C181" s="5" t="inlineStr">
        <is>
          <t>LEADPERSON</t>
        </is>
      </c>
      <c r="D181" s="5" t="inlineStr">
        <is>
          <t>Local44</t>
        </is>
      </c>
      <c r="E181" s="6" t="n">
        <v>23.04</v>
      </c>
      <c r="F181" s="5" t="n"/>
      <c r="G181" s="5" t="n"/>
      <c r="H181" s="5" t="n"/>
      <c r="I181" s="5" t="n"/>
      <c r="J181" s="7">
        <f>IF(AND(N(F181)&gt;0,N(I181)&gt;0),I181-F181-IF(N(G181)&gt;0,0.5,0)-IF(N(H181)&gt;0,0.5,0),0)</f>
        <v/>
      </c>
      <c r="K181" s="5" t="n"/>
      <c r="L181" s="7">
        <f>MIN(J181,10.0)</f>
        <v/>
      </c>
      <c r="M181" s="7">
        <f>MAX(0,MIN(J181,12)-10.0)</f>
        <v/>
      </c>
      <c r="N181" s="7">
        <f>MAX(0,J181-12)</f>
        <v/>
      </c>
      <c r="O181" s="5" t="n"/>
      <c r="P181" s="6">
        <f>E181*(L181+M181*1.5+N181*2+O181*3+N(K181))</f>
        <v/>
      </c>
      <c r="Q181" s="6" t="n">
        <v>322.56</v>
      </c>
      <c r="R181" s="6">
        <f>Q181-P181</f>
        <v/>
      </c>
    </row>
    <row r="182">
      <c r="P182" s="2" t="inlineStr">
        <is>
          <t>LEADPERSON LABOR</t>
        </is>
      </c>
      <c r="R182" s="8">
        <f>SUM(R181:R181)</f>
        <v/>
      </c>
    </row>
    <row r="184">
      <c r="B184" s="2" t="inlineStr">
        <is>
          <t>SWINGLABOR</t>
        </is>
      </c>
    </row>
    <row r="185">
      <c r="A185" s="5" t="inlineStr">
        <is>
          <t>2703</t>
        </is>
      </c>
      <c r="B185" s="5" t="inlineStr">
        <is>
          <t>Tim Dodge</t>
        </is>
      </c>
      <c r="C185" s="5" t="inlineStr">
        <is>
          <t>SWING#1</t>
        </is>
      </c>
      <c r="D185" s="5" t="inlineStr">
        <is>
          <t>Local44</t>
        </is>
      </c>
      <c r="E185" s="6" t="n">
        <v>20.57</v>
      </c>
      <c r="F185" s="5" t="n"/>
      <c r="G185" s="5" t="n"/>
      <c r="H185" s="5" t="n"/>
      <c r="I185" s="5" t="n"/>
      <c r="J185" s="7">
        <f>IF(AND(N(F185)&gt;0,N(I185)&gt;0),I185-F185-IF(N(G185)&gt;0,0.5,0)-IF(N(H185)&gt;0,0.5,0),0)</f>
        <v/>
      </c>
      <c r="K185" s="5" t="n"/>
      <c r="L185" s="7">
        <f>MIN(J185,10.0)</f>
        <v/>
      </c>
      <c r="M185" s="7">
        <f>MAX(0,MIN(J185,12)-10.0)</f>
        <v/>
      </c>
      <c r="N185" s="7">
        <f>MAX(0,J185-12)</f>
        <v/>
      </c>
      <c r="O185" s="5" t="n"/>
      <c r="P185" s="6">
        <f>E185*(L185+M185*1.5+N185*2+O185*3+N(K185))</f>
        <v/>
      </c>
      <c r="Q185" s="6" t="n">
        <v>287.98</v>
      </c>
      <c r="R185" s="6">
        <f>Q185-P185</f>
        <v/>
      </c>
    </row>
    <row r="186">
      <c r="A186" s="5" t="inlineStr">
        <is>
          <t>2703</t>
        </is>
      </c>
      <c r="B186" s="5" t="inlineStr"/>
      <c r="C186" s="5" t="inlineStr">
        <is>
          <t>SWING#2</t>
        </is>
      </c>
      <c r="D186" s="5" t="inlineStr">
        <is>
          <t>Local44</t>
        </is>
      </c>
      <c r="E186" s="6" t="n">
        <v>20.57</v>
      </c>
      <c r="F186" s="5" t="n"/>
      <c r="G186" s="5" t="n"/>
      <c r="H186" s="5" t="n"/>
      <c r="I186" s="5" t="n"/>
      <c r="J186" s="7">
        <f>IF(AND(N(F186)&gt;0,N(I186)&gt;0),I186-F186-IF(N(G186)&gt;0,0.5,0)-IF(N(H186)&gt;0,0.5,0),0)</f>
        <v/>
      </c>
      <c r="K186" s="5" t="n"/>
      <c r="L186" s="7">
        <f>MIN(J186,10.0)</f>
        <v/>
      </c>
      <c r="M186" s="7">
        <f>MAX(0,MIN(J186,12)-10.0)</f>
        <v/>
      </c>
      <c r="N186" s="7">
        <f>MAX(0,J186-12)</f>
        <v/>
      </c>
      <c r="O186" s="5" t="n"/>
      <c r="P186" s="6">
        <f>E186*(L186+M186*1.5+N186*2+O186*3+N(K186))</f>
        <v/>
      </c>
      <c r="Q186" s="6" t="n">
        <v>287.98</v>
      </c>
      <c r="R186" s="6">
        <f>Q186-P186</f>
        <v/>
      </c>
    </row>
    <row r="187">
      <c r="A187" s="5" t="inlineStr">
        <is>
          <t>2703</t>
        </is>
      </c>
      <c r="B187" s="5" t="inlineStr"/>
      <c r="C187" s="5" t="inlineStr">
        <is>
          <t>ADDITIONALSWINGMANDAYS</t>
        </is>
      </c>
      <c r="D187" s="5" t="inlineStr">
        <is>
          <t>Local44</t>
        </is>
      </c>
      <c r="E187" s="6" t="n">
        <v>20.57</v>
      </c>
      <c r="F187" s="5" t="n"/>
      <c r="G187" s="5" t="n"/>
      <c r="H187" s="5" t="n"/>
      <c r="I187" s="5" t="n"/>
      <c r="J187" s="7">
        <f>IF(AND(N(F187)&gt;0,N(I187)&gt;0),I187-F187-IF(N(G187)&gt;0,0.5,0)-IF(N(H187)&gt;0,0.5,0),0)</f>
        <v/>
      </c>
      <c r="K187" s="5" t="n"/>
      <c r="L187" s="7">
        <f>MIN(J187,10.0)</f>
        <v/>
      </c>
      <c r="M187" s="7">
        <f>MAX(0,MIN(J187,12)-10.0)</f>
        <v/>
      </c>
      <c r="N187" s="7">
        <f>MAX(0,J187-12)</f>
        <v/>
      </c>
      <c r="O187" s="5" t="n"/>
      <c r="P187" s="6">
        <f>E187*(L187+M187*1.5+N187*2+O187*3+N(K187))</f>
        <v/>
      </c>
      <c r="Q187" s="6" t="n">
        <v>287.98</v>
      </c>
      <c r="R187" s="6">
        <f>Q187-P187</f>
        <v/>
      </c>
    </row>
    <row r="188">
      <c r="P188" s="2" t="inlineStr">
        <is>
          <t>SWINGLABOR LABOR</t>
        </is>
      </c>
      <c r="R188" s="8">
        <f>SUM(R185:R187)</f>
        <v/>
      </c>
    </row>
    <row r="190">
      <c r="B190" s="2" t="inlineStr">
        <is>
          <t>ON-SETDRESSER</t>
        </is>
      </c>
    </row>
    <row r="191">
      <c r="A191" s="5" t="inlineStr">
        <is>
          <t>2705</t>
        </is>
      </c>
      <c r="B191" s="5" t="inlineStr">
        <is>
          <t>Khamisi Thurman</t>
        </is>
      </c>
      <c r="C191" s="5" t="inlineStr">
        <is>
          <t>ON-SETDRESSER</t>
        </is>
      </c>
      <c r="D191" s="5" t="inlineStr">
        <is>
          <t>Local44</t>
        </is>
      </c>
      <c r="E191" s="6" t="n">
        <v>20.57</v>
      </c>
      <c r="F191" s="5" t="n"/>
      <c r="G191" s="5" t="n"/>
      <c r="H191" s="5" t="n"/>
      <c r="I191" s="5" t="n"/>
      <c r="J191" s="7">
        <f>IF(AND(N(F191)&gt;0,N(I191)&gt;0),I191-F191-IF(N(G191)&gt;0,0.5,0)-IF(N(H191)&gt;0,0.5,0),0)</f>
        <v/>
      </c>
      <c r="K191" s="5" t="n"/>
      <c r="L191" s="7">
        <f>MIN(J191,10.0)</f>
        <v/>
      </c>
      <c r="M191" s="7">
        <f>MAX(0,MIN(J191,12)-10.0)</f>
        <v/>
      </c>
      <c r="N191" s="7">
        <f>MAX(0,J191-12)</f>
        <v/>
      </c>
      <c r="O191" s="5" t="n"/>
      <c r="P191" s="6">
        <f>E191*(L191+M191*1.5+N191*2+O191*3+N(K191))</f>
        <v/>
      </c>
      <c r="Q191" s="6" t="n">
        <v>318.83</v>
      </c>
      <c r="R191" s="6">
        <f>Q191-P191</f>
        <v/>
      </c>
    </row>
    <row r="192">
      <c r="P192" s="2" t="inlineStr">
        <is>
          <t>ON-SETDRESSER LABOR</t>
        </is>
      </c>
      <c r="R192" s="8">
        <f>SUM(R191:R191)</f>
        <v/>
      </c>
    </row>
    <row r="194">
      <c r="B194" s="2" t="inlineStr">
        <is>
          <t>BUYERS</t>
        </is>
      </c>
    </row>
    <row r="195">
      <c r="A195" s="5" t="inlineStr">
        <is>
          <t>2706</t>
        </is>
      </c>
      <c r="B195" s="5" t="inlineStr">
        <is>
          <t>Sarah Hickman</t>
        </is>
      </c>
      <c r="C195" s="5" t="inlineStr">
        <is>
          <t>BUYER</t>
        </is>
      </c>
      <c r="D195" s="5" t="inlineStr">
        <is>
          <t>Local44</t>
        </is>
      </c>
      <c r="E195" s="6" t="n">
        <v>23.04</v>
      </c>
      <c r="F195" s="5" t="n"/>
      <c r="G195" s="5" t="n"/>
      <c r="H195" s="5" t="n"/>
      <c r="I195" s="5" t="n"/>
      <c r="J195" s="7">
        <f>IF(AND(N(F195)&gt;0,N(I195)&gt;0),I195-F195-IF(N(G195)&gt;0,0.5,0)-IF(N(H195)&gt;0,0.5,0),0)</f>
        <v/>
      </c>
      <c r="K195" s="5" t="n"/>
      <c r="L195" s="7">
        <f>MIN(J195,10.0)</f>
        <v/>
      </c>
      <c r="M195" s="7">
        <f>MAX(0,MIN(J195,12)-10.0)</f>
        <v/>
      </c>
      <c r="N195" s="7">
        <f>MAX(0,J195-12)</f>
        <v/>
      </c>
      <c r="O195" s="5" t="n"/>
      <c r="P195" s="6">
        <f>E195*(L195+M195*1.5+N195*2+O195*3+N(K195))</f>
        <v/>
      </c>
      <c r="Q195" s="5" t="n"/>
      <c r="R195" s="6">
        <f>Q195-P195</f>
        <v/>
      </c>
    </row>
    <row r="196">
      <c r="P196" s="2" t="inlineStr">
        <is>
          <t>BUYERS LABOR</t>
        </is>
      </c>
      <c r="R196" s="8">
        <f>SUM(R195:R195)</f>
        <v/>
      </c>
    </row>
    <row r="198">
      <c r="B198" s="2" t="inlineStr">
        <is>
          <t>PROPMASTER</t>
        </is>
      </c>
    </row>
    <row r="199">
      <c r="A199" s="5" t="inlineStr">
        <is>
          <t>2801</t>
        </is>
      </c>
      <c r="B199" s="5" t="inlineStr">
        <is>
          <t>Annie Brandt</t>
        </is>
      </c>
      <c r="C199" s="5" t="inlineStr">
        <is>
          <t>PROPMASTER</t>
        </is>
      </c>
      <c r="D199" s="5" t="inlineStr">
        <is>
          <t>Local44</t>
        </is>
      </c>
      <c r="E199" s="6" t="n">
        <v>25.5</v>
      </c>
      <c r="F199" s="5" t="n"/>
      <c r="G199" s="5" t="n"/>
      <c r="H199" s="5" t="n"/>
      <c r="I199" s="5" t="n"/>
      <c r="J199" s="7">
        <f>IF(AND(N(F199)&gt;0,N(I199)&gt;0),I199-F199-IF(N(G199)&gt;0,0.5,0)-IF(N(H199)&gt;0,0.5,0),0)</f>
        <v/>
      </c>
      <c r="K199" s="5" t="n"/>
      <c r="L199" s="7">
        <f>MIN(J199,10.0)</f>
        <v/>
      </c>
      <c r="M199" s="7">
        <f>MAX(0,MIN(J199,12)-10.0)</f>
        <v/>
      </c>
      <c r="N199" s="7">
        <f>MAX(0,J199-12)</f>
        <v/>
      </c>
      <c r="O199" s="5" t="n"/>
      <c r="P199" s="6">
        <f>E199*(L199+M199*1.5+N199*2+O199*3+N(K199))</f>
        <v/>
      </c>
      <c r="Q199" s="6" t="n">
        <v>395.25</v>
      </c>
      <c r="R199" s="6">
        <f>Q199-P199</f>
        <v/>
      </c>
    </row>
    <row r="200">
      <c r="P200" s="2" t="inlineStr">
        <is>
          <t>PROPMASTER LABOR</t>
        </is>
      </c>
      <c r="R200" s="8">
        <f>SUM(R199:R199)</f>
        <v/>
      </c>
    </row>
    <row r="202">
      <c r="B202" s="2" t="inlineStr">
        <is>
          <t>ASSTPROPMASTER</t>
        </is>
      </c>
    </row>
    <row r="203">
      <c r="A203" s="5" t="inlineStr">
        <is>
          <t>2802</t>
        </is>
      </c>
      <c r="B203" s="5" t="inlineStr">
        <is>
          <t>Nate Bakes</t>
        </is>
      </c>
      <c r="C203" s="5" t="inlineStr">
        <is>
          <t>ASSTPROPMASTER</t>
        </is>
      </c>
      <c r="D203" s="5" t="inlineStr">
        <is>
          <t>Local44</t>
        </is>
      </c>
      <c r="E203" s="6" t="n">
        <v>23.04</v>
      </c>
      <c r="F203" s="5" t="n"/>
      <c r="G203" s="5" t="n"/>
      <c r="H203" s="5" t="n"/>
      <c r="I203" s="5" t="n"/>
      <c r="J203" s="7">
        <f>IF(AND(N(F203)&gt;0,N(I203)&gt;0),I203-F203-IF(N(G203)&gt;0,0.5,0)-IF(N(H203)&gt;0,0.5,0),0)</f>
        <v/>
      </c>
      <c r="K203" s="5" t="n"/>
      <c r="L203" s="7">
        <f>MIN(J203,10.0)</f>
        <v/>
      </c>
      <c r="M203" s="7">
        <f>MAX(0,MIN(J203,12)-10.0)</f>
        <v/>
      </c>
      <c r="N203" s="7">
        <f>MAX(0,J203-12)</f>
        <v/>
      </c>
      <c r="O203" s="5" t="n"/>
      <c r="P203" s="6">
        <f>E203*(L203+M203*1.5+N203*2+O203*3+N(K203))</f>
        <v/>
      </c>
      <c r="Q203" s="6" t="n">
        <v>357.12</v>
      </c>
      <c r="R203" s="6">
        <f>Q203-P203</f>
        <v/>
      </c>
    </row>
    <row r="204">
      <c r="P204" s="2" t="inlineStr">
        <is>
          <t>ASSTPROPMASTER LABOR</t>
        </is>
      </c>
      <c r="R204" s="8">
        <f>SUM(R203:R203)</f>
        <v/>
      </c>
    </row>
    <row r="206">
      <c r="B206" s="2" t="inlineStr">
        <is>
          <t>COSTUMEDESIGNER</t>
        </is>
      </c>
    </row>
    <row r="207">
      <c r="A207" s="5" t="inlineStr">
        <is>
          <t>2901</t>
        </is>
      </c>
      <c r="B207" s="5" t="inlineStr">
        <is>
          <t>Megan Spatz</t>
        </is>
      </c>
      <c r="C207" s="5" t="inlineStr">
        <is>
          <t>COSTUMEDESIGNER</t>
        </is>
      </c>
      <c r="D207" s="5" t="inlineStr">
        <is>
          <t>Local892</t>
        </is>
      </c>
      <c r="E207" s="6" t="n">
        <v>540</v>
      </c>
      <c r="F207" s="5" t="n"/>
      <c r="G207" s="5" t="n"/>
      <c r="H207" s="5" t="n"/>
      <c r="I207" s="5" t="n"/>
      <c r="J207" s="7">
        <f>IF(AND(N(F207)&gt;0,N(I207)&gt;0),I207-F207-IF(N(G207)&gt;0,0.5,0)-IF(N(H207)&gt;0,0.5,0),0)</f>
        <v/>
      </c>
      <c r="K207" s="5" t="n"/>
      <c r="L207" s="7">
        <f>MIN(J207,8.0)</f>
        <v/>
      </c>
      <c r="M207" s="7">
        <f>MAX(0,MIN(J207,12)-8.0)</f>
        <v/>
      </c>
      <c r="N207" s="7">
        <f>MAX(0,J207-12)</f>
        <v/>
      </c>
      <c r="O207" s="5" t="n"/>
      <c r="P207" s="6">
        <f>E207*(L207+M207*1.5+N207*2+O207*3+N(K207))</f>
        <v/>
      </c>
      <c r="Q207" s="6" t="n">
        <v>540</v>
      </c>
      <c r="R207" s="6">
        <f>Q207-P207</f>
        <v/>
      </c>
    </row>
    <row r="208">
      <c r="P208" s="2" t="inlineStr">
        <is>
          <t>COSTUMEDESIGNER LABOR</t>
        </is>
      </c>
      <c r="R208" s="8">
        <f>SUM(R207:R207)</f>
        <v/>
      </c>
    </row>
    <row r="210">
      <c r="B210" s="2" t="inlineStr">
        <is>
          <t>COSTUMESUPERVISOR</t>
        </is>
      </c>
    </row>
    <row r="211">
      <c r="A211" s="5" t="inlineStr">
        <is>
          <t>2903</t>
        </is>
      </c>
      <c r="B211" s="5" t="inlineStr">
        <is>
          <t>Danielle Schuck</t>
        </is>
      </c>
      <c r="C211" s="5" t="inlineStr">
        <is>
          <t>COSTUMESUPERVISOR</t>
        </is>
      </c>
      <c r="D211" s="5" t="inlineStr">
        <is>
          <t>Local705</t>
        </is>
      </c>
      <c r="E211" s="6" t="n">
        <v>25.5</v>
      </c>
      <c r="F211" s="5" t="n"/>
      <c r="G211" s="5" t="n"/>
      <c r="H211" s="5" t="n"/>
      <c r="I211" s="5" t="n"/>
      <c r="J211" s="7">
        <f>IF(AND(N(F211)&gt;0,N(I211)&gt;0),I211-F211-IF(N(G211)&gt;0,0.5,0)-IF(N(H211)&gt;0,0.5,0),0)</f>
        <v/>
      </c>
      <c r="K211" s="5" t="n"/>
      <c r="L211" s="7">
        <f>MIN(J211,8.0)</f>
        <v/>
      </c>
      <c r="M211" s="7">
        <f>MAX(0,MIN(J211,12)-8.0)</f>
        <v/>
      </c>
      <c r="N211" s="7">
        <f>MAX(0,J211-12)</f>
        <v/>
      </c>
      <c r="O211" s="5" t="n"/>
      <c r="P211" s="6">
        <f>E211*(L211+M211*1.5+N211*2+O211*3+N(K211))</f>
        <v/>
      </c>
      <c r="Q211" s="6" t="n">
        <v>395.25</v>
      </c>
      <c r="R211" s="6">
        <f>Q211-P211</f>
        <v/>
      </c>
    </row>
    <row r="212">
      <c r="P212" s="2" t="inlineStr">
        <is>
          <t>COSTUMESUPERVISOR LABOR</t>
        </is>
      </c>
      <c r="R212" s="8">
        <f>SUM(R211:R211)</f>
        <v/>
      </c>
    </row>
    <row r="214">
      <c r="B214" s="2" t="inlineStr">
        <is>
          <t>SETCOSTUMERS</t>
        </is>
      </c>
    </row>
    <row r="215">
      <c r="A215" s="5" t="inlineStr">
        <is>
          <t>2905</t>
        </is>
      </c>
      <c r="B215" s="5" t="inlineStr">
        <is>
          <t>Monavie Tutop</t>
        </is>
      </c>
      <c r="C215" s="5" t="inlineStr">
        <is>
          <t>COSTUMER#1</t>
        </is>
      </c>
      <c r="D215" s="5" t="inlineStr">
        <is>
          <t>Local705</t>
        </is>
      </c>
      <c r="E215" s="6" t="n">
        <v>23.04</v>
      </c>
      <c r="F215" s="5" t="n"/>
      <c r="G215" s="5" t="n"/>
      <c r="H215" s="5" t="n"/>
      <c r="I215" s="5" t="n"/>
      <c r="J215" s="7">
        <f>IF(AND(N(F215)&gt;0,N(I215)&gt;0),I215-F215-IF(N(G215)&gt;0,0.5,0)-IF(N(H215)&gt;0,0.5,0),0)</f>
        <v/>
      </c>
      <c r="K215" s="5" t="n"/>
      <c r="L215" s="7">
        <f>MIN(J215,8.0)</f>
        <v/>
      </c>
      <c r="M215" s="7">
        <f>MAX(0,MIN(J215,12)-8.0)</f>
        <v/>
      </c>
      <c r="N215" s="7">
        <f>MAX(0,J215-12)</f>
        <v/>
      </c>
      <c r="O215" s="5" t="n"/>
      <c r="P215" s="6">
        <f>E215*(L215+M215*1.5+N215*2+O215*3+N(K215))</f>
        <v/>
      </c>
      <c r="Q215" s="6" t="n">
        <v>397.43</v>
      </c>
      <c r="R215" s="6">
        <f>Q215-P215</f>
        <v/>
      </c>
    </row>
    <row r="216">
      <c r="A216" s="5" t="inlineStr">
        <is>
          <t>2905</t>
        </is>
      </c>
      <c r="B216" s="5" t="inlineStr"/>
      <c r="C216" s="5" t="inlineStr">
        <is>
          <t>COSTUMER#2</t>
        </is>
      </c>
      <c r="D216" s="5" t="inlineStr">
        <is>
          <t>Local705</t>
        </is>
      </c>
      <c r="E216" s="6" t="n">
        <v>20.57</v>
      </c>
      <c r="F216" s="5" t="n"/>
      <c r="G216" s="5" t="n"/>
      <c r="H216" s="5" t="n"/>
      <c r="I216" s="5" t="n"/>
      <c r="J216" s="7">
        <f>IF(AND(N(F216)&gt;0,N(I216)&gt;0),I216-F216-IF(N(G216)&gt;0,0.5,0)-IF(N(H216)&gt;0,0.5,0),0)</f>
        <v/>
      </c>
      <c r="K216" s="5" t="n"/>
      <c r="L216" s="7">
        <f>MIN(J216,8.0)</f>
        <v/>
      </c>
      <c r="M216" s="7">
        <f>MAX(0,MIN(J216,12)-8.0)</f>
        <v/>
      </c>
      <c r="N216" s="7">
        <f>MAX(0,J216-12)</f>
        <v/>
      </c>
      <c r="O216" s="5" t="n"/>
      <c r="P216" s="6">
        <f>E216*(L216+M216*1.5+N216*2+O216*3+N(K216))</f>
        <v/>
      </c>
      <c r="Q216" s="6" t="n">
        <v>354.83</v>
      </c>
      <c r="R216" s="6">
        <f>Q216-P216</f>
        <v/>
      </c>
    </row>
    <row r="217">
      <c r="P217" s="2" t="inlineStr">
        <is>
          <t>SETCOSTUMERS LABOR</t>
        </is>
      </c>
      <c r="R217" s="8">
        <f>SUM(R215:R216)</f>
        <v/>
      </c>
    </row>
    <row r="219">
      <c r="B219" s="2" t="inlineStr">
        <is>
          <t>KEYMAKE-UP</t>
        </is>
      </c>
    </row>
    <row r="220">
      <c r="A220" s="5" t="inlineStr">
        <is>
          <t>3101</t>
        </is>
      </c>
      <c r="B220" s="5" t="inlineStr">
        <is>
          <t>Eleanor Sabaduquia</t>
        </is>
      </c>
      <c r="C220" s="5" t="inlineStr">
        <is>
          <t>KEYMAKEUPARTIST</t>
        </is>
      </c>
      <c r="D220" s="5" t="inlineStr">
        <is>
          <t>Local706</t>
        </is>
      </c>
      <c r="E220" s="6" t="n">
        <v>25.5</v>
      </c>
      <c r="F220" s="5" t="n"/>
      <c r="G220" s="5" t="n"/>
      <c r="H220" s="5" t="n"/>
      <c r="I220" s="5" t="n"/>
      <c r="J220" s="7">
        <f>IF(AND(N(F220)&gt;0,N(I220)&gt;0),I220-F220-IF(N(G220)&gt;0,0.5,0)-IF(N(H220)&gt;0,0.5,0),0)</f>
        <v/>
      </c>
      <c r="K220" s="5" t="n"/>
      <c r="L220" s="7">
        <f>MIN(J220,10.0)</f>
        <v/>
      </c>
      <c r="M220" s="7">
        <f>MAX(0,MIN(J220,12)-10.0)</f>
        <v/>
      </c>
      <c r="N220" s="7">
        <f>MAX(0,J220-12)</f>
        <v/>
      </c>
      <c r="O220" s="5" t="n"/>
      <c r="P220" s="6">
        <f>E220*(L220+M220*1.5+N220*2+O220*3+N(K220))</f>
        <v/>
      </c>
      <c r="Q220" s="6" t="n">
        <v>439.87</v>
      </c>
      <c r="R220" s="6">
        <f>Q220-P220</f>
        <v/>
      </c>
    </row>
    <row r="221">
      <c r="P221" s="2" t="inlineStr">
        <is>
          <t>KEYMAKE-UP LABOR</t>
        </is>
      </c>
      <c r="R221" s="8">
        <f>SUM(R220:R220)</f>
        <v/>
      </c>
    </row>
    <row r="223">
      <c r="B223" s="2" t="inlineStr">
        <is>
          <t>ASSTMAKE-UP</t>
        </is>
      </c>
    </row>
    <row r="224">
      <c r="A224" s="5" t="inlineStr">
        <is>
          <t>3102</t>
        </is>
      </c>
      <c r="B224" s="5" t="inlineStr">
        <is>
          <t>Yoko Nobushi</t>
        </is>
      </c>
      <c r="C224" s="5" t="inlineStr">
        <is>
          <t>ASSTMAKEUPARTIST#1</t>
        </is>
      </c>
      <c r="D224" s="5" t="inlineStr">
        <is>
          <t>Local706</t>
        </is>
      </c>
      <c r="E224" s="6" t="n">
        <v>23.04</v>
      </c>
      <c r="F224" s="5" t="n"/>
      <c r="G224" s="5" t="n"/>
      <c r="H224" s="5" t="n"/>
      <c r="I224" s="5" t="n"/>
      <c r="J224" s="7">
        <f>IF(AND(N(F224)&gt;0,N(I224)&gt;0),I224-F224-IF(N(G224)&gt;0,0.5,0)-IF(N(H224)&gt;0,0.5,0),0)</f>
        <v/>
      </c>
      <c r="K224" s="5" t="n"/>
      <c r="L224" s="7">
        <f>MIN(J224,10.0)</f>
        <v/>
      </c>
      <c r="M224" s="7">
        <f>MAX(0,MIN(J224,12)-10.0)</f>
        <v/>
      </c>
      <c r="N224" s="7">
        <f>MAX(0,J224-12)</f>
        <v/>
      </c>
      <c r="O224" s="5" t="n"/>
      <c r="P224" s="6">
        <f>E224*(L224+M224*1.5+N224*2+O224*3+N(K224))</f>
        <v/>
      </c>
      <c r="Q224" s="6" t="n">
        <v>397.43</v>
      </c>
      <c r="R224" s="6">
        <f>Q224-P224</f>
        <v/>
      </c>
    </row>
    <row r="225">
      <c r="P225" s="2" t="inlineStr">
        <is>
          <t>ASSTMAKE-UP LABOR</t>
        </is>
      </c>
      <c r="R225" s="8">
        <f>SUM(R224:R224)</f>
        <v/>
      </c>
    </row>
    <row r="227">
      <c r="B227" s="2" t="inlineStr">
        <is>
          <t>ADDITIONALMAKE-UPLABOR</t>
        </is>
      </c>
    </row>
    <row r="228">
      <c r="A228" s="5" t="inlineStr">
        <is>
          <t>3103</t>
        </is>
      </c>
      <c r="B228" s="5" t="inlineStr"/>
      <c r="C228" s="5" t="inlineStr">
        <is>
          <t>ADDLMAKEUPARTISTDAYS</t>
        </is>
      </c>
      <c r="D228" s="5" t="inlineStr">
        <is>
          <t>Local706</t>
        </is>
      </c>
      <c r="E228" s="6" t="n">
        <v>23.04</v>
      </c>
      <c r="F228" s="5" t="n"/>
      <c r="G228" s="5" t="n"/>
      <c r="H228" s="5" t="n"/>
      <c r="I228" s="5" t="n"/>
      <c r="J228" s="7">
        <f>IF(AND(N(F228)&gt;0,N(I228)&gt;0),I228-F228-IF(N(G228)&gt;0,0.5,0)-IF(N(H228)&gt;0,0.5,0),0)</f>
        <v/>
      </c>
      <c r="K228" s="5" t="n"/>
      <c r="L228" s="7">
        <f>MIN(J228,10.0)</f>
        <v/>
      </c>
      <c r="M228" s="7">
        <f>MAX(0,MIN(J228,12)-10.0)</f>
        <v/>
      </c>
      <c r="N228" s="7">
        <f>MAX(0,J228-12)</f>
        <v/>
      </c>
      <c r="O228" s="5" t="n"/>
      <c r="P228" s="6">
        <f>E228*(L228+M228*1.5+N228*2+O228*3+N(K228))</f>
        <v/>
      </c>
      <c r="Q228" s="6" t="n">
        <v>397.43</v>
      </c>
      <c r="R228" s="6">
        <f>Q228-P228</f>
        <v/>
      </c>
    </row>
    <row r="229">
      <c r="P229" s="2" t="inlineStr">
        <is>
          <t>ADDITIONALMAKE-UPLABOR LABOR</t>
        </is>
      </c>
      <c r="R229" s="8">
        <f>SUM(R228:R228)</f>
        <v/>
      </c>
    </row>
    <row r="231">
      <c r="B231" s="2" t="inlineStr">
        <is>
          <t>PROSTHETICS</t>
        </is>
      </c>
    </row>
    <row r="232">
      <c r="A232" s="5" t="inlineStr">
        <is>
          <t>3105</t>
        </is>
      </c>
      <c r="B232" s="5" t="inlineStr"/>
      <c r="C232" s="5" t="inlineStr">
        <is>
          <t>PROSTHETICMAKEUPARTIST</t>
        </is>
      </c>
      <c r="D232" s="5" t="inlineStr">
        <is>
          <t>Local706</t>
        </is>
      </c>
      <c r="E232" s="6" t="n">
        <v>25.5</v>
      </c>
      <c r="F232" s="5" t="n"/>
      <c r="G232" s="5" t="n"/>
      <c r="H232" s="5" t="n"/>
      <c r="I232" s="5" t="n"/>
      <c r="J232" s="7">
        <f>IF(AND(N(F232)&gt;0,N(I232)&gt;0),I232-F232-IF(N(G232)&gt;0,0.5,0)-IF(N(H232)&gt;0,0.5,0),0)</f>
        <v/>
      </c>
      <c r="K232" s="5" t="n"/>
      <c r="L232" s="7">
        <f>MIN(J232,10.0)</f>
        <v/>
      </c>
      <c r="M232" s="7">
        <f>MAX(0,MIN(J232,12)-10.0)</f>
        <v/>
      </c>
      <c r="N232" s="7">
        <f>MAX(0,J232-12)</f>
        <v/>
      </c>
      <c r="O232" s="5" t="n"/>
      <c r="P232" s="6">
        <f>E232*(L232+M232*1.5+N232*2+O232*3+N(K232))</f>
        <v/>
      </c>
      <c r="Q232" s="6" t="n">
        <v>439.87</v>
      </c>
      <c r="R232" s="6">
        <f>Q232-P232</f>
        <v/>
      </c>
    </row>
    <row r="233">
      <c r="A233" s="5" t="inlineStr">
        <is>
          <t>3105</t>
        </is>
      </c>
      <c r="B233" s="5" t="inlineStr"/>
      <c r="C233" s="5" t="inlineStr">
        <is>
          <t>LENSCONSULTANT</t>
        </is>
      </c>
      <c r="D233" s="5" t="inlineStr"/>
      <c r="E233" s="6" t="n">
        <v>50</v>
      </c>
      <c r="F233" s="5" t="n"/>
      <c r="G233" s="5" t="n"/>
      <c r="H233" s="5" t="n"/>
      <c r="I233" s="5" t="n"/>
      <c r="J233" s="7">
        <f>IF(AND(N(F233)&gt;0,N(I233)&gt;0),I233-F233-IF(N(G233)&gt;0,0.5,0)-IF(N(H233)&gt;0,0.5,0),0)</f>
        <v/>
      </c>
      <c r="K233" s="5" t="n"/>
      <c r="L233" s="7">
        <f>MIN(J233,8.0)</f>
        <v/>
      </c>
      <c r="M233" s="7">
        <f>MAX(0,MIN(J233,12)-8.0)</f>
        <v/>
      </c>
      <c r="N233" s="7">
        <f>MAX(0,J233-12)</f>
        <v/>
      </c>
      <c r="O233" s="5" t="n"/>
      <c r="P233" s="6">
        <f>E233*(L233+M233*1.5+N233*2+O233*3+N(K233))</f>
        <v/>
      </c>
      <c r="Q233" s="6" t="n">
        <v>862.53</v>
      </c>
      <c r="R233" s="6">
        <f>Q233-P233</f>
        <v/>
      </c>
    </row>
    <row r="234">
      <c r="P234" s="2" t="inlineStr">
        <is>
          <t>PROSTHETICS LABOR</t>
        </is>
      </c>
      <c r="R234" s="8">
        <f>SUM(R232:R233)</f>
        <v/>
      </c>
    </row>
    <row r="236">
      <c r="B236" s="2" t="inlineStr">
        <is>
          <t>KEYHAIR</t>
        </is>
      </c>
    </row>
    <row r="237">
      <c r="A237" s="5" t="inlineStr">
        <is>
          <t>3111</t>
        </is>
      </c>
      <c r="B237" s="5" t="inlineStr">
        <is>
          <t>Traci Smithe</t>
        </is>
      </c>
      <c r="C237" s="5" t="inlineStr">
        <is>
          <t>KEYHAIR</t>
        </is>
      </c>
      <c r="D237" s="5" t="inlineStr">
        <is>
          <t>Local706</t>
        </is>
      </c>
      <c r="E237" s="6" t="n">
        <v>25.5</v>
      </c>
      <c r="F237" s="5" t="n"/>
      <c r="G237" s="5" t="n"/>
      <c r="H237" s="5" t="n"/>
      <c r="I237" s="5" t="n"/>
      <c r="J237" s="7">
        <f>IF(AND(N(F237)&gt;0,N(I237)&gt;0),I237-F237-IF(N(G237)&gt;0,0.5,0)-IF(N(H237)&gt;0,0.5,0),0)</f>
        <v/>
      </c>
      <c r="K237" s="5" t="n"/>
      <c r="L237" s="7">
        <f>MIN(J237,10.0)</f>
        <v/>
      </c>
      <c r="M237" s="7">
        <f>MAX(0,MIN(J237,12)-10.0)</f>
        <v/>
      </c>
      <c r="N237" s="7">
        <f>MAX(0,J237-12)</f>
        <v/>
      </c>
      <c r="O237" s="5" t="n"/>
      <c r="P237" s="6">
        <f>E237*(L237+M237*1.5+N237*2+O237*3+N(K237))</f>
        <v/>
      </c>
      <c r="Q237" s="6" t="n">
        <v>439.87</v>
      </c>
      <c r="R237" s="6">
        <f>Q237-P237</f>
        <v/>
      </c>
    </row>
    <row r="238">
      <c r="P238" s="2" t="inlineStr">
        <is>
          <t>KEYHAIR LABOR</t>
        </is>
      </c>
      <c r="R238" s="8">
        <f>SUM(R237:R237)</f>
        <v/>
      </c>
    </row>
    <row r="240">
      <c r="B240" s="2" t="inlineStr">
        <is>
          <t>ASSTHAIR</t>
        </is>
      </c>
    </row>
    <row r="241">
      <c r="A241" s="5" t="inlineStr">
        <is>
          <t>3112</t>
        </is>
      </c>
      <c r="B241" s="5" t="inlineStr">
        <is>
          <t>Yunea Cruz</t>
        </is>
      </c>
      <c r="C241" s="5" t="inlineStr">
        <is>
          <t>ASSTHAIRSTYLIST#1</t>
        </is>
      </c>
      <c r="D241" s="5" t="inlineStr">
        <is>
          <t>Local706</t>
        </is>
      </c>
      <c r="E241" s="6" t="n">
        <v>23.04</v>
      </c>
      <c r="F241" s="5" t="n"/>
      <c r="G241" s="5" t="n"/>
      <c r="H241" s="5" t="n"/>
      <c r="I241" s="5" t="n"/>
      <c r="J241" s="7">
        <f>IF(AND(N(F241)&gt;0,N(I241)&gt;0),I241-F241-IF(N(G241)&gt;0,0.5,0)-IF(N(H241)&gt;0,0.5,0),0)</f>
        <v/>
      </c>
      <c r="K241" s="5" t="n"/>
      <c r="L241" s="7">
        <f>MIN(J241,10.0)</f>
        <v/>
      </c>
      <c r="M241" s="7">
        <f>MAX(0,MIN(J241,12)-10.0)</f>
        <v/>
      </c>
      <c r="N241" s="7">
        <f>MAX(0,J241-12)</f>
        <v/>
      </c>
      <c r="O241" s="5" t="n"/>
      <c r="P241" s="6">
        <f>E241*(L241+M241*1.5+N241*2+O241*3+N(K241))</f>
        <v/>
      </c>
      <c r="Q241" s="6" t="n">
        <v>397.43</v>
      </c>
      <c r="R241" s="6">
        <f>Q241-P241</f>
        <v/>
      </c>
    </row>
    <row r="242">
      <c r="P242" s="2" t="inlineStr">
        <is>
          <t>ASSTHAIR LABOR</t>
        </is>
      </c>
      <c r="R242" s="8">
        <f>SUM(R241:R241)</f>
        <v/>
      </c>
    </row>
    <row r="244">
      <c r="B244" s="2" t="inlineStr">
        <is>
          <t>ADDITIONALHAIRLABOR</t>
        </is>
      </c>
    </row>
    <row r="245">
      <c r="A245" s="5" t="inlineStr">
        <is>
          <t>3113</t>
        </is>
      </c>
      <c r="B245" s="5" t="inlineStr"/>
      <c r="C245" s="5" t="inlineStr">
        <is>
          <t>ADDLHAIRSTYLISTDAYS</t>
        </is>
      </c>
      <c r="D245" s="5" t="inlineStr">
        <is>
          <t>Local706</t>
        </is>
      </c>
      <c r="E245" s="6" t="n">
        <v>23.04</v>
      </c>
      <c r="F245" s="5" t="n"/>
      <c r="G245" s="5" t="n"/>
      <c r="H245" s="5" t="n"/>
      <c r="I245" s="5" t="n"/>
      <c r="J245" s="7">
        <f>IF(AND(N(F245)&gt;0,N(I245)&gt;0),I245-F245-IF(N(G245)&gt;0,0.5,0)-IF(N(H245)&gt;0,0.5,0),0)</f>
        <v/>
      </c>
      <c r="K245" s="5" t="n"/>
      <c r="L245" s="7">
        <f>MIN(J245,10.0)</f>
        <v/>
      </c>
      <c r="M245" s="7">
        <f>MAX(0,MIN(J245,12)-10.0)</f>
        <v/>
      </c>
      <c r="N245" s="7">
        <f>MAX(0,J245-12)</f>
        <v/>
      </c>
      <c r="O245" s="5" t="n"/>
      <c r="P245" s="6">
        <f>E245*(L245+M245*1.5+N245*2+O245*3+N(K245))</f>
        <v/>
      </c>
      <c r="Q245" s="6" t="n">
        <v>397.43</v>
      </c>
      <c r="R245" s="6">
        <f>Q245-P245</f>
        <v/>
      </c>
    </row>
    <row r="246">
      <c r="P246" s="2" t="inlineStr">
        <is>
          <t>ADDITIONALHAIRLABOR LABOR</t>
        </is>
      </c>
      <c r="R246" s="8">
        <f>SUM(R245:R245)</f>
        <v/>
      </c>
    </row>
    <row r="248">
      <c r="B248" s="2" t="inlineStr">
        <is>
          <t>GAFFER</t>
        </is>
      </c>
    </row>
    <row r="249">
      <c r="A249" s="5" t="inlineStr">
        <is>
          <t>3201</t>
        </is>
      </c>
      <c r="B249" s="5" t="inlineStr">
        <is>
          <t>Nicholas Kaat</t>
        </is>
      </c>
      <c r="C249" s="5" t="inlineStr">
        <is>
          <t>GAFFER</t>
        </is>
      </c>
      <c r="D249" s="5" t="inlineStr">
        <is>
          <t>Local728</t>
        </is>
      </c>
      <c r="E249" s="6" t="n">
        <v>25.5</v>
      </c>
      <c r="F249" s="5" t="n"/>
      <c r="G249" s="5" t="n"/>
      <c r="H249" s="5" t="n"/>
      <c r="I249" s="5" t="n"/>
      <c r="J249" s="7">
        <f>IF(AND(N(F249)&gt;0,N(I249)&gt;0),I249-F249-IF(N(G249)&gt;0,0.5,0)-IF(N(H249)&gt;0,0.5,0),0)</f>
        <v/>
      </c>
      <c r="K249" s="5" t="n"/>
      <c r="L249" s="7">
        <f>MIN(J249,10.0)</f>
        <v/>
      </c>
      <c r="M249" s="7">
        <f>MAX(0,MIN(J249,12)-10.0)</f>
        <v/>
      </c>
      <c r="N249" s="7">
        <f>MAX(0,J249-12)</f>
        <v/>
      </c>
      <c r="O249" s="5" t="n"/>
      <c r="P249" s="6">
        <f>E249*(L249+M249*1.5+N249*2+O249*3+N(K249))</f>
        <v/>
      </c>
      <c r="Q249" s="6" t="n">
        <v>395.25</v>
      </c>
      <c r="R249" s="6">
        <f>Q249-P249</f>
        <v/>
      </c>
    </row>
    <row r="250">
      <c r="P250" s="2" t="inlineStr">
        <is>
          <t>GAFFER LABOR</t>
        </is>
      </c>
      <c r="R250" s="8">
        <f>SUM(R249:R249)</f>
        <v/>
      </c>
    </row>
    <row r="252">
      <c r="B252" s="2" t="inlineStr">
        <is>
          <t>BESTBOYELECTRIC</t>
        </is>
      </c>
    </row>
    <row r="253">
      <c r="A253" s="5" t="inlineStr">
        <is>
          <t>3202</t>
        </is>
      </c>
      <c r="B253" s="5" t="inlineStr">
        <is>
          <t>Nathan Fetzer</t>
        </is>
      </c>
      <c r="C253" s="5" t="inlineStr">
        <is>
          <t>BESTBOYELECTRIC</t>
        </is>
      </c>
      <c r="D253" s="5" t="inlineStr">
        <is>
          <t>Local728</t>
        </is>
      </c>
      <c r="E253" s="6" t="n">
        <v>23.04</v>
      </c>
      <c r="F253" s="5" t="n"/>
      <c r="G253" s="5" t="n"/>
      <c r="H253" s="5" t="n"/>
      <c r="I253" s="5" t="n"/>
      <c r="J253" s="7">
        <f>IF(AND(N(F253)&gt;0,N(I253)&gt;0),I253-F253-IF(N(G253)&gt;0,0.5,0)-IF(N(H253)&gt;0,0.5,0),0)</f>
        <v/>
      </c>
      <c r="K253" s="5" t="n"/>
      <c r="L253" s="7">
        <f>MIN(J253,10.0)</f>
        <v/>
      </c>
      <c r="M253" s="7">
        <f>MAX(0,MIN(J253,12)-10.0)</f>
        <v/>
      </c>
      <c r="N253" s="7">
        <f>MAX(0,J253-12)</f>
        <v/>
      </c>
      <c r="O253" s="5" t="n"/>
      <c r="P253" s="6">
        <f>E253*(L253+M253*1.5+N253*2+O253*3+N(K253))</f>
        <v/>
      </c>
      <c r="Q253" s="6" t="n">
        <v>357.12</v>
      </c>
      <c r="R253" s="6">
        <f>Q253-P253</f>
        <v/>
      </c>
    </row>
    <row r="254">
      <c r="A254" s="5" t="inlineStr">
        <is>
          <t>3202</t>
        </is>
      </c>
      <c r="B254" s="5" t="inlineStr"/>
      <c r="C254" s="5" t="inlineStr">
        <is>
          <t>STUDIOBESTBOYELECTRIC</t>
        </is>
      </c>
      <c r="D254" s="5" t="inlineStr">
        <is>
          <t>Local728</t>
        </is>
      </c>
      <c r="E254" s="6" t="n">
        <v>43.05</v>
      </c>
      <c r="F254" s="5" t="n"/>
      <c r="G254" s="5" t="n"/>
      <c r="H254" s="5" t="n"/>
      <c r="I254" s="5" t="n"/>
      <c r="J254" s="7">
        <f>IF(AND(N(F254)&gt;0,N(I254)&gt;0),I254-F254-IF(N(G254)&gt;0,0.5,0)-IF(N(H254)&gt;0,0.5,0),0)</f>
        <v/>
      </c>
      <c r="K254" s="5" t="n"/>
      <c r="L254" s="7">
        <f>MIN(J254,10.0)</f>
        <v/>
      </c>
      <c r="M254" s="7">
        <f>MAX(0,MIN(J254,12)-10.0)</f>
        <v/>
      </c>
      <c r="N254" s="7">
        <f>MAX(0,J254-12)</f>
        <v/>
      </c>
      <c r="O254" s="5" t="n"/>
      <c r="P254" s="6">
        <f>E254*(L254+M254*1.5+N254*2+O254*3+N(K254))</f>
        <v/>
      </c>
      <c r="Q254" s="6" t="n">
        <v>667.27</v>
      </c>
      <c r="R254" s="6">
        <f>Q254-P254</f>
        <v/>
      </c>
    </row>
    <row r="255">
      <c r="P255" s="2" t="inlineStr">
        <is>
          <t>BESTBOYELECTRIC LABOR</t>
        </is>
      </c>
      <c r="R255" s="8">
        <f>SUM(R253:R254)</f>
        <v/>
      </c>
    </row>
    <row r="257">
      <c r="B257" s="2" t="inlineStr">
        <is>
          <t>ELECTRICIANS</t>
        </is>
      </c>
    </row>
    <row r="258">
      <c r="A258" s="5" t="inlineStr">
        <is>
          <t>3204</t>
        </is>
      </c>
      <c r="B258" s="5" t="inlineStr"/>
      <c r="C258" s="5" t="inlineStr">
        <is>
          <t>ELECTRICIAN#1</t>
        </is>
      </c>
      <c r="D258" s="5" t="inlineStr">
        <is>
          <t>Local728</t>
        </is>
      </c>
      <c r="E258" s="6" t="n">
        <v>20.57</v>
      </c>
      <c r="F258" s="5" t="n"/>
      <c r="G258" s="5" t="n"/>
      <c r="H258" s="5" t="n"/>
      <c r="I258" s="5" t="n"/>
      <c r="J258" s="7">
        <f>IF(AND(N(F258)&gt;0,N(I258)&gt;0),I258-F258-IF(N(G258)&gt;0,0.5,0)-IF(N(H258)&gt;0,0.5,0),0)</f>
        <v/>
      </c>
      <c r="K258" s="5" t="n"/>
      <c r="L258" s="7">
        <f>MIN(J258,10.0)</f>
        <v/>
      </c>
      <c r="M258" s="7">
        <f>MAX(0,MIN(J258,12)-10.0)</f>
        <v/>
      </c>
      <c r="N258" s="7">
        <f>MAX(0,J258-12)</f>
        <v/>
      </c>
      <c r="O258" s="5" t="n"/>
      <c r="P258" s="6">
        <f>E258*(L258+M258*1.5+N258*2+O258*3+N(K258))</f>
        <v/>
      </c>
      <c r="Q258" s="6" t="n">
        <v>318.83</v>
      </c>
      <c r="R258" s="6">
        <f>Q258-P258</f>
        <v/>
      </c>
    </row>
    <row r="259">
      <c r="A259" s="5" t="inlineStr">
        <is>
          <t>3204</t>
        </is>
      </c>
      <c r="B259" s="5" t="inlineStr"/>
      <c r="C259" s="5" t="inlineStr">
        <is>
          <t>ELECTRICIAN#2</t>
        </is>
      </c>
      <c r="D259" s="5" t="inlineStr">
        <is>
          <t>Local728</t>
        </is>
      </c>
      <c r="E259" s="6" t="n">
        <v>20.57</v>
      </c>
      <c r="F259" s="5" t="n"/>
      <c r="G259" s="5" t="n"/>
      <c r="H259" s="5" t="n"/>
      <c r="I259" s="5" t="n"/>
      <c r="J259" s="7">
        <f>IF(AND(N(F259)&gt;0,N(I259)&gt;0),I259-F259-IF(N(G259)&gt;0,0.5,0)-IF(N(H259)&gt;0,0.5,0),0)</f>
        <v/>
      </c>
      <c r="K259" s="5" t="n"/>
      <c r="L259" s="7">
        <f>MIN(J259,10.0)</f>
        <v/>
      </c>
      <c r="M259" s="7">
        <f>MAX(0,MIN(J259,12)-10.0)</f>
        <v/>
      </c>
      <c r="N259" s="7">
        <f>MAX(0,J259-12)</f>
        <v/>
      </c>
      <c r="O259" s="5" t="n"/>
      <c r="P259" s="6">
        <f>E259*(L259+M259*1.5+N259*2+O259*3+N(K259))</f>
        <v/>
      </c>
      <c r="Q259" s="6" t="n">
        <v>318.83</v>
      </c>
      <c r="R259" s="6">
        <f>Q259-P259</f>
        <v/>
      </c>
    </row>
    <row r="260">
      <c r="A260" s="5" t="inlineStr">
        <is>
          <t>3204</t>
        </is>
      </c>
      <c r="B260" s="5" t="inlineStr"/>
      <c r="C260" s="5" t="inlineStr">
        <is>
          <t>ELECTRICIAN#3</t>
        </is>
      </c>
      <c r="D260" s="5" t="inlineStr">
        <is>
          <t>Local728</t>
        </is>
      </c>
      <c r="E260" s="6" t="n">
        <v>20.57</v>
      </c>
      <c r="F260" s="5" t="n"/>
      <c r="G260" s="5" t="n"/>
      <c r="H260" s="5" t="n"/>
      <c r="I260" s="5" t="n"/>
      <c r="J260" s="7">
        <f>IF(AND(N(F260)&gt;0,N(I260)&gt;0),I260-F260-IF(N(G260)&gt;0,0.5,0)-IF(N(H260)&gt;0,0.5,0),0)</f>
        <v/>
      </c>
      <c r="K260" s="5" t="n"/>
      <c r="L260" s="7">
        <f>MIN(J260,10.0)</f>
        <v/>
      </c>
      <c r="M260" s="7">
        <f>MAX(0,MIN(J260,12)-10.0)</f>
        <v/>
      </c>
      <c r="N260" s="7">
        <f>MAX(0,J260-12)</f>
        <v/>
      </c>
      <c r="O260" s="5" t="n"/>
      <c r="P260" s="6">
        <f>E260*(L260+M260*1.5+N260*2+O260*3+N(K260))</f>
        <v/>
      </c>
      <c r="Q260" s="6" t="n">
        <v>318.83</v>
      </c>
      <c r="R260" s="6">
        <f>Q260-P260</f>
        <v/>
      </c>
    </row>
    <row r="261">
      <c r="P261" s="2" t="inlineStr">
        <is>
          <t>ELECTRICIANS LABOR</t>
        </is>
      </c>
      <c r="R261" s="8">
        <f>SUM(R258:R260)</f>
        <v/>
      </c>
    </row>
    <row r="263">
      <c r="B263" s="2" t="inlineStr">
        <is>
          <t>ADDITIONALELECTRICLABOR</t>
        </is>
      </c>
    </row>
    <row r="264">
      <c r="A264" s="5" t="inlineStr">
        <is>
          <t>3206</t>
        </is>
      </c>
      <c r="B264" s="5" t="inlineStr"/>
      <c r="C264" s="5" t="inlineStr">
        <is>
          <t>ELECTRICMANDAYS&amp;RIGGINGMANDAYS</t>
        </is>
      </c>
      <c r="D264" s="5" t="inlineStr">
        <is>
          <t>Local728</t>
        </is>
      </c>
      <c r="E264" s="6" t="n">
        <v>20.57</v>
      </c>
      <c r="F264" s="5" t="n"/>
      <c r="G264" s="5" t="n"/>
      <c r="H264" s="5" t="n"/>
      <c r="I264" s="5" t="n"/>
      <c r="J264" s="7">
        <f>IF(AND(N(F264)&gt;0,N(I264)&gt;0),I264-F264-IF(N(G264)&gt;0,0.5,0)-IF(N(H264)&gt;0,0.5,0),0)</f>
        <v/>
      </c>
      <c r="K264" s="5" t="n"/>
      <c r="L264" s="7">
        <f>MIN(J264,10.0)</f>
        <v/>
      </c>
      <c r="M264" s="7">
        <f>MAX(0,MIN(J264,12)-10.0)</f>
        <v/>
      </c>
      <c r="N264" s="7">
        <f>MAX(0,J264-12)</f>
        <v/>
      </c>
      <c r="O264" s="5" t="n"/>
      <c r="P264" s="6">
        <f>E264*(L264+M264*1.5+N264*2+O264*3+N(K264))</f>
        <v/>
      </c>
      <c r="Q264" s="6" t="n">
        <v>318.83</v>
      </c>
      <c r="R264" s="6">
        <f>Q264-P264</f>
        <v/>
      </c>
    </row>
    <row r="265">
      <c r="P265" s="2" t="inlineStr">
        <is>
          <t>ADDITIONALELECTRICLABOR LABOR</t>
        </is>
      </c>
      <c r="R265" s="8">
        <f>SUM(R264:R264)</f>
        <v/>
      </c>
    </row>
    <row r="267">
      <c r="B267" s="2" t="inlineStr">
        <is>
          <t>DIRECTOROFPHOTOGRAPHY</t>
        </is>
      </c>
    </row>
    <row r="268">
      <c r="A268" s="5" t="inlineStr">
        <is>
          <t>3301</t>
        </is>
      </c>
      <c r="B268" s="5" t="inlineStr">
        <is>
          <t>Michael Burgess</t>
        </is>
      </c>
      <c r="C268" s="5" t="inlineStr">
        <is>
          <t>DIRECTOROFPHOTOGRAPHY</t>
        </is>
      </c>
      <c r="D268" s="5" t="inlineStr">
        <is>
          <t>Local600</t>
        </is>
      </c>
      <c r="E268" s="6" t="n">
        <v>700</v>
      </c>
      <c r="F268" s="5" t="n"/>
      <c r="G268" s="5" t="n"/>
      <c r="H268" s="5" t="n"/>
      <c r="I268" s="5" t="n"/>
      <c r="J268" s="7">
        <f>IF(AND(N(F268)&gt;0,N(I268)&gt;0),I268-F268-IF(N(G268)&gt;0,0.5,0)-IF(N(H268)&gt;0,0.5,0),0)</f>
        <v/>
      </c>
      <c r="K268" s="5" t="n"/>
      <c r="L268" s="7">
        <f>MIN(J268,8.0)</f>
        <v/>
      </c>
      <c r="M268" s="7">
        <f>MAX(0,MIN(J268,12)-8.0)</f>
        <v/>
      </c>
      <c r="N268" s="7">
        <f>MAX(0,J268-12)</f>
        <v/>
      </c>
      <c r="O268" s="5" t="n"/>
      <c r="P268" s="6">
        <f>E268*(L268+M268*1.5+N268*2+O268*3+N(K268))</f>
        <v/>
      </c>
      <c r="Q268" s="6" t="n">
        <v>700</v>
      </c>
      <c r="R268" s="6">
        <f>Q268-P268</f>
        <v/>
      </c>
    </row>
    <row r="269">
      <c r="P269" s="2" t="inlineStr">
        <is>
          <t>DIRECTOROFPHOTOGRAPHY LABOR</t>
        </is>
      </c>
      <c r="R269" s="8">
        <f>SUM(R268:R268)</f>
        <v/>
      </c>
    </row>
    <row r="271">
      <c r="B271" s="2" t="inlineStr">
        <is>
          <t>CAMERAOPERATORS</t>
        </is>
      </c>
    </row>
    <row r="272">
      <c r="A272" s="5" t="inlineStr">
        <is>
          <t>3302</t>
        </is>
      </c>
      <c r="B272" s="5" t="inlineStr">
        <is>
          <t>Craig Bauer</t>
        </is>
      </c>
      <c r="C272" s="5" t="inlineStr">
        <is>
          <t>"B"CAMERAOP</t>
        </is>
      </c>
      <c r="D272" s="5" t="inlineStr">
        <is>
          <t>Local600</t>
        </is>
      </c>
      <c r="E272" s="6" t="n">
        <v>45</v>
      </c>
      <c r="F272" s="5" t="n"/>
      <c r="G272" s="5" t="n"/>
      <c r="H272" s="5" t="n"/>
      <c r="I272" s="5" t="n"/>
      <c r="J272" s="7">
        <f>IF(AND(N(F272)&gt;0,N(I272)&gt;0),I272-F272-IF(N(G272)&gt;0,0.5,0)-IF(N(H272)&gt;0,0.5,0),0)</f>
        <v/>
      </c>
      <c r="K272" s="5" t="n"/>
      <c r="L272" s="7">
        <f>MIN(J272,8.0)</f>
        <v/>
      </c>
      <c r="M272" s="7">
        <f>MAX(0,MIN(J272,12)-8.0)</f>
        <v/>
      </c>
      <c r="N272" s="7">
        <f>MAX(0,J272-12)</f>
        <v/>
      </c>
      <c r="O272" s="5" t="n"/>
      <c r="P272" s="6">
        <f>E272*(L272+M272*1.5+N272*2+O272*3+N(K272))</f>
        <v/>
      </c>
      <c r="Q272" s="6" t="n">
        <v>630</v>
      </c>
      <c r="R272" s="6">
        <f>Q272-P272</f>
        <v/>
      </c>
    </row>
    <row r="273">
      <c r="P273" s="2" t="inlineStr">
        <is>
          <t>CAMERAOPERATORS LABOR</t>
        </is>
      </c>
      <c r="R273" s="8">
        <f>SUM(R272:R272)</f>
        <v/>
      </c>
    </row>
    <row r="275">
      <c r="B275" s="2" t="inlineStr">
        <is>
          <t>DIGITALIMAGINGTECHS</t>
        </is>
      </c>
    </row>
    <row r="276">
      <c r="A276" s="5" t="inlineStr">
        <is>
          <t>3304</t>
        </is>
      </c>
      <c r="B276" s="5" t="inlineStr">
        <is>
          <t>Oliver Mancebo</t>
        </is>
      </c>
      <c r="C276" s="5" t="inlineStr">
        <is>
          <t>DIT</t>
        </is>
      </c>
      <c r="D276" s="5" t="inlineStr">
        <is>
          <t>Local600</t>
        </is>
      </c>
      <c r="E276" s="6" t="n">
        <v>35</v>
      </c>
      <c r="F276" s="5" t="n"/>
      <c r="G276" s="5" t="n"/>
      <c r="H276" s="5" t="n"/>
      <c r="I276" s="5" t="n"/>
      <c r="J276" s="7">
        <f>IF(AND(N(F276)&gt;0,N(I276)&gt;0),I276-F276-IF(N(G276)&gt;0,0.5,0)-IF(N(H276)&gt;0,0.5,0),0)</f>
        <v/>
      </c>
      <c r="K276" s="5" t="n"/>
      <c r="L276" s="7">
        <f>MIN(J276,8.0)</f>
        <v/>
      </c>
      <c r="M276" s="7">
        <f>MAX(0,MIN(J276,12)-8.0)</f>
        <v/>
      </c>
      <c r="N276" s="7">
        <f>MAX(0,J276-12)</f>
        <v/>
      </c>
      <c r="O276" s="5" t="n"/>
      <c r="P276" s="6">
        <f>E276*(L276+M276*1.5+N276*2+O276*3+N(K276))</f>
        <v/>
      </c>
      <c r="Q276" s="6" t="n">
        <v>542.5</v>
      </c>
      <c r="R276" s="6">
        <f>Q276-P276</f>
        <v/>
      </c>
    </row>
    <row r="277">
      <c r="P277" s="2" t="inlineStr">
        <is>
          <t>DIGITALIMAGINGTECHS LABOR</t>
        </is>
      </c>
      <c r="R277" s="8">
        <f>SUM(R276:R276)</f>
        <v/>
      </c>
    </row>
    <row r="279">
      <c r="B279" s="2" t="inlineStr">
        <is>
          <t>1STASSTCAMERA</t>
        </is>
      </c>
    </row>
    <row r="280">
      <c r="A280" s="5" t="inlineStr">
        <is>
          <t>3305</t>
        </is>
      </c>
      <c r="B280" s="5" t="inlineStr">
        <is>
          <t>Steve Cueva</t>
        </is>
      </c>
      <c r="C280" s="5" t="inlineStr">
        <is>
          <t>"A"CAMERA 1STAC</t>
        </is>
      </c>
      <c r="D280" s="5" t="inlineStr">
        <is>
          <t>Local600</t>
        </is>
      </c>
      <c r="E280" s="6" t="n">
        <v>25.5</v>
      </c>
      <c r="F280" s="5" t="n"/>
      <c r="G280" s="5" t="n"/>
      <c r="H280" s="5" t="n"/>
      <c r="I280" s="5" t="n"/>
      <c r="J280" s="7">
        <f>IF(AND(N(F280)&gt;0,N(I280)&gt;0),I280-F280-IF(N(G280)&gt;0,0.5,0)-IF(N(H280)&gt;0,0.5,0),0)</f>
        <v/>
      </c>
      <c r="K280" s="5" t="n"/>
      <c r="L280" s="7">
        <f>MIN(J280,8.0)</f>
        <v/>
      </c>
      <c r="M280" s="7">
        <f>MAX(0,MIN(J280,12)-8.0)</f>
        <v/>
      </c>
      <c r="N280" s="7">
        <f>MAX(0,J280-12)</f>
        <v/>
      </c>
      <c r="O280" s="5" t="n"/>
      <c r="P280" s="6">
        <f>E280*(L280+M280*1.5+N280*2+O280*3+N(K280))</f>
        <v/>
      </c>
      <c r="Q280" s="6" t="n">
        <v>395.25</v>
      </c>
      <c r="R280" s="6">
        <f>Q280-P280</f>
        <v/>
      </c>
    </row>
    <row r="281">
      <c r="A281" s="5" t="inlineStr">
        <is>
          <t>3305</t>
        </is>
      </c>
      <c r="B281" s="5" t="inlineStr">
        <is>
          <t>Chris Garcia</t>
        </is>
      </c>
      <c r="C281" s="5" t="inlineStr">
        <is>
          <t>"B"CAMERA 1STAC</t>
        </is>
      </c>
      <c r="D281" s="5" t="inlineStr">
        <is>
          <t>Local600</t>
        </is>
      </c>
      <c r="E281" s="6" t="n">
        <v>25.5</v>
      </c>
      <c r="F281" s="5" t="n"/>
      <c r="G281" s="5" t="n"/>
      <c r="H281" s="5" t="n"/>
      <c r="I281" s="5" t="n"/>
      <c r="J281" s="7">
        <f>IF(AND(N(F281)&gt;0,N(I281)&gt;0),I281-F281-IF(N(G281)&gt;0,0.5,0)-IF(N(H281)&gt;0,0.5,0),0)</f>
        <v/>
      </c>
      <c r="K281" s="5" t="n"/>
      <c r="L281" s="7">
        <f>MIN(J281,8.0)</f>
        <v/>
      </c>
      <c r="M281" s="7">
        <f>MAX(0,MIN(J281,12)-8.0)</f>
        <v/>
      </c>
      <c r="N281" s="7">
        <f>MAX(0,J281-12)</f>
        <v/>
      </c>
      <c r="O281" s="5" t="n"/>
      <c r="P281" s="6">
        <f>E281*(L281+M281*1.5+N281*2+O281*3+N(K281))</f>
        <v/>
      </c>
      <c r="Q281" s="6" t="n">
        <v>395.25</v>
      </c>
      <c r="R281" s="6">
        <f>Q281-P281</f>
        <v/>
      </c>
    </row>
    <row r="282">
      <c r="P282" s="2" t="inlineStr">
        <is>
          <t>1STASSTCAMERA LABOR</t>
        </is>
      </c>
      <c r="R282" s="8">
        <f>SUM(R280:R281)</f>
        <v/>
      </c>
    </row>
    <row r="284">
      <c r="B284" s="2" t="inlineStr">
        <is>
          <t>2NDASSTCAMERA</t>
        </is>
      </c>
    </row>
    <row r="285">
      <c r="A285" s="5" t="inlineStr">
        <is>
          <t>3306</t>
        </is>
      </c>
      <c r="B285" s="5" t="inlineStr">
        <is>
          <t>Manny Serrano</t>
        </is>
      </c>
      <c r="C285" s="5" t="inlineStr">
        <is>
          <t>"A"CAMERA 2NDAC</t>
        </is>
      </c>
      <c r="D285" s="5" t="inlineStr">
        <is>
          <t>Local600</t>
        </is>
      </c>
      <c r="E285" s="6" t="n">
        <v>23.04</v>
      </c>
      <c r="F285" s="5" t="n"/>
      <c r="G285" s="5" t="n"/>
      <c r="H285" s="5" t="n"/>
      <c r="I285" s="5" t="n"/>
      <c r="J285" s="7">
        <f>IF(AND(N(F285)&gt;0,N(I285)&gt;0),I285-F285-IF(N(G285)&gt;0,0.5,0)-IF(N(H285)&gt;0,0.5,0),0)</f>
        <v/>
      </c>
      <c r="K285" s="5" t="n"/>
      <c r="L285" s="7">
        <f>MIN(J285,8.0)</f>
        <v/>
      </c>
      <c r="M285" s="7">
        <f>MAX(0,MIN(J285,12)-8.0)</f>
        <v/>
      </c>
      <c r="N285" s="7">
        <f>MAX(0,J285-12)</f>
        <v/>
      </c>
      <c r="O285" s="5" t="n"/>
      <c r="P285" s="6">
        <f>E285*(L285+M285*1.5+N285*2+O285*3+N(K285))</f>
        <v/>
      </c>
      <c r="Q285" s="6" t="n">
        <v>357.12</v>
      </c>
      <c r="R285" s="6">
        <f>Q285-P285</f>
        <v/>
      </c>
    </row>
    <row r="286">
      <c r="A286" s="5" t="inlineStr">
        <is>
          <t>3306</t>
        </is>
      </c>
      <c r="B286" s="5" t="inlineStr"/>
      <c r="C286" s="5" t="inlineStr">
        <is>
          <t>"B"CAMERA 2NDAC</t>
        </is>
      </c>
      <c r="D286" s="5" t="inlineStr">
        <is>
          <t>Local600</t>
        </is>
      </c>
      <c r="E286" s="6" t="n">
        <v>23.04</v>
      </c>
      <c r="F286" s="5" t="n"/>
      <c r="G286" s="5" t="n"/>
      <c r="H286" s="5" t="n"/>
      <c r="I286" s="5" t="n"/>
      <c r="J286" s="7">
        <f>IF(AND(N(F286)&gt;0,N(I286)&gt;0),I286-F286-IF(N(G286)&gt;0,0.5,0)-IF(N(H286)&gt;0,0.5,0),0)</f>
        <v/>
      </c>
      <c r="K286" s="5" t="n"/>
      <c r="L286" s="7">
        <f>MIN(J286,8.0)</f>
        <v/>
      </c>
      <c r="M286" s="7">
        <f>MAX(0,MIN(J286,12)-8.0)</f>
        <v/>
      </c>
      <c r="N286" s="7">
        <f>MAX(0,J286-12)</f>
        <v/>
      </c>
      <c r="O286" s="5" t="n"/>
      <c r="P286" s="6">
        <f>E286*(L286+M286*1.5+N286*2+O286*3+N(K286))</f>
        <v/>
      </c>
      <c r="Q286" s="6" t="n">
        <v>357.12</v>
      </c>
      <c r="R286" s="6">
        <f>Q286-P286</f>
        <v/>
      </c>
    </row>
    <row r="287">
      <c r="P287" s="2" t="inlineStr">
        <is>
          <t>2NDASSTCAMERA LABOR</t>
        </is>
      </c>
      <c r="R287" s="8">
        <f>SUM(R285:R286)</f>
        <v/>
      </c>
    </row>
    <row r="289">
      <c r="B289" s="2" t="inlineStr">
        <is>
          <t>STILLPHOTOGRAPHER</t>
        </is>
      </c>
    </row>
    <row r="290">
      <c r="A290" s="5" t="inlineStr">
        <is>
          <t>3308</t>
        </is>
      </c>
      <c r="B290" s="5" t="inlineStr">
        <is>
          <t>Scott Patrick Green</t>
        </is>
      </c>
      <c r="C290" s="5" t="inlineStr">
        <is>
          <t>STILLPHOTOGRAPHER</t>
        </is>
      </c>
      <c r="D290" s="5" t="inlineStr">
        <is>
          <t>Local600</t>
        </is>
      </c>
      <c r="E290" s="6" t="n">
        <v>26.5</v>
      </c>
      <c r="F290" s="5" t="n"/>
      <c r="G290" s="5" t="n"/>
      <c r="H290" s="5" t="n"/>
      <c r="I290" s="5" t="n"/>
      <c r="J290" s="7">
        <f>IF(AND(N(F290)&gt;0,N(I290)&gt;0),I290-F290-IF(N(G290)&gt;0,0.5,0)-IF(N(H290)&gt;0,0.5,0),0)</f>
        <v/>
      </c>
      <c r="K290" s="5" t="n"/>
      <c r="L290" s="7">
        <f>MIN(J290,8.0)</f>
        <v/>
      </c>
      <c r="M290" s="7">
        <f>MAX(0,MIN(J290,12)-8.0)</f>
        <v/>
      </c>
      <c r="N290" s="7">
        <f>MAX(0,J290-12)</f>
        <v/>
      </c>
      <c r="O290" s="5" t="n"/>
      <c r="P290" s="6">
        <f>E290*(L290+M290*1.5+N290*2+O290*3+N(K290))</f>
        <v/>
      </c>
      <c r="Q290" s="6" t="n">
        <v>291.5</v>
      </c>
      <c r="R290" s="6">
        <f>Q290-P290</f>
        <v/>
      </c>
    </row>
    <row r="291">
      <c r="P291" s="2" t="inlineStr">
        <is>
          <t>STILLPHOTOGRAPHER LABOR</t>
        </is>
      </c>
      <c r="R291" s="8">
        <f>SUM(R290:R290)</f>
        <v/>
      </c>
    </row>
    <row r="293">
      <c r="B293" s="2" t="inlineStr">
        <is>
          <t>AERIAL/UNDERWATERPHOTOGRAPHY</t>
        </is>
      </c>
    </row>
    <row r="294">
      <c r="A294" s="5" t="inlineStr">
        <is>
          <t>3385</t>
        </is>
      </c>
      <c r="B294" s="5" t="inlineStr"/>
      <c r="C294" s="5" t="inlineStr">
        <is>
          <t>UNDERWATEROPERATOR</t>
        </is>
      </c>
      <c r="D294" s="5" t="inlineStr">
        <is>
          <t>Local600</t>
        </is>
      </c>
      <c r="E294" s="6" t="n">
        <v>65</v>
      </c>
      <c r="F294" s="5" t="n"/>
      <c r="G294" s="5" t="n"/>
      <c r="H294" s="5" t="n"/>
      <c r="I294" s="5" t="n"/>
      <c r="J294" s="7">
        <f>IF(AND(N(F294)&gt;0,N(I294)&gt;0),I294-F294-IF(N(G294)&gt;0,0.5,0)-IF(N(H294)&gt;0,0.5,0),0)</f>
        <v/>
      </c>
      <c r="K294" s="5" t="n"/>
      <c r="L294" s="7">
        <f>MIN(J294,8.0)</f>
        <v/>
      </c>
      <c r="M294" s="7">
        <f>MAX(0,MIN(J294,12)-8.0)</f>
        <v/>
      </c>
      <c r="N294" s="7">
        <f>MAX(0,J294-12)</f>
        <v/>
      </c>
      <c r="O294" s="5" t="n"/>
      <c r="P294" s="6">
        <f>E294*(L294+M294*1.5+N294*2+O294*3+N(K294))</f>
        <v/>
      </c>
      <c r="Q294" s="6" t="n">
        <v>910</v>
      </c>
      <c r="R294" s="6">
        <f>Q294-P294</f>
        <v/>
      </c>
    </row>
    <row r="295">
      <c r="P295" s="2" t="inlineStr">
        <is>
          <t>AERIAL/UNDERWATERPHOTOGRAPHY LABOR</t>
        </is>
      </c>
      <c r="R295" s="8">
        <f>SUM(R294:R294)</f>
        <v/>
      </c>
    </row>
    <row r="297">
      <c r="B297" s="2" t="inlineStr">
        <is>
          <t>SOUNDMIXER</t>
        </is>
      </c>
    </row>
    <row r="298">
      <c r="A298" s="5" t="inlineStr">
        <is>
          <t>3401</t>
        </is>
      </c>
      <c r="B298" s="5" t="inlineStr">
        <is>
          <t>Julian Howarth</t>
        </is>
      </c>
      <c r="C298" s="5" t="inlineStr">
        <is>
          <t>SOUNDMIXER</t>
        </is>
      </c>
      <c r="D298" s="5" t="inlineStr">
        <is>
          <t>Local695</t>
        </is>
      </c>
      <c r="E298" s="6" t="n">
        <v>26.5</v>
      </c>
      <c r="F298" s="5" t="n"/>
      <c r="G298" s="5" t="n"/>
      <c r="H298" s="5" t="n"/>
      <c r="I298" s="5" t="n"/>
      <c r="J298" s="7">
        <f>IF(AND(N(F298)&gt;0,N(I298)&gt;0),I298-F298-IF(N(G298)&gt;0,0.5,0)-IF(N(H298)&gt;0,0.5,0),0)</f>
        <v/>
      </c>
      <c r="K298" s="5" t="n"/>
      <c r="L298" s="7">
        <f>MIN(J298,10.0)</f>
        <v/>
      </c>
      <c r="M298" s="7">
        <f>MAX(0,MIN(J298,12)-10.0)</f>
        <v/>
      </c>
      <c r="N298" s="7">
        <f>MAX(0,J298-12)</f>
        <v/>
      </c>
      <c r="O298" s="5" t="n"/>
      <c r="P298" s="6">
        <f>E298*(L298+M298*1.5+N298*2+O298*3+N(K298))</f>
        <v/>
      </c>
      <c r="Q298" s="6" t="n">
        <v>410.75</v>
      </c>
      <c r="R298" s="6">
        <f>Q298-P298</f>
        <v/>
      </c>
    </row>
    <row r="299">
      <c r="P299" s="2" t="inlineStr">
        <is>
          <t>SOUNDMIXER LABOR</t>
        </is>
      </c>
      <c r="R299" s="8">
        <f>SUM(R298:R298)</f>
        <v/>
      </c>
    </row>
    <row r="301">
      <c r="B301" s="2" t="inlineStr">
        <is>
          <t>BOOMOPERATOR</t>
        </is>
      </c>
    </row>
    <row r="302">
      <c r="A302" s="5" t="inlineStr">
        <is>
          <t>3402</t>
        </is>
      </c>
      <c r="B302" s="5" t="inlineStr">
        <is>
          <t>Tim Song Jones</t>
        </is>
      </c>
      <c r="C302" s="5" t="inlineStr">
        <is>
          <t>BOOMOPERATOR</t>
        </is>
      </c>
      <c r="D302" s="5" t="inlineStr">
        <is>
          <t>Local695</t>
        </is>
      </c>
      <c r="E302" s="6" t="n">
        <v>23.04</v>
      </c>
      <c r="F302" s="5" t="n"/>
      <c r="G302" s="5" t="n"/>
      <c r="H302" s="5" t="n"/>
      <c r="I302" s="5" t="n"/>
      <c r="J302" s="7">
        <f>IF(AND(N(F302)&gt;0,N(I302)&gt;0),I302-F302-IF(N(G302)&gt;0,0.5,0)-IF(N(H302)&gt;0,0.5,0),0)</f>
        <v/>
      </c>
      <c r="K302" s="5" t="n"/>
      <c r="L302" s="7">
        <f>MIN(J302,10.0)</f>
        <v/>
      </c>
      <c r="M302" s="7">
        <f>MAX(0,MIN(J302,12)-10.0)</f>
        <v/>
      </c>
      <c r="N302" s="7">
        <f>MAX(0,J302-12)</f>
        <v/>
      </c>
      <c r="O302" s="5" t="n"/>
      <c r="P302" s="6">
        <f>E302*(L302+M302*1.5+N302*2+O302*3+N(K302))</f>
        <v/>
      </c>
      <c r="Q302" s="6" t="n">
        <v>357.12</v>
      </c>
      <c r="R302" s="6">
        <f>Q302-P302</f>
        <v/>
      </c>
    </row>
    <row r="303">
      <c r="P303" s="2" t="inlineStr">
        <is>
          <t>BOOMOPERATOR LABOR</t>
        </is>
      </c>
      <c r="R303" s="8">
        <f>SUM(R302:R302)</f>
        <v/>
      </c>
    </row>
    <row r="305">
      <c r="B305" s="2" t="inlineStr">
        <is>
          <t>CABLEPERSON</t>
        </is>
      </c>
    </row>
    <row r="306">
      <c r="A306" s="5" t="inlineStr">
        <is>
          <t>3403</t>
        </is>
      </c>
      <c r="B306" s="5" t="inlineStr"/>
      <c r="C306" s="5" t="inlineStr">
        <is>
          <t>UTILITYSOUND</t>
        </is>
      </c>
      <c r="D306" s="5" t="inlineStr">
        <is>
          <t>Local695</t>
        </is>
      </c>
      <c r="E306" s="6" t="n">
        <v>20.57</v>
      </c>
      <c r="F306" s="5" t="n"/>
      <c r="G306" s="5" t="n"/>
      <c r="H306" s="5" t="n"/>
      <c r="I306" s="5" t="n"/>
      <c r="J306" s="7">
        <f>IF(AND(N(F306)&gt;0,N(I306)&gt;0),I306-F306-IF(N(G306)&gt;0,0.5,0)-IF(N(H306)&gt;0,0.5,0),0)</f>
        <v/>
      </c>
      <c r="K306" s="5" t="n"/>
      <c r="L306" s="7">
        <f>MIN(J306,10.0)</f>
        <v/>
      </c>
      <c r="M306" s="7">
        <f>MAX(0,MIN(J306,12)-10.0)</f>
        <v/>
      </c>
      <c r="N306" s="7">
        <f>MAX(0,J306-12)</f>
        <v/>
      </c>
      <c r="O306" s="5" t="n"/>
      <c r="P306" s="6">
        <f>E306*(L306+M306*1.5+N306*2+O306*3+N(K306))</f>
        <v/>
      </c>
      <c r="Q306" s="6" t="n">
        <v>318.83</v>
      </c>
      <c r="R306" s="6">
        <f>Q306-P306</f>
        <v/>
      </c>
    </row>
    <row r="307">
      <c r="P307" s="2" t="inlineStr">
        <is>
          <t>CABLEPERSON LABOR</t>
        </is>
      </c>
      <c r="R307" s="8">
        <f>SUM(R306:R306)</f>
        <v/>
      </c>
    </row>
    <row r="309">
      <c r="B309" s="2" t="inlineStr">
        <is>
          <t>VIDEOASSIST</t>
        </is>
      </c>
    </row>
    <row r="310">
      <c r="A310" s="5" t="inlineStr">
        <is>
          <t>3404</t>
        </is>
      </c>
      <c r="B310" s="5" t="inlineStr">
        <is>
          <t>Jeff Snyder</t>
        </is>
      </c>
      <c r="C310" s="5" t="inlineStr">
        <is>
          <t>VIDEOASSISTOPERATOR</t>
        </is>
      </c>
      <c r="D310" s="5" t="inlineStr">
        <is>
          <t>Local695</t>
        </is>
      </c>
      <c r="E310" s="6" t="n">
        <v>23.04</v>
      </c>
      <c r="F310" s="5" t="n"/>
      <c r="G310" s="5" t="n"/>
      <c r="H310" s="5" t="n"/>
      <c r="I310" s="5" t="n"/>
      <c r="J310" s="7">
        <f>IF(AND(N(F310)&gt;0,N(I310)&gt;0),I310-F310-IF(N(G310)&gt;0,0.5,0)-IF(N(H310)&gt;0,0.5,0),0)</f>
        <v/>
      </c>
      <c r="K310" s="5" t="n"/>
      <c r="L310" s="7">
        <f>MIN(J310,10.0)</f>
        <v/>
      </c>
      <c r="M310" s="7">
        <f>MAX(0,MIN(J310,12)-10.0)</f>
        <v/>
      </c>
      <c r="N310" s="7">
        <f>MAX(0,J310-12)</f>
        <v/>
      </c>
      <c r="O310" s="5" t="n"/>
      <c r="P310" s="6">
        <f>E310*(L310+M310*1.5+N310*2+O310*3+N(K310))</f>
        <v/>
      </c>
      <c r="Q310" s="6" t="n">
        <v>357.12</v>
      </c>
      <c r="R310" s="6">
        <f>Q310-P310</f>
        <v/>
      </c>
    </row>
    <row r="311">
      <c r="P311" s="2" t="inlineStr">
        <is>
          <t>VIDEOASSIST LABOR</t>
        </is>
      </c>
      <c r="R311" s="8">
        <f>SUM(R310:R310)</f>
        <v/>
      </c>
    </row>
    <row r="313">
      <c r="B313" s="2" t="inlineStr">
        <is>
          <t>CAPTAIN</t>
        </is>
      </c>
    </row>
    <row r="314">
      <c r="A314" s="5" t="inlineStr">
        <is>
          <t>3502</t>
        </is>
      </c>
      <c r="B314" s="5" t="inlineStr">
        <is>
          <t>Kevin Caira</t>
        </is>
      </c>
      <c r="C314" s="5" t="inlineStr">
        <is>
          <t>TRANSPOCAPTAIN(LA)</t>
        </is>
      </c>
      <c r="D314" s="5" t="inlineStr">
        <is>
          <t>Local399</t>
        </is>
      </c>
      <c r="E314" s="6" t="n">
        <v>37.21</v>
      </c>
      <c r="F314" s="5" t="n"/>
      <c r="G314" s="5" t="n"/>
      <c r="H314" s="5" t="n"/>
      <c r="I314" s="5" t="n"/>
      <c r="J314" s="7">
        <f>IF(AND(N(F314)&gt;0,N(I314)&gt;0),I314-F314-IF(N(G314)&gt;0,0.5,0)-IF(N(H314)&gt;0,0.5,0),0)</f>
        <v/>
      </c>
      <c r="K314" s="5" t="n"/>
      <c r="L314" s="7">
        <f>MIN(J314,8.0)</f>
        <v/>
      </c>
      <c r="M314" s="7">
        <f>MAX(0,MIN(J314,12)-8.0)</f>
        <v/>
      </c>
      <c r="N314" s="7">
        <f>MAX(0,J314-12)</f>
        <v/>
      </c>
      <c r="O314" s="5" t="n"/>
      <c r="P314" s="6">
        <f>E314*(L314+M314*1.5+N314*2+O314*3+N(K314))</f>
        <v/>
      </c>
      <c r="Q314" s="6" t="n">
        <v>651.17</v>
      </c>
      <c r="R314" s="6">
        <f>Q314-P314</f>
        <v/>
      </c>
    </row>
    <row r="315">
      <c r="A315" s="5" t="inlineStr">
        <is>
          <t>3502</t>
        </is>
      </c>
      <c r="B315" s="5" t="inlineStr">
        <is>
          <t>Tina Peterson</t>
        </is>
      </c>
      <c r="C315" s="5" t="inlineStr">
        <is>
          <t>CO-CAPTAIN</t>
        </is>
      </c>
      <c r="D315" s="5" t="inlineStr">
        <is>
          <t>Local399</t>
        </is>
      </c>
      <c r="E315" s="6" t="n">
        <v>37.21</v>
      </c>
      <c r="F315" s="5" t="n"/>
      <c r="G315" s="5" t="n"/>
      <c r="H315" s="5" t="n"/>
      <c r="I315" s="5" t="n"/>
      <c r="J315" s="7">
        <f>IF(AND(N(F315)&gt;0,N(I315)&gt;0),I315-F315-IF(N(G315)&gt;0,0.5,0)-IF(N(H315)&gt;0,0.5,0),0)</f>
        <v/>
      </c>
      <c r="K315" s="5" t="n"/>
      <c r="L315" s="7">
        <f>MIN(J315,8.0)</f>
        <v/>
      </c>
      <c r="M315" s="7">
        <f>MAX(0,MIN(J315,12)-8.0)</f>
        <v/>
      </c>
      <c r="N315" s="7">
        <f>MAX(0,J315-12)</f>
        <v/>
      </c>
      <c r="O315" s="5" t="n"/>
      <c r="P315" s="6">
        <f>E315*(L315+M315*1.5+N315*2+O315*3+N(K315))</f>
        <v/>
      </c>
      <c r="Q315" s="6" t="n">
        <v>576.75</v>
      </c>
      <c r="R315" s="6">
        <f>Q315-P315</f>
        <v/>
      </c>
    </row>
    <row r="316">
      <c r="P316" s="2" t="inlineStr">
        <is>
          <t>CAPTAIN LABOR</t>
        </is>
      </c>
      <c r="R316" s="8">
        <f>SUM(R314:R315)</f>
        <v/>
      </c>
    </row>
    <row r="318">
      <c r="B318" s="2" t="inlineStr">
        <is>
          <t>DRIVERS</t>
        </is>
      </c>
    </row>
    <row r="319">
      <c r="A319" s="5" t="inlineStr">
        <is>
          <t>3503</t>
        </is>
      </c>
      <c r="B319" s="5" t="inlineStr"/>
      <c r="C319" s="5" t="inlineStr">
        <is>
          <t>GRIPTRUCK 48'TRACTORTRAILERDRIVER</t>
        </is>
      </c>
      <c r="D319" s="5" t="inlineStr"/>
      <c r="E319" s="6" t="n">
        <v>32.36</v>
      </c>
      <c r="F319" s="5" t="n"/>
      <c r="G319" s="5" t="n"/>
      <c r="H319" s="5" t="n"/>
      <c r="I319" s="5" t="n"/>
      <c r="J319" s="7">
        <f>IF(AND(N(F319)&gt;0,N(I319)&gt;0),I319-F319-IF(N(G319)&gt;0,0.5,0)-IF(N(H319)&gt;0,0.5,0),0)</f>
        <v/>
      </c>
      <c r="K319" s="5" t="n"/>
      <c r="L319" s="7">
        <f>MIN(J319,8.0)</f>
        <v/>
      </c>
      <c r="M319" s="7">
        <f>MAX(0,MIN(J319,12)-8.0)</f>
        <v/>
      </c>
      <c r="N319" s="7">
        <f>MAX(0,J319-12)</f>
        <v/>
      </c>
      <c r="O319" s="5" t="n"/>
      <c r="P319" s="6">
        <f>E319*(L319+M319*1.5+N319*2+O319*3+N(K319))</f>
        <v/>
      </c>
      <c r="Q319" s="6" t="n">
        <v>501.58</v>
      </c>
      <c r="R319" s="6">
        <f>Q319-P319</f>
        <v/>
      </c>
    </row>
    <row r="320">
      <c r="A320" s="5" t="inlineStr">
        <is>
          <t>3503</t>
        </is>
      </c>
      <c r="B320" s="5" t="inlineStr">
        <is>
          <t>Donald Wilson</t>
        </is>
      </c>
      <c r="C320" s="5" t="inlineStr">
        <is>
          <t>PROP 5-TON(ENCLOSED)</t>
        </is>
      </c>
      <c r="D320" s="5" t="inlineStr"/>
      <c r="E320" s="6" t="n">
        <v>32.36</v>
      </c>
      <c r="F320" s="5" t="n"/>
      <c r="G320" s="5" t="n"/>
      <c r="H320" s="5" t="n"/>
      <c r="I320" s="5" t="n"/>
      <c r="J320" s="7">
        <f>IF(AND(N(F320)&gt;0,N(I320)&gt;0),I320-F320-IF(N(G320)&gt;0,0.5,0)-IF(N(H320)&gt;0,0.5,0),0)</f>
        <v/>
      </c>
      <c r="K320" s="5" t="n"/>
      <c r="L320" s="7">
        <f>MIN(J320,8.0)</f>
        <v/>
      </c>
      <c r="M320" s="7">
        <f>MAX(0,MIN(J320,12)-8.0)</f>
        <v/>
      </c>
      <c r="N320" s="7">
        <f>MAX(0,J320-12)</f>
        <v/>
      </c>
      <c r="O320" s="5" t="n"/>
      <c r="P320" s="6">
        <f>E320*(L320+M320*1.5+N320*2+O320*3+N(K320))</f>
        <v/>
      </c>
      <c r="Q320" s="6" t="n">
        <v>501.58</v>
      </c>
      <c r="R320" s="6">
        <f>Q320-P320</f>
        <v/>
      </c>
    </row>
    <row r="321">
      <c r="A321" s="5" t="inlineStr">
        <is>
          <t>3503</t>
        </is>
      </c>
      <c r="B321" s="5" t="inlineStr"/>
      <c r="C321" s="5" t="inlineStr">
        <is>
          <t>WARDROBESTAKEBEDDRIVER#1</t>
        </is>
      </c>
      <c r="D321" s="5" t="inlineStr"/>
      <c r="E321" s="6" t="n">
        <v>37.99</v>
      </c>
      <c r="F321" s="5" t="n"/>
      <c r="G321" s="5" t="n"/>
      <c r="H321" s="5" t="n"/>
      <c r="I321" s="5" t="n"/>
      <c r="J321" s="7">
        <f>IF(AND(N(F321)&gt;0,N(I321)&gt;0),I321-F321-IF(N(G321)&gt;0,0.5,0)-IF(N(H321)&gt;0,0.5,0),0)</f>
        <v/>
      </c>
      <c r="K321" s="5" t="n"/>
      <c r="L321" s="7">
        <f>MIN(J321,8.0)</f>
        <v/>
      </c>
      <c r="M321" s="7">
        <f>MAX(0,MIN(J321,12)-8.0)</f>
        <v/>
      </c>
      <c r="N321" s="7">
        <f>MAX(0,J321-12)</f>
        <v/>
      </c>
      <c r="O321" s="5" t="n"/>
      <c r="P321" s="6">
        <f>E321*(L321+M321*1.5+N321*2+O321*3+N(K321))</f>
        <v/>
      </c>
      <c r="Q321" s="6" t="n">
        <v>588.85</v>
      </c>
      <c r="R321" s="6">
        <f>Q321-P321</f>
        <v/>
      </c>
    </row>
    <row r="322">
      <c r="A322" s="5" t="inlineStr">
        <is>
          <t>3503</t>
        </is>
      </c>
      <c r="B322" s="5" t="inlineStr"/>
      <c r="C322" s="5" t="inlineStr">
        <is>
          <t>MAKEUPHAIRTRAILERDRIVER</t>
        </is>
      </c>
      <c r="D322" s="5" t="inlineStr"/>
      <c r="E322" s="6" t="n">
        <v>32.36</v>
      </c>
      <c r="F322" s="5" t="n"/>
      <c r="G322" s="5" t="n"/>
      <c r="H322" s="5" t="n"/>
      <c r="I322" s="5" t="n"/>
      <c r="J322" s="7">
        <f>IF(AND(N(F322)&gt;0,N(I322)&gt;0),I322-F322-IF(N(G322)&gt;0,0.5,0)-IF(N(H322)&gt;0,0.5,0),0)</f>
        <v/>
      </c>
      <c r="K322" s="5" t="n"/>
      <c r="L322" s="7">
        <f>MIN(J322,8.0)</f>
        <v/>
      </c>
      <c r="M322" s="7">
        <f>MAX(0,MIN(J322,12)-8.0)</f>
        <v/>
      </c>
      <c r="N322" s="7">
        <f>MAX(0,J322-12)</f>
        <v/>
      </c>
      <c r="O322" s="5" t="n"/>
      <c r="P322" s="6">
        <f>E322*(L322+M322*1.5+N322*2+O322*3+N(K322))</f>
        <v/>
      </c>
      <c r="Q322" s="6" t="n">
        <v>501.58</v>
      </c>
      <c r="R322" s="6">
        <f>Q322-P322</f>
        <v/>
      </c>
    </row>
    <row r="323">
      <c r="A323" s="5" t="inlineStr">
        <is>
          <t>3503</t>
        </is>
      </c>
      <c r="B323" s="5" t="inlineStr"/>
      <c r="C323" s="5" t="inlineStr">
        <is>
          <t>ELECTRIC 10TONDRIVER(GENIEOPERATOR)</t>
        </is>
      </c>
      <c r="D323" s="5" t="inlineStr"/>
      <c r="E323" s="6" t="n">
        <v>37.99</v>
      </c>
      <c r="F323" s="5" t="n"/>
      <c r="G323" s="5" t="n"/>
      <c r="H323" s="5" t="n"/>
      <c r="I323" s="5" t="n"/>
      <c r="J323" s="7">
        <f>IF(AND(N(F323)&gt;0,N(I323)&gt;0),I323-F323-IF(N(G323)&gt;0,0.5,0)-IF(N(H323)&gt;0,0.5,0),0)</f>
        <v/>
      </c>
      <c r="K323" s="5" t="n"/>
      <c r="L323" s="7">
        <f>MIN(J323,8.0)</f>
        <v/>
      </c>
      <c r="M323" s="7">
        <f>MAX(0,MIN(J323,12)-8.0)</f>
        <v/>
      </c>
      <c r="N323" s="7">
        <f>MAX(0,J323-12)</f>
        <v/>
      </c>
      <c r="O323" s="5" t="n"/>
      <c r="P323" s="6">
        <f>E323*(L323+M323*1.5+N323*2+O323*3+N(K323))</f>
        <v/>
      </c>
      <c r="Q323" s="6" t="n">
        <v>588.85</v>
      </c>
      <c r="R323" s="6">
        <f>Q323-P323</f>
        <v/>
      </c>
    </row>
    <row r="324">
      <c r="A324" s="5" t="inlineStr">
        <is>
          <t>3503</t>
        </is>
      </c>
      <c r="B324" s="5" t="inlineStr"/>
      <c r="C324" s="5" t="inlineStr">
        <is>
          <t>SOUNDCCSTAKEBEDFUELTRUCKDRIVER</t>
        </is>
      </c>
      <c r="D324" s="5" t="inlineStr"/>
      <c r="E324" s="6" t="n">
        <v>32.36</v>
      </c>
      <c r="F324" s="5" t="n"/>
      <c r="G324" s="5" t="n"/>
      <c r="H324" s="5" t="n"/>
      <c r="I324" s="5" t="n"/>
      <c r="J324" s="7">
        <f>IF(AND(N(F324)&gt;0,N(I324)&gt;0),I324-F324-IF(N(G324)&gt;0,0.5,0)-IF(N(H324)&gt;0,0.5,0),0)</f>
        <v/>
      </c>
      <c r="K324" s="5" t="n"/>
      <c r="L324" s="7">
        <f>MIN(J324,8.0)</f>
        <v/>
      </c>
      <c r="M324" s="7">
        <f>MAX(0,MIN(J324,12)-8.0)</f>
        <v/>
      </c>
      <c r="N324" s="7">
        <f>MAX(0,J324-12)</f>
        <v/>
      </c>
      <c r="O324" s="5" t="n"/>
      <c r="P324" s="6">
        <f>E324*(L324+M324*1.5+N324*2+O324*3+N(K324))</f>
        <v/>
      </c>
      <c r="Q324" s="6" t="n">
        <v>501.58</v>
      </c>
      <c r="R324" s="6">
        <f>Q324-P324</f>
        <v/>
      </c>
    </row>
    <row r="325">
      <c r="A325" s="5" t="inlineStr">
        <is>
          <t>3503</t>
        </is>
      </c>
      <c r="B325" s="5" t="inlineStr"/>
      <c r="C325" s="5" t="inlineStr">
        <is>
          <t>9-ROOMHONEYWAGONTRACTORDRIVER</t>
        </is>
      </c>
      <c r="D325" s="5" t="inlineStr"/>
      <c r="E325" s="6" t="n">
        <v>32.36</v>
      </c>
      <c r="F325" s="5" t="n"/>
      <c r="G325" s="5" t="n"/>
      <c r="H325" s="5" t="n"/>
      <c r="I325" s="5" t="n"/>
      <c r="J325" s="7">
        <f>IF(AND(N(F325)&gt;0,N(I325)&gt;0),I325-F325-IF(N(G325)&gt;0,0.5,0)-IF(N(H325)&gt;0,0.5,0),0)</f>
        <v/>
      </c>
      <c r="K325" s="5" t="n"/>
      <c r="L325" s="7">
        <f>MIN(J325,8.0)</f>
        <v/>
      </c>
      <c r="M325" s="7">
        <f>MAX(0,MIN(J325,12)-8.0)</f>
        <v/>
      </c>
      <c r="N325" s="7">
        <f>MAX(0,J325-12)</f>
        <v/>
      </c>
      <c r="O325" s="5" t="n"/>
      <c r="P325" s="6">
        <f>E325*(L325+M325*1.5+N325*2+O325*3+N(K325))</f>
        <v/>
      </c>
      <c r="Q325" s="6" t="n">
        <v>501.58</v>
      </c>
      <c r="R325" s="6">
        <f>Q325-P325</f>
        <v/>
      </c>
    </row>
    <row r="326">
      <c r="A326" s="5" t="inlineStr">
        <is>
          <t>3503</t>
        </is>
      </c>
      <c r="B326" s="5" t="inlineStr"/>
      <c r="C326" s="5" t="inlineStr">
        <is>
          <t>FORDTRANSITVANDRIVER#1</t>
        </is>
      </c>
      <c r="D326" s="5" t="inlineStr"/>
      <c r="E326" s="6" t="n">
        <v>32.36</v>
      </c>
      <c r="F326" s="5" t="n"/>
      <c r="G326" s="5" t="n"/>
      <c r="H326" s="5" t="n"/>
      <c r="I326" s="5" t="n"/>
      <c r="J326" s="7">
        <f>IF(AND(N(F326)&gt;0,N(I326)&gt;0),I326-F326-IF(N(G326)&gt;0,0.5,0)-IF(N(H326)&gt;0,0.5,0),0)</f>
        <v/>
      </c>
      <c r="K326" s="5" t="n"/>
      <c r="L326" s="7">
        <f>MIN(J326,8.0)</f>
        <v/>
      </c>
      <c r="M326" s="7">
        <f>MAX(0,MIN(J326,12)-8.0)</f>
        <v/>
      </c>
      <c r="N326" s="7">
        <f>MAX(0,J326-12)</f>
        <v/>
      </c>
      <c r="O326" s="5" t="n"/>
      <c r="P326" s="6">
        <f>E326*(L326+M326*1.5+N326*2+O326*3+N(K326))</f>
        <v/>
      </c>
      <c r="Q326" s="6" t="n">
        <v>501.58</v>
      </c>
      <c r="R326" s="6">
        <f>Q326-P326</f>
        <v/>
      </c>
    </row>
    <row r="327">
      <c r="A327" s="5" t="inlineStr">
        <is>
          <t>3503</t>
        </is>
      </c>
      <c r="B327" s="5" t="inlineStr">
        <is>
          <t>Kaiser Clark</t>
        </is>
      </c>
      <c r="C327" s="5" t="inlineStr">
        <is>
          <t>CSETDECTRUCKDRIVER#1</t>
        </is>
      </c>
      <c r="D327" s="5" t="inlineStr"/>
      <c r="E327" s="6" t="n">
        <v>32.36</v>
      </c>
      <c r="F327" s="5" t="n"/>
      <c r="G327" s="5" t="n"/>
      <c r="H327" s="5" t="n"/>
      <c r="I327" s="5" t="n"/>
      <c r="J327" s="7">
        <f>IF(AND(N(F327)&gt;0,N(I327)&gt;0),I327-F327-IF(N(G327)&gt;0,0.5,0)-IF(N(H327)&gt;0,0.5,0),0)</f>
        <v/>
      </c>
      <c r="K327" s="5" t="n"/>
      <c r="L327" s="7">
        <f>MIN(J327,8.0)</f>
        <v/>
      </c>
      <c r="M327" s="7">
        <f>MAX(0,MIN(J327,12)-8.0)</f>
        <v/>
      </c>
      <c r="N327" s="7">
        <f>MAX(0,J327-12)</f>
        <v/>
      </c>
      <c r="O327" s="5" t="n"/>
      <c r="P327" s="6">
        <f>E327*(L327+M327*1.5+N327*2+O327*3+N(K327))</f>
        <v/>
      </c>
      <c r="Q327" s="6" t="n">
        <v>501.58</v>
      </c>
      <c r="R327" s="6">
        <f>Q327-P327</f>
        <v/>
      </c>
    </row>
    <row r="328">
      <c r="A328" s="5" t="inlineStr">
        <is>
          <t>3503</t>
        </is>
      </c>
      <c r="B328" s="5" t="inlineStr"/>
      <c r="C328" s="5" t="inlineStr">
        <is>
          <t>C 5-TONENCLOSEDRIGGINGGRIPDRIVER</t>
        </is>
      </c>
      <c r="D328" s="5" t="inlineStr"/>
      <c r="E328" s="6" t="n">
        <v>32.36</v>
      </c>
      <c r="F328" s="5" t="n"/>
      <c r="G328" s="5" t="n"/>
      <c r="H328" s="5" t="n"/>
      <c r="I328" s="5" t="n"/>
      <c r="J328" s="7">
        <f>IF(AND(N(F328)&gt;0,N(I328)&gt;0),I328-F328-IF(N(G328)&gt;0,0.5,0)-IF(N(H328)&gt;0,0.5,0),0)</f>
        <v/>
      </c>
      <c r="K328" s="5" t="n"/>
      <c r="L328" s="7">
        <f>MIN(J328,8.0)</f>
        <v/>
      </c>
      <c r="M328" s="7">
        <f>MAX(0,MIN(J328,12)-8.0)</f>
        <v/>
      </c>
      <c r="N328" s="7">
        <f>MAX(0,J328-12)</f>
        <v/>
      </c>
      <c r="O328" s="5" t="n"/>
      <c r="P328" s="6">
        <f>E328*(L328+M328*1.5+N328*2+O328*3+N(K328))</f>
        <v/>
      </c>
      <c r="Q328" s="5" t="n"/>
      <c r="R328" s="6">
        <f>Q328-P328</f>
        <v/>
      </c>
    </row>
    <row r="329">
      <c r="A329" s="5" t="inlineStr">
        <is>
          <t>3503</t>
        </is>
      </c>
      <c r="B329" s="5" t="inlineStr"/>
      <c r="C329" s="5" t="inlineStr">
        <is>
          <t>SCOUTBUS</t>
        </is>
      </c>
      <c r="D329" s="5" t="inlineStr"/>
      <c r="E329" s="6" t="n">
        <v>32.36</v>
      </c>
      <c r="F329" s="5" t="n"/>
      <c r="G329" s="5" t="n"/>
      <c r="H329" s="5" t="n"/>
      <c r="I329" s="5" t="n"/>
      <c r="J329" s="7">
        <f>IF(AND(N(F329)&gt;0,N(I329)&gt;0),I329-F329-IF(N(G329)&gt;0,0.5,0)-IF(N(H329)&gt;0,0.5,0),0)</f>
        <v/>
      </c>
      <c r="K329" s="5" t="n"/>
      <c r="L329" s="7">
        <f>MIN(J329,8.0)</f>
        <v/>
      </c>
      <c r="M329" s="7">
        <f>MAX(0,MIN(J329,12)-8.0)</f>
        <v/>
      </c>
      <c r="N329" s="7">
        <f>MAX(0,J329-12)</f>
        <v/>
      </c>
      <c r="O329" s="5" t="n"/>
      <c r="P329" s="6">
        <f>E329*(L329+M329*1.5+N329*2+O329*3+N(K329))</f>
        <v/>
      </c>
      <c r="Q329" s="5" t="n"/>
      <c r="R329" s="6">
        <f>Q329-P329</f>
        <v/>
      </c>
    </row>
    <row r="330">
      <c r="A330" s="5" t="inlineStr">
        <is>
          <t>3503</t>
        </is>
      </c>
      <c r="B330" s="5" t="inlineStr"/>
      <c r="C330" s="5" t="inlineStr">
        <is>
          <t>DRIVERMANDAYS</t>
        </is>
      </c>
      <c r="D330" s="5" t="inlineStr"/>
      <c r="E330" s="6" t="n">
        <v>32.36</v>
      </c>
      <c r="F330" s="5" t="n"/>
      <c r="G330" s="5" t="n"/>
      <c r="H330" s="5" t="n"/>
      <c r="I330" s="5" t="n"/>
      <c r="J330" s="7">
        <f>IF(AND(N(F330)&gt;0,N(I330)&gt;0),I330-F330-IF(N(G330)&gt;0,0.5,0)-IF(N(H330)&gt;0,0.5,0),0)</f>
        <v/>
      </c>
      <c r="K330" s="5" t="n"/>
      <c r="L330" s="7">
        <f>MIN(J330,8.0)</f>
        <v/>
      </c>
      <c r="M330" s="7">
        <f>MAX(0,MIN(J330,12)-8.0)</f>
        <v/>
      </c>
      <c r="N330" s="7">
        <f>MAX(0,J330-12)</f>
        <v/>
      </c>
      <c r="O330" s="5" t="n"/>
      <c r="P330" s="6">
        <f>E330*(L330+M330*1.5+N330*2+O330*3+N(K330))</f>
        <v/>
      </c>
      <c r="Q330" s="5" t="n"/>
      <c r="R330" s="6">
        <f>Q330-P330</f>
        <v/>
      </c>
    </row>
    <row r="331">
      <c r="P331" s="2" t="inlineStr">
        <is>
          <t>DRIVERS LABOR</t>
        </is>
      </c>
      <c r="R331" s="8">
        <f>SUM(R319:R330)</f>
        <v/>
      </c>
    </row>
    <row r="333">
      <c r="B333" s="2" t="inlineStr">
        <is>
          <t>LOCATIONSITEFEES</t>
        </is>
      </c>
    </row>
    <row r="334">
      <c r="A334" s="5" t="inlineStr">
        <is>
          <t>3607</t>
        </is>
      </c>
      <c r="B334" s="5" t="inlineStr"/>
      <c r="C334" s="5" t="inlineStr">
        <is>
          <t>Location#1(Hospital ER, LACountry Childrens Shelter, Shelter Dorm, Dept...</t>
        </is>
      </c>
      <c r="D334" s="5" t="inlineStr">
        <is>
          <t>Local400</t>
        </is>
      </c>
      <c r="E334" s="6" t="n">
        <v>50000</v>
      </c>
      <c r="F334" s="5" t="n"/>
      <c r="G334" s="5" t="n"/>
      <c r="H334" s="5" t="n"/>
      <c r="I334" s="5" t="n"/>
      <c r="J334" s="7">
        <f>IF(AND(N(F334)&gt;0,N(I334)&gt;0),I334-F334-IF(N(G334)&gt;0,0.5,0)-IF(N(H334)&gt;0,0.5,0),0)</f>
        <v/>
      </c>
      <c r="K334" s="5" t="n"/>
      <c r="L334" s="7">
        <f>MIN(J334,8.0)</f>
        <v/>
      </c>
      <c r="M334" s="7">
        <f>MAX(0,MIN(J334,12)-8.0)</f>
        <v/>
      </c>
      <c r="N334" s="7">
        <f>MAX(0,J334-12)</f>
        <v/>
      </c>
      <c r="O334" s="5" t="n"/>
      <c r="P334" s="6">
        <f>E334*(L334+M334*1.5+N334*2+O334*3+N(K334))</f>
        <v/>
      </c>
      <c r="Q334" s="6" t="n">
        <v>50000</v>
      </c>
      <c r="R334" s="6">
        <f>Q334-P334</f>
        <v/>
      </c>
    </row>
    <row r="335">
      <c r="P335" s="2" t="inlineStr">
        <is>
          <t>LOCATIONSITEFEES LABOR</t>
        </is>
      </c>
      <c r="R335" s="8">
        <f>SUM(R334:R334)</f>
        <v/>
      </c>
    </row>
    <row r="337">
      <c r="B337" s="2" t="inlineStr">
        <is>
          <t>CATERINGLABOR</t>
        </is>
      </c>
    </row>
    <row r="338">
      <c r="A338" s="5" t="inlineStr">
        <is>
          <t>3621</t>
        </is>
      </c>
      <c r="B338" s="5" t="inlineStr"/>
      <c r="C338" s="5" t="inlineStr">
        <is>
          <t>COOKDRIVER#1</t>
        </is>
      </c>
      <c r="D338" s="5" t="inlineStr">
        <is>
          <t>Local399</t>
        </is>
      </c>
      <c r="E338" s="6" t="n">
        <v>32.36</v>
      </c>
      <c r="F338" s="5" t="n"/>
      <c r="G338" s="5" t="n"/>
      <c r="H338" s="5" t="n"/>
      <c r="I338" s="5" t="n"/>
      <c r="J338" s="7">
        <f>IF(AND(N(F338)&gt;0,N(I338)&gt;0),I338-F338-IF(N(G338)&gt;0,0.5,0)-IF(N(H338)&gt;0,0.5,0),0)</f>
        <v/>
      </c>
      <c r="K338" s="5" t="n"/>
      <c r="L338" s="7">
        <f>MIN(J338,8.0)</f>
        <v/>
      </c>
      <c r="M338" s="7">
        <f>MAX(0,MIN(J338,12)-8.0)</f>
        <v/>
      </c>
      <c r="N338" s="7">
        <f>MAX(0,J338-12)</f>
        <v/>
      </c>
      <c r="O338" s="5" t="n"/>
      <c r="P338" s="6">
        <f>E338*(L338+M338*1.5+N338*2+O338*3+N(K338))</f>
        <v/>
      </c>
      <c r="Q338" s="6" t="n">
        <v>647.2</v>
      </c>
      <c r="R338" s="6">
        <f>Q338-P338</f>
        <v/>
      </c>
    </row>
    <row r="339">
      <c r="A339" s="5" t="inlineStr">
        <is>
          <t>3621</t>
        </is>
      </c>
      <c r="B339" s="5" t="inlineStr"/>
      <c r="C339" s="5" t="inlineStr">
        <is>
          <t>1STASSTCATERER#1</t>
        </is>
      </c>
      <c r="D339" s="5" t="inlineStr"/>
      <c r="E339" s="6" t="n">
        <v>17</v>
      </c>
      <c r="F339" s="5" t="n"/>
      <c r="G339" s="5" t="n"/>
      <c r="H339" s="5" t="n"/>
      <c r="I339" s="5" t="n"/>
      <c r="J339" s="7">
        <f>IF(AND(N(F339)&gt;0,N(I339)&gt;0),I339-F339-IF(N(G339)&gt;0,0.5,0)-IF(N(H339)&gt;0,0.5,0),0)</f>
        <v/>
      </c>
      <c r="K339" s="5" t="n"/>
      <c r="L339" s="7">
        <f>MIN(J339,8.0)</f>
        <v/>
      </c>
      <c r="M339" s="7">
        <f>MAX(0,MIN(J339,12)-8.0)</f>
        <v/>
      </c>
      <c r="N339" s="7">
        <f>MAX(0,J339-12)</f>
        <v/>
      </c>
      <c r="O339" s="5" t="n"/>
      <c r="P339" s="6">
        <f>E339*(L339+M339*1.5+N339*2+O339*3+N(K339))</f>
        <v/>
      </c>
      <c r="Q339" s="6" t="n">
        <v>340</v>
      </c>
      <c r="R339" s="6">
        <f>Q339-P339</f>
        <v/>
      </c>
    </row>
    <row r="340">
      <c r="A340" s="5" t="inlineStr">
        <is>
          <t>3621</t>
        </is>
      </c>
      <c r="B340" s="5" t="inlineStr"/>
      <c r="C340" s="5" t="inlineStr">
        <is>
          <t>1STASSTCATERER#2</t>
        </is>
      </c>
      <c r="D340" s="5" t="inlineStr"/>
      <c r="E340" s="6" t="n">
        <v>16</v>
      </c>
      <c r="F340" s="5" t="n"/>
      <c r="G340" s="5" t="n"/>
      <c r="H340" s="5" t="n"/>
      <c r="I340" s="5" t="n"/>
      <c r="J340" s="7">
        <f>IF(AND(N(F340)&gt;0,N(I340)&gt;0),I340-F340-IF(N(G340)&gt;0,0.5,0)-IF(N(H340)&gt;0,0.5,0),0)</f>
        <v/>
      </c>
      <c r="K340" s="5" t="n"/>
      <c r="L340" s="7">
        <f>MIN(J340,8.0)</f>
        <v/>
      </c>
      <c r="M340" s="7">
        <f>MAX(0,MIN(J340,12)-8.0)</f>
        <v/>
      </c>
      <c r="N340" s="7">
        <f>MAX(0,J340-12)</f>
        <v/>
      </c>
      <c r="O340" s="5" t="n"/>
      <c r="P340" s="6">
        <f>E340*(L340+M340*1.5+N340*2+O340*3+N(K340))</f>
        <v/>
      </c>
      <c r="Q340" s="6" t="n">
        <v>320</v>
      </c>
      <c r="R340" s="6">
        <f>Q340-P340</f>
        <v/>
      </c>
    </row>
    <row r="341">
      <c r="P341" s="2" t="inlineStr">
        <is>
          <t>CATERINGLABOR LABOR</t>
        </is>
      </c>
      <c r="R341" s="8">
        <f>SUM(R338:R340)</f>
        <v/>
      </c>
    </row>
    <row r="343">
      <c r="K343" s="9" t="inlineStr">
        <is>
          <t>TOTAL</t>
        </is>
      </c>
      <c r="P343" s="9" t="inlineStr">
        <is>
          <t>ACTUAL</t>
        </is>
      </c>
      <c r="Q343" s="9" t="inlineStr">
        <is>
          <t>BUDGET</t>
        </is>
      </c>
      <c r="R343" s="9" t="inlineStr">
        <is>
          <t>TOTAL VAR</t>
        </is>
      </c>
    </row>
    <row r="344">
      <c r="P344" s="9" t="inlineStr">
        <is>
          <t>DAY COST</t>
        </is>
      </c>
      <c r="Q344" s="9" t="inlineStr">
        <is>
          <t>DY COST</t>
        </is>
      </c>
      <c r="R344" s="9" t="inlineStr">
        <is>
          <t>(OVER) / UNDER</t>
        </is>
      </c>
    </row>
    <row r="345">
      <c r="P345" s="10">
        <f>SUM(P6:P6)+SUM(P10:P11)+SUM(P15:P17)+SUM(P21:P22)+SUM(P26:P32)+SUM(P36:P36)+SUM(P40:P41)+SUM(P45:P45)+SUM(P49:P49)+SUM(P53:P54)+SUM(P58:P58)+SUM(P62:P62)+SUM(P66:P67)+SUM(P71:P71)+SUM(P75:P75)+SUM(P79:P80)+SUM(P84:P84)+SUM(P88:P88)+SUM(P92:P93)+SUM(P97:P100)+SUM(P104:P104)+SUM(P108:P109)+SUM(P113:P113)+SUM(P117:P117)+SUM(P121:P121)+SUM(P125:P125)+SUM(P129:P130)+SUM(P134:P134)+SUM(P138:P139)+SUM(P143:P145)+SUM(P149:P149)+SUM(P153:P153)+SUM(P157:P158)+SUM(P162:P163)+SUM(P167:P167)+SUM(P171:P173)+SUM(P177:P177)+SUM(P181:P181)+SUM(P185:P187)+SUM(P191:P191)+SUM(P195:P195)+SUM(P199:P199)+SUM(P203:P203)+SUM(P207:P207)+SUM(P211:P211)+SUM(P215:P216)+SUM(P220:P220)+SUM(P224:P224)+SUM(P228:P228)+SUM(P232:P233)+SUM(P237:P237)+SUM(P241:P241)+SUM(P245:P245)+SUM(P249:P249)+SUM(P253:P254)+SUM(P258:P260)+SUM(P264:P264)+SUM(P268:P268)+SUM(P272:P272)+SUM(P276:P276)+SUM(P280:P281)+SUM(P285:P286)+SUM(P290:P290)+SUM(P294:P294)+SUM(P298:P298)+SUM(P302:P302)+SUM(P306:P306)+SUM(P310:P310)+SUM(P314:P315)+SUM(P319:P330)+SUM(P334:P334)+SUM(P338:P340)</f>
        <v/>
      </c>
      <c r="Q345" s="10">
        <f>SUM(Q6:Q6)+SUM(Q10:Q11)+SUM(Q15:Q17)+SUM(Q21:Q22)+SUM(Q26:Q32)+SUM(Q36:Q36)+SUM(Q40:Q41)+SUM(Q45:Q45)+SUM(Q49:Q49)+SUM(Q53:Q54)+SUM(Q58:Q58)+SUM(Q62:Q62)+SUM(Q66:Q67)+SUM(Q71:Q71)+SUM(Q75:Q75)+SUM(Q79:Q80)+SUM(Q84:Q84)+SUM(Q88:Q88)+SUM(Q92:Q93)+SUM(Q97:Q100)+SUM(Q104:Q104)+SUM(Q108:Q109)+SUM(Q113:Q113)+SUM(Q117:Q117)+SUM(Q121:Q121)+SUM(Q125:Q125)+SUM(Q129:Q130)+SUM(Q134:Q134)+SUM(Q138:Q139)+SUM(Q143:Q145)+SUM(Q149:Q149)+SUM(Q153:Q153)+SUM(Q157:Q158)+SUM(Q162:Q163)+SUM(Q167:Q167)+SUM(Q171:Q173)+SUM(Q177:Q177)+SUM(Q181:Q181)+SUM(Q185:Q187)+SUM(Q191:Q191)+SUM(Q195:Q195)+SUM(Q199:Q199)+SUM(Q203:Q203)+SUM(Q207:Q207)+SUM(Q211:Q211)+SUM(Q215:Q216)+SUM(Q220:Q220)+SUM(Q224:Q224)+SUM(Q228:Q228)+SUM(Q232:Q233)+SUM(Q237:Q237)+SUM(Q241:Q241)+SUM(Q245:Q245)+SUM(Q249:Q249)+SUM(Q253:Q254)+SUM(Q258:Q260)+SUM(Q264:Q264)+SUM(Q268:Q268)+SUM(Q272:Q272)+SUM(Q276:Q276)+SUM(Q280:Q281)+SUM(Q285:Q286)+SUM(Q290:Q290)+SUM(Q294:Q294)+SUM(Q298:Q298)+SUM(Q302:Q302)+SUM(Q306:Q306)+SUM(Q310:Q310)+SUM(Q314:Q315)+SUM(Q319:Q330)+SUM(Q334:Q334)+SUM(Q338:Q340)</f>
        <v/>
      </c>
      <c r="R345" s="10">
        <f>SUM(R6:R6)+SUM(R10:R11)+SUM(R15:R17)+SUM(R21:R22)+SUM(R26:R32)+SUM(R36:R36)+SUM(R40:R41)+SUM(R45:R45)+SUM(R49:R49)+SUM(R53:R54)+SUM(R58:R58)+SUM(R62:R62)+SUM(R66:R67)+SUM(R71:R71)+SUM(R75:R75)+SUM(R79:R80)+SUM(R84:R84)+SUM(R88:R88)+SUM(R92:R93)+SUM(R97:R100)+SUM(R104:R104)+SUM(R108:R109)+SUM(R113:R113)+SUM(R117:R117)+SUM(R121:R121)+SUM(R125:R125)+SUM(R129:R130)+SUM(R134:R134)+SUM(R138:R139)+SUM(R143:R145)+SUM(R149:R149)+SUM(R153:R153)+SUM(R157:R158)+SUM(R162:R163)+SUM(R167:R167)+SUM(R171:R173)+SUM(R177:R177)+SUM(R181:R181)+SUM(R185:R187)+SUM(R191:R191)+SUM(R195:R195)+SUM(R199:R199)+SUM(R203:R203)+SUM(R207:R207)+SUM(R211:R211)+SUM(R215:R216)+SUM(R220:R220)+SUM(R224:R224)+SUM(R228:R228)+SUM(R232:R233)+SUM(R237:R237)+SUM(R241:R241)+SUM(R245:R245)+SUM(R249:R249)+SUM(R253:R254)+SUM(R258:R260)+SUM(R264:R264)+SUM(R268:R268)+SUM(R272:R272)+SUM(R276:R276)+SUM(R280:R281)+SUM(R285:R286)+SUM(R290:R290)+SUM(R294:R294)+SUM(R298:R298)+SUM(R302:R302)+SUM(R306:R306)+SUM(R310:R310)+SUM(R314:R315)+SUM(R319:R330)+SUM(R334:R334)+SUM(R338:R340)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R34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20" customWidth="1" min="3" max="3"/>
    <col width="9" customWidth="1" min="4" max="4"/>
    <col width="9" customWidth="1" min="5" max="5"/>
    <col width="7" customWidth="1" min="6" max="6"/>
    <col width="7" customWidth="1" min="7" max="7"/>
    <col width="8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12" customWidth="1" min="16" max="16"/>
    <col width="13" customWidth="1" min="17" max="17"/>
    <col width="14" customWidth="1" min="18" max="18"/>
  </cols>
  <sheetData>
    <row r="1">
      <c r="A1" s="1" t="inlineStr">
        <is>
          <t>HOT COST</t>
        </is>
      </c>
      <c r="C1" t="inlineStr">
        <is>
          <t>Monday 23 Oct 2017</t>
        </is>
      </c>
      <c r="F1" s="2" t="inlineStr">
        <is>
          <t>DAY #6</t>
        </is>
      </c>
    </row>
    <row r="2">
      <c r="A2" s="3" t="inlineStr">
        <is>
          <t>enter CALL, LUNCH, WRAP as decimal hours (e.g. 7.5) — everything right of WRAP computes</t>
        </is>
      </c>
    </row>
    <row r="4">
      <c r="A4" s="4" t="inlineStr">
        <is>
          <t>ACCT</t>
        </is>
      </c>
      <c r="B4" s="4" t="inlineStr">
        <is>
          <t>NAME</t>
        </is>
      </c>
      <c r="C4" s="4" t="inlineStr">
        <is>
          <t>POSITION</t>
        </is>
      </c>
      <c r="D4" s="4" t="inlineStr">
        <is>
          <t>UNION</t>
        </is>
      </c>
      <c r="E4" s="4" t="inlineStr">
        <is>
          <t>RATE</t>
        </is>
      </c>
      <c r="F4" s="4" t="inlineStr">
        <is>
          <t>CALL</t>
        </is>
      </c>
      <c r="G4" s="4" t="inlineStr">
        <is>
          <t>LUNCH</t>
        </is>
      </c>
      <c r="H4" s="4" t="inlineStr">
        <is>
          <t>LUNCH 2</t>
        </is>
      </c>
      <c r="I4" s="4" t="inlineStr">
        <is>
          <t>WRAP</t>
        </is>
      </c>
      <c r="J4" s="4" t="inlineStr">
        <is>
          <t>HRS</t>
        </is>
      </c>
      <c r="K4" s="4" t="inlineStr">
        <is>
          <t>MP'S</t>
        </is>
      </c>
      <c r="L4" s="4" t="inlineStr">
        <is>
          <t>ST</t>
        </is>
      </c>
      <c r="M4" s="4" t="inlineStr">
        <is>
          <t>1.5X</t>
        </is>
      </c>
      <c r="N4" s="4" t="inlineStr">
        <is>
          <t>2X</t>
        </is>
      </c>
      <c r="O4" s="4" t="inlineStr">
        <is>
          <t>3X</t>
        </is>
      </c>
      <c r="P4" s="4" t="inlineStr">
        <is>
          <t>TOTAL / DAY</t>
        </is>
      </c>
      <c r="Q4" s="4" t="inlineStr">
        <is>
          <t>BUDGET / DAY</t>
        </is>
      </c>
      <c r="R4" s="4" t="inlineStr">
        <is>
          <t>(OVER) / UNDER</t>
        </is>
      </c>
    </row>
    <row r="5">
      <c r="B5" s="2" t="inlineStr">
        <is>
          <t>LEAD#</t>
        </is>
      </c>
    </row>
    <row r="6">
      <c r="A6" s="5" t="inlineStr">
        <is>
          <t>1401</t>
        </is>
      </c>
      <c r="B6" s="5" t="inlineStr">
        <is>
          <t>Linda Cardellini</t>
        </is>
      </c>
      <c r="C6" s="5" t="inlineStr">
        <is>
          <t>"ANNA"</t>
        </is>
      </c>
      <c r="D6" s="5" t="inlineStr"/>
      <c r="E6" s="6" t="n">
        <v>1211.8</v>
      </c>
      <c r="F6" s="5" t="n"/>
      <c r="G6" s="5" t="n"/>
      <c r="H6" s="5" t="n"/>
      <c r="I6" s="5" t="n"/>
      <c r="J6" s="7">
        <f>IF(AND(N(F6)&gt;0,N(I6)&gt;0),I6-F6-IF(N(G6)&gt;0,0.5,0)-IF(N(H6)&gt;0,0.5,0),0)</f>
        <v/>
      </c>
      <c r="K6" s="5" t="n"/>
      <c r="L6" s="7">
        <f>MIN(J6,8.0)</f>
        <v/>
      </c>
      <c r="M6" s="7">
        <f>MAX(0,MIN(J6,12)-8.0)</f>
        <v/>
      </c>
      <c r="N6" s="7">
        <f>MAX(0,J6-12)</f>
        <v/>
      </c>
      <c r="O6" s="5" t="n"/>
      <c r="P6" s="6">
        <f>E6*(L6+M6*1.5+N6*2+O6*3+N(K6))</f>
        <v/>
      </c>
      <c r="Q6" s="6" t="n">
        <v>1211.8</v>
      </c>
      <c r="R6" s="6">
        <f>Q6-P6</f>
        <v/>
      </c>
    </row>
    <row r="7">
      <c r="P7" s="2" t="inlineStr">
        <is>
          <t>LEAD# LABOR</t>
        </is>
      </c>
      <c r="R7" s="8">
        <f>SUM(R6:R6)</f>
        <v/>
      </c>
    </row>
    <row r="9">
      <c r="B9" s="2" t="inlineStr">
        <is>
          <t>LEAD#2&amp;#</t>
        </is>
      </c>
    </row>
    <row r="10">
      <c r="A10" s="5" t="inlineStr">
        <is>
          <t>1402</t>
        </is>
      </c>
      <c r="B10" s="5" t="inlineStr">
        <is>
          <t>Roman Christou</t>
        </is>
      </c>
      <c r="C10" s="5" t="inlineStr">
        <is>
          <t>"CHRIS"(Minor)</t>
        </is>
      </c>
      <c r="D10" s="5" t="inlineStr"/>
      <c r="E10" s="6" t="n">
        <v>755.4</v>
      </c>
      <c r="F10" s="5" t="n"/>
      <c r="G10" s="5" t="n"/>
      <c r="H10" s="5" t="n"/>
      <c r="I10" s="5" t="n"/>
      <c r="J10" s="7">
        <f>IF(AND(N(F10)&gt;0,N(I10)&gt;0),I10-F10-IF(N(G10)&gt;0,0.5,0)-IF(N(H10)&gt;0,0.5,0),0)</f>
        <v/>
      </c>
      <c r="K10" s="5" t="n"/>
      <c r="L10" s="7">
        <f>MIN(J10,8.0)</f>
        <v/>
      </c>
      <c r="M10" s="7">
        <f>MAX(0,MIN(J10,12)-8.0)</f>
        <v/>
      </c>
      <c r="N10" s="7">
        <f>MAX(0,J10-12)</f>
        <v/>
      </c>
      <c r="O10" s="5" t="n"/>
      <c r="P10" s="6">
        <f>E10*(L10+M10*1.5+N10*2+O10*3+N(K10))</f>
        <v/>
      </c>
      <c r="Q10" s="6" t="n">
        <v>755.4</v>
      </c>
      <c r="R10" s="6">
        <f>Q10-P10</f>
        <v/>
      </c>
    </row>
    <row r="11">
      <c r="A11" s="5" t="inlineStr">
        <is>
          <t>1402</t>
        </is>
      </c>
      <c r="B11" s="5" t="inlineStr">
        <is>
          <t>Jaynee Lynee Kinchen</t>
        </is>
      </c>
      <c r="C11" s="5" t="inlineStr">
        <is>
          <t>"SAMANTHA"(Minor)</t>
        </is>
      </c>
      <c r="D11" s="5" t="inlineStr"/>
      <c r="E11" s="6" t="n">
        <v>755.4</v>
      </c>
      <c r="F11" s="5" t="n"/>
      <c r="G11" s="5" t="n"/>
      <c r="H11" s="5" t="n"/>
      <c r="I11" s="5" t="n"/>
      <c r="J11" s="7">
        <f>IF(AND(N(F11)&gt;0,N(I11)&gt;0),I11-F11-IF(N(G11)&gt;0,0.5,0)-IF(N(H11)&gt;0,0.5,0),0)</f>
        <v/>
      </c>
      <c r="K11" s="5" t="n"/>
      <c r="L11" s="7">
        <f>MIN(J11,8.0)</f>
        <v/>
      </c>
      <c r="M11" s="7">
        <f>MAX(0,MIN(J11,12)-8.0)</f>
        <v/>
      </c>
      <c r="N11" s="7">
        <f>MAX(0,J11-12)</f>
        <v/>
      </c>
      <c r="O11" s="5" t="n"/>
      <c r="P11" s="6">
        <f>E11*(L11+M11*1.5+N11*2+O11*3+N(K11))</f>
        <v/>
      </c>
      <c r="Q11" s="6" t="n">
        <v>755.4</v>
      </c>
      <c r="R11" s="6">
        <f>Q11-P11</f>
        <v/>
      </c>
    </row>
    <row r="12">
      <c r="P12" s="2" t="inlineStr">
        <is>
          <t>LEAD#2&amp;# LABOR</t>
        </is>
      </c>
      <c r="R12" s="8">
        <f>SUM(R10:R11)</f>
        <v/>
      </c>
    </row>
    <row r="14">
      <c r="B14" s="2" t="inlineStr">
        <is>
          <t>OTHERLEADCAST</t>
        </is>
      </c>
    </row>
    <row r="15">
      <c r="A15" s="5" t="inlineStr">
        <is>
          <t>1403</t>
        </is>
      </c>
      <c r="B15" s="5" t="inlineStr">
        <is>
          <t>Raymond Cruz</t>
        </is>
      </c>
      <c r="C15" s="5" t="inlineStr">
        <is>
          <t>"RAFAELOLVERA"</t>
        </is>
      </c>
      <c r="D15" s="5" t="inlineStr"/>
      <c r="E15" s="6" t="n">
        <v>1211.8</v>
      </c>
      <c r="F15" s="5" t="n"/>
      <c r="G15" s="5" t="n"/>
      <c r="H15" s="5" t="n"/>
      <c r="I15" s="5" t="n"/>
      <c r="J15" s="7">
        <f>IF(AND(N(F15)&gt;0,N(I15)&gt;0),I15-F15-IF(N(G15)&gt;0,0.5,0)-IF(N(H15)&gt;0,0.5,0),0)</f>
        <v/>
      </c>
      <c r="K15" s="5" t="n"/>
      <c r="L15" s="7">
        <f>MIN(J15,8.0)</f>
        <v/>
      </c>
      <c r="M15" s="7">
        <f>MAX(0,MIN(J15,12)-8.0)</f>
        <v/>
      </c>
      <c r="N15" s="7">
        <f>MAX(0,J15-12)</f>
        <v/>
      </c>
      <c r="O15" s="5" t="n"/>
      <c r="P15" s="6">
        <f>E15*(L15+M15*1.5+N15*2+O15*3+N(K15))</f>
        <v/>
      </c>
      <c r="Q15" s="6" t="n">
        <v>1211.8</v>
      </c>
      <c r="R15" s="6">
        <f>Q15-P15</f>
        <v/>
      </c>
    </row>
    <row r="16">
      <c r="A16" s="5" t="inlineStr">
        <is>
          <t>1403</t>
        </is>
      </c>
      <c r="B16" s="5" t="inlineStr">
        <is>
          <t>Marisol Ramirez</t>
        </is>
      </c>
      <c r="C16" s="5" t="inlineStr">
        <is>
          <t>"LALLORONA"</t>
        </is>
      </c>
      <c r="D16" s="5" t="inlineStr"/>
      <c r="E16" s="6" t="n">
        <v>1211.8</v>
      </c>
      <c r="F16" s="5" t="n"/>
      <c r="G16" s="5" t="n"/>
      <c r="H16" s="5" t="n"/>
      <c r="I16" s="5" t="n"/>
      <c r="J16" s="7">
        <f>IF(AND(N(F16)&gt;0,N(I16)&gt;0),I16-F16-IF(N(G16)&gt;0,0.5,0)-IF(N(H16)&gt;0,0.5,0),0)</f>
        <v/>
      </c>
      <c r="K16" s="5" t="n"/>
      <c r="L16" s="7">
        <f>MIN(J16,8.0)</f>
        <v/>
      </c>
      <c r="M16" s="7">
        <f>MAX(0,MIN(J16,12)-8.0)</f>
        <v/>
      </c>
      <c r="N16" s="7">
        <f>MAX(0,J16-12)</f>
        <v/>
      </c>
      <c r="O16" s="5" t="n"/>
      <c r="P16" s="6">
        <f>E16*(L16+M16*1.5+N16*2+O16*3+N(K16))</f>
        <v/>
      </c>
      <c r="Q16" s="6" t="n">
        <v>1211.8</v>
      </c>
      <c r="R16" s="6">
        <f>Q16-P16</f>
        <v/>
      </c>
    </row>
    <row r="17">
      <c r="A17" s="5" t="inlineStr">
        <is>
          <t>1403</t>
        </is>
      </c>
      <c r="B17" s="5" t="inlineStr">
        <is>
          <t>Patrica Velasquez</t>
        </is>
      </c>
      <c r="C17" s="5" t="inlineStr">
        <is>
          <t>"PATRICIA"</t>
        </is>
      </c>
      <c r="D17" s="5" t="inlineStr"/>
      <c r="E17" s="6" t="n">
        <v>1972</v>
      </c>
      <c r="F17" s="5" t="n"/>
      <c r="G17" s="5" t="n"/>
      <c r="H17" s="5" t="n"/>
      <c r="I17" s="5" t="n"/>
      <c r="J17" s="7">
        <f>IF(AND(N(F17)&gt;0,N(I17)&gt;0),I17-F17-IF(N(G17)&gt;0,0.5,0)-IF(N(H17)&gt;0,0.5,0),0)</f>
        <v/>
      </c>
      <c r="K17" s="5" t="n"/>
      <c r="L17" s="7">
        <f>MIN(J17,8.0)</f>
        <v/>
      </c>
      <c r="M17" s="7">
        <f>MAX(0,MIN(J17,12)-8.0)</f>
        <v/>
      </c>
      <c r="N17" s="7">
        <f>MAX(0,J17-12)</f>
        <v/>
      </c>
      <c r="O17" s="5" t="n"/>
      <c r="P17" s="6">
        <f>E17*(L17+M17*1.5+N17*2+O17*3+N(K17))</f>
        <v/>
      </c>
      <c r="Q17" s="6" t="n">
        <v>1972</v>
      </c>
      <c r="R17" s="6">
        <f>Q17-P17</f>
        <v/>
      </c>
    </row>
    <row r="18">
      <c r="P18" s="2" t="inlineStr">
        <is>
          <t>OTHERLEADCAST LABOR</t>
        </is>
      </c>
      <c r="R18" s="8">
        <f>SUM(R15:R17)</f>
        <v/>
      </c>
    </row>
    <row r="20">
      <c r="B20" s="2" t="inlineStr">
        <is>
          <t>SUPPORTINGCAST</t>
        </is>
      </c>
    </row>
    <row r="21">
      <c r="A21" s="5" t="inlineStr">
        <is>
          <t>1404</t>
        </is>
      </c>
      <c r="B21" s="5" t="inlineStr">
        <is>
          <t>Sean Patrick Thomas</t>
        </is>
      </c>
      <c r="C21" s="5" t="inlineStr">
        <is>
          <t>DETCOOPER</t>
        </is>
      </c>
      <c r="D21" s="5" t="inlineStr"/>
      <c r="E21" s="6" t="n">
        <v>1211.8</v>
      </c>
      <c r="F21" s="5" t="n"/>
      <c r="G21" s="5" t="n"/>
      <c r="H21" s="5" t="n"/>
      <c r="I21" s="5" t="n"/>
      <c r="J21" s="7">
        <f>IF(AND(N(F21)&gt;0,N(I21)&gt;0),I21-F21-IF(N(G21)&gt;0,0.5,0)-IF(N(H21)&gt;0,0.5,0),0)</f>
        <v/>
      </c>
      <c r="K21" s="5" t="n"/>
      <c r="L21" s="7">
        <f>MIN(J21,8.0)</f>
        <v/>
      </c>
      <c r="M21" s="7">
        <f>MAX(0,MIN(J21,12)-8.0)</f>
        <v/>
      </c>
      <c r="N21" s="7">
        <f>MAX(0,J21-12)</f>
        <v/>
      </c>
      <c r="O21" s="5" t="n"/>
      <c r="P21" s="6">
        <f>E21*(L21+M21*1.5+N21*2+O21*3+N(K21))</f>
        <v/>
      </c>
      <c r="Q21" s="6" t="n">
        <v>1211.8</v>
      </c>
      <c r="R21" s="6">
        <f>Q21-P21</f>
        <v/>
      </c>
    </row>
    <row r="22">
      <c r="A22" s="5" t="inlineStr">
        <is>
          <t>1404</t>
        </is>
      </c>
      <c r="B22" s="5" t="inlineStr">
        <is>
          <t>Tony Amendola</t>
        </is>
      </c>
      <c r="C22" s="5" t="inlineStr">
        <is>
          <t>"FATHERPEREZ"</t>
        </is>
      </c>
      <c r="D22" s="5" t="inlineStr"/>
      <c r="E22" s="6" t="n">
        <v>1972</v>
      </c>
      <c r="F22" s="5" t="n"/>
      <c r="G22" s="5" t="n"/>
      <c r="H22" s="5" t="n"/>
      <c r="I22" s="5" t="n"/>
      <c r="J22" s="7">
        <f>IF(AND(N(F22)&gt;0,N(I22)&gt;0),I22-F22-IF(N(G22)&gt;0,0.5,0)-IF(N(H22)&gt;0,0.5,0),0)</f>
        <v/>
      </c>
      <c r="K22" s="5" t="n"/>
      <c r="L22" s="7">
        <f>MIN(J22,8.0)</f>
        <v/>
      </c>
      <c r="M22" s="7">
        <f>MAX(0,MIN(J22,12)-8.0)</f>
        <v/>
      </c>
      <c r="N22" s="7">
        <f>MAX(0,J22-12)</f>
        <v/>
      </c>
      <c r="O22" s="5" t="n"/>
      <c r="P22" s="6">
        <f>E22*(L22+M22*1.5+N22*2+O22*3+N(K22))</f>
        <v/>
      </c>
      <c r="Q22" s="6" t="n">
        <v>1972</v>
      </c>
      <c r="R22" s="6">
        <f>Q22-P22</f>
        <v/>
      </c>
    </row>
    <row r="23">
      <c r="P23" s="2" t="inlineStr">
        <is>
          <t>SUPPORTINGCAST LABOR</t>
        </is>
      </c>
      <c r="R23" s="8">
        <f>SUM(R21:R22)</f>
        <v/>
      </c>
    </row>
    <row r="25">
      <c r="B25" s="2" t="inlineStr">
        <is>
          <t>DAYPLAYERS</t>
        </is>
      </c>
    </row>
    <row r="26">
      <c r="A26" s="5" t="inlineStr">
        <is>
          <t>1405</t>
        </is>
      </c>
      <c r="B26" s="5" t="inlineStr">
        <is>
          <t>Kristy Keng(Drop/Pickup)</t>
        </is>
      </c>
      <c r="C26" s="5" t="inlineStr">
        <is>
          <t>"DONNA"</t>
        </is>
      </c>
      <c r="D26" s="5" t="inlineStr"/>
      <c r="E26" s="6" t="n">
        <v>1972</v>
      </c>
      <c r="F26" s="5" t="n"/>
      <c r="G26" s="5" t="n"/>
      <c r="H26" s="5" t="n"/>
      <c r="I26" s="5" t="n"/>
      <c r="J26" s="7">
        <f>IF(AND(N(F26)&gt;0,N(I26)&gt;0),I26-F26-IF(N(G26)&gt;0,0.5,0)-IF(N(H26)&gt;0,0.5,0),0)</f>
        <v/>
      </c>
      <c r="K26" s="5" t="n"/>
      <c r="L26" s="7">
        <f>MIN(J26,8.0)</f>
        <v/>
      </c>
      <c r="M26" s="7">
        <f>MAX(0,MIN(J26,12)-8.0)</f>
        <v/>
      </c>
      <c r="N26" s="7">
        <f>MAX(0,J26-12)</f>
        <v/>
      </c>
      <c r="O26" s="5" t="n"/>
      <c r="P26" s="6">
        <f>E26*(L26+M26*1.5+N26*2+O26*3+N(K26))</f>
        <v/>
      </c>
      <c r="Q26" s="6" t="n">
        <v>1972</v>
      </c>
      <c r="R26" s="6">
        <f>Q26-P26</f>
        <v/>
      </c>
    </row>
    <row r="27">
      <c r="A27" s="5" t="inlineStr">
        <is>
          <t>1405</t>
        </is>
      </c>
      <c r="B27" s="5" t="inlineStr">
        <is>
          <t>Oliver Alexander</t>
        </is>
      </c>
      <c r="C27" s="5" t="inlineStr">
        <is>
          <t>"CARLOS"(Minor)</t>
        </is>
      </c>
      <c r="D27" s="5" t="inlineStr"/>
      <c r="E27" s="6" t="n">
        <v>1249</v>
      </c>
      <c r="F27" s="5" t="n"/>
      <c r="G27" s="5" t="n"/>
      <c r="H27" s="5" t="n"/>
      <c r="I27" s="5" t="n"/>
      <c r="J27" s="7">
        <f>IF(AND(N(F27)&gt;0,N(I27)&gt;0),I27-F27-IF(N(G27)&gt;0,0.5,0)-IF(N(H27)&gt;0,0.5,0),0)</f>
        <v/>
      </c>
      <c r="K27" s="5" t="n"/>
      <c r="L27" s="7">
        <f>MIN(J27,8.0)</f>
        <v/>
      </c>
      <c r="M27" s="7">
        <f>MAX(0,MIN(J27,12)-8.0)</f>
        <v/>
      </c>
      <c r="N27" s="7">
        <f>MAX(0,J27-12)</f>
        <v/>
      </c>
      <c r="O27" s="5" t="n"/>
      <c r="P27" s="6">
        <f>E27*(L27+M27*1.5+N27*2+O27*3+N(K27))</f>
        <v/>
      </c>
      <c r="Q27" s="6" t="n">
        <v>1249</v>
      </c>
      <c r="R27" s="6">
        <f>Q27-P27</f>
        <v/>
      </c>
    </row>
    <row r="28">
      <c r="A28" s="5" t="inlineStr">
        <is>
          <t>1405</t>
        </is>
      </c>
      <c r="B28" s="5" t="inlineStr">
        <is>
          <t>Adam Lewandowski</t>
        </is>
      </c>
      <c r="C28" s="5" t="inlineStr">
        <is>
          <t>"TOMAS"(Minor)</t>
        </is>
      </c>
      <c r="D28" s="5" t="inlineStr"/>
      <c r="E28" s="6" t="n">
        <v>1249</v>
      </c>
      <c r="F28" s="5" t="n"/>
      <c r="G28" s="5" t="n"/>
      <c r="H28" s="5" t="n"/>
      <c r="I28" s="5" t="n"/>
      <c r="J28" s="7">
        <f>IF(AND(N(F28)&gt;0,N(I28)&gt;0),I28-F28-IF(N(G28)&gt;0,0.5,0)-IF(N(H28)&gt;0,0.5,0),0)</f>
        <v/>
      </c>
      <c r="K28" s="5" t="n"/>
      <c r="L28" s="7">
        <f>MIN(J28,8.0)</f>
        <v/>
      </c>
      <c r="M28" s="7">
        <f>MAX(0,MIN(J28,12)-8.0)</f>
        <v/>
      </c>
      <c r="N28" s="7">
        <f>MAX(0,J28-12)</f>
        <v/>
      </c>
      <c r="O28" s="5" t="n"/>
      <c r="P28" s="6">
        <f>E28*(L28+M28*1.5+N28*2+O28*3+N(K28))</f>
        <v/>
      </c>
      <c r="Q28" s="6" t="n">
        <v>1249</v>
      </c>
      <c r="R28" s="6">
        <f>Q28-P28</f>
        <v/>
      </c>
    </row>
    <row r="29">
      <c r="A29" s="5" t="inlineStr">
        <is>
          <t>1405</t>
        </is>
      </c>
      <c r="B29" s="5" t="inlineStr">
        <is>
          <t>Paul Rodriquez Jr.</t>
        </is>
      </c>
      <c r="C29" s="5" t="inlineStr">
        <is>
          <t>"OFFICERCLARO"</t>
        </is>
      </c>
      <c r="D29" s="5" t="inlineStr"/>
      <c r="E29" s="6" t="n">
        <v>1972</v>
      </c>
      <c r="F29" s="5" t="n"/>
      <c r="G29" s="5" t="n"/>
      <c r="H29" s="5" t="n"/>
      <c r="I29" s="5" t="n"/>
      <c r="J29" s="7">
        <f>IF(AND(N(F29)&gt;0,N(I29)&gt;0),I29-F29-IF(N(G29)&gt;0,0.5,0)-IF(N(H29)&gt;0,0.5,0),0)</f>
        <v/>
      </c>
      <c r="K29" s="5" t="n"/>
      <c r="L29" s="7">
        <f>MIN(J29,8.0)</f>
        <v/>
      </c>
      <c r="M29" s="7">
        <f>MAX(0,MIN(J29,12)-8.0)</f>
        <v/>
      </c>
      <c r="N29" s="7">
        <f>MAX(0,J29-12)</f>
        <v/>
      </c>
      <c r="O29" s="5" t="n"/>
      <c r="P29" s="6">
        <f>E29*(L29+M29*1.5+N29*2+O29*3+N(K29))</f>
        <v/>
      </c>
      <c r="Q29" s="6" t="n">
        <v>1972</v>
      </c>
      <c r="R29" s="6">
        <f>Q29-P29</f>
        <v/>
      </c>
    </row>
    <row r="30">
      <c r="A30" s="5" t="inlineStr">
        <is>
          <t>1405</t>
        </is>
      </c>
      <c r="B30" s="5" t="inlineStr">
        <is>
          <t>Sophia Santi</t>
        </is>
      </c>
      <c r="C30" s="5" t="inlineStr">
        <is>
          <t>"FEMALECUSTOMER"</t>
        </is>
      </c>
      <c r="D30" s="5" t="inlineStr"/>
      <c r="E30" s="6" t="n">
        <v>1972</v>
      </c>
      <c r="F30" s="5" t="n"/>
      <c r="G30" s="5" t="n"/>
      <c r="H30" s="5" t="n"/>
      <c r="I30" s="5" t="n"/>
      <c r="J30" s="7">
        <f>IF(AND(N(F30)&gt;0,N(I30)&gt;0),I30-F30-IF(N(G30)&gt;0,0.5,0)-IF(N(H30)&gt;0,0.5,0),0)</f>
        <v/>
      </c>
      <c r="K30" s="5" t="n"/>
      <c r="L30" s="7">
        <f>MIN(J30,8.0)</f>
        <v/>
      </c>
      <c r="M30" s="7">
        <f>MAX(0,MIN(J30,12)-8.0)</f>
        <v/>
      </c>
      <c r="N30" s="7">
        <f>MAX(0,J30-12)</f>
        <v/>
      </c>
      <c r="O30" s="5" t="n"/>
      <c r="P30" s="6">
        <f>E30*(L30+M30*1.5+N30*2+O30*3+N(K30))</f>
        <v/>
      </c>
      <c r="Q30" s="6" t="n">
        <v>1972</v>
      </c>
      <c r="R30" s="6">
        <f>Q30-P30</f>
        <v/>
      </c>
    </row>
    <row r="31">
      <c r="A31" s="5" t="inlineStr">
        <is>
          <t>1405</t>
        </is>
      </c>
      <c r="B31" s="5" t="inlineStr">
        <is>
          <t>John Marshall Jones</t>
        </is>
      </c>
      <c r="C31" s="5" t="inlineStr">
        <is>
          <t>"MRHANKINS"</t>
        </is>
      </c>
      <c r="D31" s="5" t="inlineStr"/>
      <c r="E31" s="6" t="n">
        <v>1972</v>
      </c>
      <c r="F31" s="5" t="n"/>
      <c r="G31" s="5" t="n"/>
      <c r="H31" s="5" t="n"/>
      <c r="I31" s="5" t="n"/>
      <c r="J31" s="7">
        <f>IF(AND(N(F31)&gt;0,N(I31)&gt;0),I31-F31-IF(N(G31)&gt;0,0.5,0)-IF(N(H31)&gt;0,0.5,0),0)</f>
        <v/>
      </c>
      <c r="K31" s="5" t="n"/>
      <c r="L31" s="7">
        <f>MIN(J31,8.0)</f>
        <v/>
      </c>
      <c r="M31" s="7">
        <f>MAX(0,MIN(J31,12)-8.0)</f>
        <v/>
      </c>
      <c r="N31" s="7">
        <f>MAX(0,J31-12)</f>
        <v/>
      </c>
      <c r="O31" s="5" t="n"/>
      <c r="P31" s="6">
        <f>E31*(L31+M31*1.5+N31*2+O31*3+N(K31))</f>
        <v/>
      </c>
      <c r="Q31" s="6" t="n">
        <v>1972</v>
      </c>
      <c r="R31" s="6">
        <f>Q31-P31</f>
        <v/>
      </c>
    </row>
    <row r="32">
      <c r="A32" s="5" t="inlineStr">
        <is>
          <t>1405</t>
        </is>
      </c>
      <c r="B32" s="5" t="inlineStr">
        <is>
          <t>Madeleine Mcgraw</t>
        </is>
      </c>
      <c r="C32" s="5" t="inlineStr">
        <is>
          <t>"APRIL"(Minor)</t>
        </is>
      </c>
      <c r="D32" s="5" t="inlineStr"/>
      <c r="E32" s="6" t="n">
        <v>1249</v>
      </c>
      <c r="F32" s="5" t="n"/>
      <c r="G32" s="5" t="n"/>
      <c r="H32" s="5" t="n"/>
      <c r="I32" s="5" t="n"/>
      <c r="J32" s="7">
        <f>IF(AND(N(F32)&gt;0,N(I32)&gt;0),I32-F32-IF(N(G32)&gt;0,0.5,0)-IF(N(H32)&gt;0,0.5,0),0)</f>
        <v/>
      </c>
      <c r="K32" s="5" t="n"/>
      <c r="L32" s="7">
        <f>MIN(J32,8.0)</f>
        <v/>
      </c>
      <c r="M32" s="7">
        <f>MAX(0,MIN(J32,12)-8.0)</f>
        <v/>
      </c>
      <c r="N32" s="7">
        <f>MAX(0,J32-12)</f>
        <v/>
      </c>
      <c r="O32" s="5" t="n"/>
      <c r="P32" s="6">
        <f>E32*(L32+M32*1.5+N32*2+O32*3+N(K32))</f>
        <v/>
      </c>
      <c r="Q32" s="6" t="n">
        <v>1249</v>
      </c>
      <c r="R32" s="6">
        <f>Q32-P32</f>
        <v/>
      </c>
    </row>
    <row r="33">
      <c r="P33" s="2" t="inlineStr">
        <is>
          <t>DAYPLAYERS LABOR</t>
        </is>
      </c>
      <c r="R33" s="8">
        <f>SUM(R26:R32)</f>
        <v/>
      </c>
    </row>
    <row r="35">
      <c r="B35" s="2" t="inlineStr">
        <is>
          <t>STUNTCOORD</t>
        </is>
      </c>
    </row>
    <row r="36">
      <c r="A36" s="5" t="inlineStr">
        <is>
          <t>1406</t>
        </is>
      </c>
      <c r="B36" s="5" t="inlineStr">
        <is>
          <t>Rob King</t>
        </is>
      </c>
      <c r="C36" s="5" t="inlineStr">
        <is>
          <t>STUNTCOORDINATOR</t>
        </is>
      </c>
      <c r="D36" s="5" t="inlineStr"/>
      <c r="E36" s="6" t="n">
        <v>1173</v>
      </c>
      <c r="F36" s="5" t="n"/>
      <c r="G36" s="5" t="n"/>
      <c r="H36" s="5" t="n"/>
      <c r="I36" s="5" t="n"/>
      <c r="J36" s="7">
        <f>IF(AND(N(F36)&gt;0,N(I36)&gt;0),I36-F36-IF(N(G36)&gt;0,0.5,0)-IF(N(H36)&gt;0,0.5,0),0)</f>
        <v/>
      </c>
      <c r="K36" s="5" t="n"/>
      <c r="L36" s="7">
        <f>MIN(J36,8.0)</f>
        <v/>
      </c>
      <c r="M36" s="7">
        <f>MAX(0,MIN(J36,12)-8.0)</f>
        <v/>
      </c>
      <c r="N36" s="7">
        <f>MAX(0,J36-12)</f>
        <v/>
      </c>
      <c r="O36" s="5" t="n"/>
      <c r="P36" s="6">
        <f>E36*(L36+M36*1.5+N36*2+O36*3+N(K36))</f>
        <v/>
      </c>
      <c r="Q36" s="6" t="n">
        <v>1173</v>
      </c>
      <c r="R36" s="6">
        <f>Q36-P36</f>
        <v/>
      </c>
    </row>
    <row r="37">
      <c r="P37" s="2" t="inlineStr">
        <is>
          <t>STUNTCOORD LABOR</t>
        </is>
      </c>
      <c r="R37" s="8">
        <f>SUM(R36:R36)</f>
        <v/>
      </c>
    </row>
    <row r="39">
      <c r="B39" s="2" t="inlineStr">
        <is>
          <t>TEACHER/WELFAREWORKER</t>
        </is>
      </c>
    </row>
    <row r="40">
      <c r="A40" s="5" t="inlineStr">
        <is>
          <t>1412</t>
        </is>
      </c>
      <c r="B40" s="5" t="inlineStr"/>
      <c r="C40" s="5" t="inlineStr">
        <is>
          <t>WELFAREWORKER</t>
        </is>
      </c>
      <c r="D40" s="5" t="inlineStr">
        <is>
          <t>Local884</t>
        </is>
      </c>
      <c r="E40" s="6" t="n">
        <v>25.5</v>
      </c>
      <c r="F40" s="5" t="n"/>
      <c r="G40" s="5" t="n"/>
      <c r="H40" s="5" t="n"/>
      <c r="I40" s="5" t="n"/>
      <c r="J40" s="7">
        <f>IF(AND(N(F40)&gt;0,N(I40)&gt;0),I40-F40-IF(N(G40)&gt;0,0.5,0)-IF(N(H40)&gt;0,0.5,0),0)</f>
        <v/>
      </c>
      <c r="K40" s="5" t="n"/>
      <c r="L40" s="7">
        <f>MIN(J40,8.0)</f>
        <v/>
      </c>
      <c r="M40" s="7">
        <f>MAX(0,MIN(J40,12)-8.0)</f>
        <v/>
      </c>
      <c r="N40" s="7">
        <f>MAX(0,J40-12)</f>
        <v/>
      </c>
      <c r="O40" s="5" t="n"/>
      <c r="P40" s="6">
        <f>E40*(L40+M40*1.5+N40*2+O40*3+N(K40))</f>
        <v/>
      </c>
      <c r="Q40" s="6" t="n">
        <v>280.5</v>
      </c>
      <c r="R40" s="6">
        <f>Q40-P40</f>
        <v/>
      </c>
    </row>
    <row r="41">
      <c r="A41" s="5" t="inlineStr">
        <is>
          <t>1412</t>
        </is>
      </c>
      <c r="B41" s="5" t="inlineStr"/>
      <c r="C41" s="5" t="inlineStr">
        <is>
          <t>ADDLWELFAREWORKER</t>
        </is>
      </c>
      <c r="D41" s="5" t="inlineStr">
        <is>
          <t>Local884</t>
        </is>
      </c>
      <c r="E41" s="6" t="n">
        <v>25.5</v>
      </c>
      <c r="F41" s="5" t="n"/>
      <c r="G41" s="5" t="n"/>
      <c r="H41" s="5" t="n"/>
      <c r="I41" s="5" t="n"/>
      <c r="J41" s="7">
        <f>IF(AND(N(F41)&gt;0,N(I41)&gt;0),I41-F41-IF(N(G41)&gt;0,0.5,0)-IF(N(H41)&gt;0,0.5,0),0)</f>
        <v/>
      </c>
      <c r="K41" s="5" t="n"/>
      <c r="L41" s="7">
        <f>MIN(J41,8.0)</f>
        <v/>
      </c>
      <c r="M41" s="7">
        <f>MAX(0,MIN(J41,12)-8.0)</f>
        <v/>
      </c>
      <c r="N41" s="7">
        <f>MAX(0,J41-12)</f>
        <v/>
      </c>
      <c r="O41" s="5" t="n"/>
      <c r="P41" s="6">
        <f>E41*(L41+M41*1.5+N41*2+O41*3+N(K41))</f>
        <v/>
      </c>
      <c r="Q41" s="6" t="n">
        <v>280.5</v>
      </c>
      <c r="R41" s="6">
        <f>Q41-P41</f>
        <v/>
      </c>
    </row>
    <row r="42">
      <c r="P42" s="2" t="inlineStr">
        <is>
          <t>TEACHER/WELFAREWORKER LABOR</t>
        </is>
      </c>
      <c r="R42" s="8">
        <f>SUM(R40:R41)</f>
        <v/>
      </c>
    </row>
    <row r="44">
      <c r="B44" s="2" t="inlineStr">
        <is>
          <t>CASTINGDIRECTORS</t>
        </is>
      </c>
    </row>
    <row r="45">
      <c r="A45" s="5" t="inlineStr">
        <is>
          <t>1413</t>
        </is>
      </c>
      <c r="B45" s="5" t="inlineStr">
        <is>
          <t>Rich Delia</t>
        </is>
      </c>
      <c r="C45" s="5" t="inlineStr">
        <is>
          <t>CASTINGDIRECTOR</t>
        </is>
      </c>
      <c r="D45" s="5" t="inlineStr"/>
      <c r="E45" s="6" t="n">
        <v>600</v>
      </c>
      <c r="F45" s="5" t="n"/>
      <c r="G45" s="5" t="n"/>
      <c r="H45" s="5" t="n"/>
      <c r="I45" s="5" t="n"/>
      <c r="J45" s="7">
        <f>IF(AND(N(F45)&gt;0,N(I45)&gt;0),I45-F45-IF(N(G45)&gt;0,0.5,0)-IF(N(H45)&gt;0,0.5,0),0)</f>
        <v/>
      </c>
      <c r="K45" s="5" t="n"/>
      <c r="L45" s="7">
        <f>MIN(J45,8.0)</f>
        <v/>
      </c>
      <c r="M45" s="7">
        <f>MAX(0,MIN(J45,12)-8.0)</f>
        <v/>
      </c>
      <c r="N45" s="7">
        <f>MAX(0,J45-12)</f>
        <v/>
      </c>
      <c r="O45" s="5" t="n"/>
      <c r="P45" s="6">
        <f>E45*(L45+M45*1.5+N45*2+O45*3+N(K45))</f>
        <v/>
      </c>
      <c r="Q45" s="5" t="n"/>
      <c r="R45" s="6">
        <f>Q45-P45</f>
        <v/>
      </c>
    </row>
    <row r="46">
      <c r="P46" s="2" t="inlineStr">
        <is>
          <t>CASTINGDIRECTORS LABOR</t>
        </is>
      </c>
      <c r="R46" s="8">
        <f>SUM(R45:R45)</f>
        <v/>
      </c>
    </row>
    <row r="48">
      <c r="B48" s="2" t="inlineStr">
        <is>
          <t>CASTINGASSOCIATES/ASSISTANTS</t>
        </is>
      </c>
    </row>
    <row r="49">
      <c r="A49" s="5" t="inlineStr">
        <is>
          <t>1414</t>
        </is>
      </c>
      <c r="B49" s="5" t="inlineStr">
        <is>
          <t>Adam Richards</t>
        </is>
      </c>
      <c r="C49" s="5" t="inlineStr">
        <is>
          <t>CASTINGASSOCIATE</t>
        </is>
      </c>
      <c r="D49" s="5" t="inlineStr"/>
      <c r="E49" s="6" t="n">
        <v>200</v>
      </c>
      <c r="F49" s="5" t="n"/>
      <c r="G49" s="5" t="n"/>
      <c r="H49" s="5" t="n"/>
      <c r="I49" s="5" t="n"/>
      <c r="J49" s="7">
        <f>IF(AND(N(F49)&gt;0,N(I49)&gt;0),I49-F49-IF(N(G49)&gt;0,0.5,0)-IF(N(H49)&gt;0,0.5,0),0)</f>
        <v/>
      </c>
      <c r="K49" s="5" t="n"/>
      <c r="L49" s="7">
        <f>MIN(J49,8.0)</f>
        <v/>
      </c>
      <c r="M49" s="7">
        <f>MAX(0,MIN(J49,12)-8.0)</f>
        <v/>
      </c>
      <c r="N49" s="7">
        <f>MAX(0,J49-12)</f>
        <v/>
      </c>
      <c r="O49" s="5" t="n"/>
      <c r="P49" s="6">
        <f>E49*(L49+M49*1.5+N49*2+O49*3+N(K49))</f>
        <v/>
      </c>
      <c r="Q49" s="5" t="n"/>
      <c r="R49" s="6">
        <f>Q49-P49</f>
        <v/>
      </c>
    </row>
    <row r="50">
      <c r="P50" s="2" t="inlineStr">
        <is>
          <t>CASTINGASSOCIATES/ASSISTANTS LABOR</t>
        </is>
      </c>
      <c r="R50" s="8">
        <f>SUM(R49:R49)</f>
        <v/>
      </c>
    </row>
    <row r="52">
      <c r="B52" s="2" t="inlineStr">
        <is>
          <t>CASTDRIVERS/VEHICLES</t>
        </is>
      </c>
    </row>
    <row r="53">
      <c r="A53" s="5" t="inlineStr">
        <is>
          <t>1455</t>
        </is>
      </c>
      <c r="B53" s="5" t="inlineStr"/>
      <c r="C53" s="5" t="inlineStr">
        <is>
          <t>CAST 3-RMDRIVER</t>
        </is>
      </c>
      <c r="D53" s="5" t="inlineStr">
        <is>
          <t>Local399</t>
        </is>
      </c>
      <c r="E53" s="6" t="n">
        <v>32.36</v>
      </c>
      <c r="F53" s="5" t="n"/>
      <c r="G53" s="5" t="n"/>
      <c r="H53" s="5" t="n"/>
      <c r="I53" s="5" t="n"/>
      <c r="J53" s="7">
        <f>IF(AND(N(F53)&gt;0,N(I53)&gt;0),I53-F53-IF(N(G53)&gt;0,0.5,0)-IF(N(H53)&gt;0,0.5,0),0)</f>
        <v/>
      </c>
      <c r="K53" s="5" t="n"/>
      <c r="L53" s="7">
        <f>MIN(J53,8.0)</f>
        <v/>
      </c>
      <c r="M53" s="7">
        <f>MAX(0,MIN(J53,12)-8.0)</f>
        <v/>
      </c>
      <c r="N53" s="7">
        <f>MAX(0,J53-12)</f>
        <v/>
      </c>
      <c r="O53" s="5" t="n"/>
      <c r="P53" s="6">
        <f>E53*(L53+M53*1.5+N53*2+O53*3+N(K53))</f>
        <v/>
      </c>
      <c r="Q53" s="6" t="n">
        <v>501.58</v>
      </c>
      <c r="R53" s="6">
        <f>Q53-P53</f>
        <v/>
      </c>
    </row>
    <row r="54">
      <c r="A54" s="5" t="inlineStr">
        <is>
          <t>1455</t>
        </is>
      </c>
      <c r="B54" s="5" t="inlineStr"/>
      <c r="C54" s="5" t="inlineStr">
        <is>
          <t>CASTMINIVANDRIVER</t>
        </is>
      </c>
      <c r="D54" s="5" t="inlineStr">
        <is>
          <t>Local399</t>
        </is>
      </c>
      <c r="E54" s="6" t="n">
        <v>32.36</v>
      </c>
      <c r="F54" s="5" t="n"/>
      <c r="G54" s="5" t="n"/>
      <c r="H54" s="5" t="n"/>
      <c r="I54" s="5" t="n"/>
      <c r="J54" s="7">
        <f>IF(AND(N(F54)&gt;0,N(I54)&gt;0),I54-F54-IF(N(G54)&gt;0,0.5,0)-IF(N(H54)&gt;0,0.5,0),0)</f>
        <v/>
      </c>
      <c r="K54" s="5" t="n"/>
      <c r="L54" s="7">
        <f>MIN(J54,8.0)</f>
        <v/>
      </c>
      <c r="M54" s="7">
        <f>MAX(0,MIN(J54,12)-8.0)</f>
        <v/>
      </c>
      <c r="N54" s="7">
        <f>MAX(0,J54-12)</f>
        <v/>
      </c>
      <c r="O54" s="5" t="n"/>
      <c r="P54" s="6">
        <f>E54*(L54+M54*1.5+N54*2+O54*3+N(K54))</f>
        <v/>
      </c>
      <c r="Q54" s="6" t="n">
        <v>501.58</v>
      </c>
      <c r="R54" s="6">
        <f>Q54-P54</f>
        <v/>
      </c>
    </row>
    <row r="55">
      <c r="P55" s="2" t="inlineStr">
        <is>
          <t>CASTDRIVERS/VEHICLES LABOR</t>
        </is>
      </c>
      <c r="R55" s="8">
        <f>SUM(R53:R54)</f>
        <v/>
      </c>
    </row>
    <row r="57">
      <c r="B57" s="2" t="inlineStr">
        <is>
          <t>PRODUCTIONMANAGER</t>
        </is>
      </c>
    </row>
    <row r="58">
      <c r="A58" s="5" t="inlineStr">
        <is>
          <t>2001</t>
        </is>
      </c>
      <c r="B58" s="5" t="inlineStr">
        <is>
          <t>Carrie Morrow</t>
        </is>
      </c>
      <c r="C58" s="5" t="inlineStr">
        <is>
          <t>UPM</t>
        </is>
      </c>
      <c r="D58" s="5" t="inlineStr">
        <is>
          <t>DGA</t>
        </is>
      </c>
      <c r="E58" s="6" t="n">
        <v>1063.6</v>
      </c>
      <c r="F58" s="5" t="n"/>
      <c r="G58" s="5" t="n"/>
      <c r="H58" s="5" t="n"/>
      <c r="I58" s="5" t="n"/>
      <c r="J58" s="7">
        <f>IF(AND(N(F58)&gt;0,N(I58)&gt;0),I58-F58-IF(N(G58)&gt;0,0.5,0)-IF(N(H58)&gt;0,0.5,0),0)</f>
        <v/>
      </c>
      <c r="K58" s="5" t="n"/>
      <c r="L58" s="7">
        <f>MIN(J58,8.0)</f>
        <v/>
      </c>
      <c r="M58" s="7">
        <f>MAX(0,MIN(J58,12)-8.0)</f>
        <v/>
      </c>
      <c r="N58" s="7">
        <f>MAX(0,J58-12)</f>
        <v/>
      </c>
      <c r="O58" s="5" t="n"/>
      <c r="P58" s="6">
        <f>E58*(L58+M58*1.5+N58*2+O58*3+N(K58))</f>
        <v/>
      </c>
      <c r="Q58" s="6" t="n">
        <v>1063.6</v>
      </c>
      <c r="R58" s="6">
        <f>Q58-P58</f>
        <v/>
      </c>
    </row>
    <row r="59">
      <c r="P59" s="2" t="inlineStr">
        <is>
          <t>PRODUCTIONMANAGER LABOR</t>
        </is>
      </c>
      <c r="R59" s="8">
        <f>SUM(R58:R58)</f>
        <v/>
      </c>
    </row>
    <row r="61">
      <c r="B61" s="2" t="inlineStr">
        <is>
          <t>1STASSTDIRECTOR</t>
        </is>
      </c>
    </row>
    <row r="62">
      <c r="A62" s="5" t="inlineStr">
        <is>
          <t>2002</t>
        </is>
      </c>
      <c r="B62" s="5" t="inlineStr">
        <is>
          <t>James Moran</t>
        </is>
      </c>
      <c r="C62" s="5" t="inlineStr">
        <is>
          <t>1STASSTDIRECTOR</t>
        </is>
      </c>
      <c r="D62" s="5" t="inlineStr">
        <is>
          <t>DGA</t>
        </is>
      </c>
      <c r="E62" s="6" t="n">
        <v>985.6</v>
      </c>
      <c r="F62" s="5" t="n"/>
      <c r="G62" s="5" t="n"/>
      <c r="H62" s="5" t="n"/>
      <c r="I62" s="5" t="n"/>
      <c r="J62" s="7">
        <f>IF(AND(N(F62)&gt;0,N(I62)&gt;0),I62-F62-IF(N(G62)&gt;0,0.5,0)-IF(N(H62)&gt;0,0.5,0),0)</f>
        <v/>
      </c>
      <c r="K62" s="5" t="n"/>
      <c r="L62" s="7">
        <f>MIN(J62,8.0)</f>
        <v/>
      </c>
      <c r="M62" s="7">
        <f>MAX(0,MIN(J62,12)-8.0)</f>
        <v/>
      </c>
      <c r="N62" s="7">
        <f>MAX(0,J62-12)</f>
        <v/>
      </c>
      <c r="O62" s="5" t="n"/>
      <c r="P62" s="6">
        <f>E62*(L62+M62*1.5+N62*2+O62*3+N(K62))</f>
        <v/>
      </c>
      <c r="Q62" s="6" t="n">
        <v>985.6</v>
      </c>
      <c r="R62" s="6">
        <f>Q62-P62</f>
        <v/>
      </c>
    </row>
    <row r="63">
      <c r="P63" s="2" t="inlineStr">
        <is>
          <t>1STASSTDIRECTOR LABOR</t>
        </is>
      </c>
      <c r="R63" s="8">
        <f>SUM(R62:R62)</f>
        <v/>
      </c>
    </row>
    <row r="65">
      <c r="B65" s="2" t="inlineStr">
        <is>
          <t>2NDASSTDIRECTORS</t>
        </is>
      </c>
    </row>
    <row r="66">
      <c r="A66" s="5" t="inlineStr">
        <is>
          <t>2003</t>
        </is>
      </c>
      <c r="B66" s="5" t="inlineStr">
        <is>
          <t>Mark Newland</t>
        </is>
      </c>
      <c r="C66" s="5" t="inlineStr">
        <is>
          <t>KEY 2NDA. D.</t>
        </is>
      </c>
      <c r="D66" s="5" t="inlineStr">
        <is>
          <t>DGA</t>
        </is>
      </c>
      <c r="E66" s="6" t="n">
        <v>674.6</v>
      </c>
      <c r="F66" s="5" t="n"/>
      <c r="G66" s="5" t="n"/>
      <c r="H66" s="5" t="n"/>
      <c r="I66" s="5" t="n"/>
      <c r="J66" s="7">
        <f>IF(AND(N(F66)&gt;0,N(I66)&gt;0),I66-F66-IF(N(G66)&gt;0,0.5,0)-IF(N(H66)&gt;0,0.5,0),0)</f>
        <v/>
      </c>
      <c r="K66" s="5" t="n"/>
      <c r="L66" s="7">
        <f>MIN(J66,8.0)</f>
        <v/>
      </c>
      <c r="M66" s="7">
        <f>MAX(0,MIN(J66,12)-8.0)</f>
        <v/>
      </c>
      <c r="N66" s="7">
        <f>MAX(0,J66-12)</f>
        <v/>
      </c>
      <c r="O66" s="5" t="n"/>
      <c r="P66" s="6">
        <f>E66*(L66+M66*1.5+N66*2+O66*3+N(K66))</f>
        <v/>
      </c>
      <c r="Q66" s="6" t="n">
        <v>674.6</v>
      </c>
      <c r="R66" s="6">
        <f>Q66-P66</f>
        <v/>
      </c>
    </row>
    <row r="67">
      <c r="A67" s="5" t="inlineStr">
        <is>
          <t>2003</t>
        </is>
      </c>
      <c r="B67" s="5" t="inlineStr"/>
      <c r="C67" s="5" t="inlineStr">
        <is>
          <t>2ND 2NDA. D.</t>
        </is>
      </c>
      <c r="D67" s="5" t="inlineStr">
        <is>
          <t>DGA</t>
        </is>
      </c>
      <c r="E67" s="6" t="n">
        <v>526</v>
      </c>
      <c r="F67" s="5" t="n"/>
      <c r="G67" s="5" t="n"/>
      <c r="H67" s="5" t="n"/>
      <c r="I67" s="5" t="n"/>
      <c r="J67" s="7">
        <f>IF(AND(N(F67)&gt;0,N(I67)&gt;0),I67-F67-IF(N(G67)&gt;0,0.5,0)-IF(N(H67)&gt;0,0.5,0),0)</f>
        <v/>
      </c>
      <c r="K67" s="5" t="n"/>
      <c r="L67" s="7">
        <f>MIN(J67,8.0)</f>
        <v/>
      </c>
      <c r="M67" s="7">
        <f>MAX(0,MIN(J67,12)-8.0)</f>
        <v/>
      </c>
      <c r="N67" s="7">
        <f>MAX(0,J67-12)</f>
        <v/>
      </c>
      <c r="O67" s="5" t="n"/>
      <c r="P67" s="6">
        <f>E67*(L67+M67*1.5+N67*2+O67*3+N(K67))</f>
        <v/>
      </c>
      <c r="Q67" s="6" t="n">
        <v>526</v>
      </c>
      <c r="R67" s="6">
        <f>Q67-P67</f>
        <v/>
      </c>
    </row>
    <row r="68">
      <c r="P68" s="2" t="inlineStr">
        <is>
          <t>2NDASSTDIRECTORS LABOR</t>
        </is>
      </c>
      <c r="R68" s="8">
        <f>SUM(R66:R67)</f>
        <v/>
      </c>
    </row>
    <row r="70">
      <c r="B70" s="2" t="inlineStr">
        <is>
          <t>SCRIPTSUPERVISOR</t>
        </is>
      </c>
    </row>
    <row r="71">
      <c r="A71" s="5" t="inlineStr">
        <is>
          <t>2005</t>
        </is>
      </c>
      <c r="B71" s="5" t="inlineStr">
        <is>
          <t>Renata Amador</t>
        </is>
      </c>
      <c r="C71" s="5" t="inlineStr">
        <is>
          <t>SCRIPTSUPERVISOR</t>
        </is>
      </c>
      <c r="D71" s="5" t="inlineStr">
        <is>
          <t>Local871</t>
        </is>
      </c>
      <c r="E71" s="6" t="n">
        <v>25.5</v>
      </c>
      <c r="F71" s="5" t="n"/>
      <c r="G71" s="5" t="n"/>
      <c r="H71" s="5" t="n"/>
      <c r="I71" s="5" t="n"/>
      <c r="J71" s="7">
        <f>IF(AND(N(F71)&gt;0,N(I71)&gt;0),I71-F71-IF(N(G71)&gt;0,0.5,0)-IF(N(H71)&gt;0,0.5,0),0)</f>
        <v/>
      </c>
      <c r="K71" s="5" t="n"/>
      <c r="L71" s="7">
        <f>MIN(J71,10.0)</f>
        <v/>
      </c>
      <c r="M71" s="7">
        <f>MAX(0,MIN(J71,12)-10.0)</f>
        <v/>
      </c>
      <c r="N71" s="7">
        <f>MAX(0,J71-12)</f>
        <v/>
      </c>
      <c r="O71" s="5" t="n"/>
      <c r="P71" s="6">
        <f>E71*(L71+M71*1.5+N71*2+O71*3+N(K71))</f>
        <v/>
      </c>
      <c r="Q71" s="6" t="n">
        <v>439.87</v>
      </c>
      <c r="R71" s="6">
        <f>Q71-P71</f>
        <v/>
      </c>
    </row>
    <row r="72">
      <c r="P72" s="2" t="inlineStr">
        <is>
          <t>SCRIPTSUPERVISOR LABOR</t>
        </is>
      </c>
      <c r="R72" s="8">
        <f>SUM(R71:R71)</f>
        <v/>
      </c>
    </row>
    <row r="74">
      <c r="B74" s="2" t="inlineStr">
        <is>
          <t>LOCATIONMANAGERS</t>
        </is>
      </c>
    </row>
    <row r="75">
      <c r="A75" s="5" t="inlineStr">
        <is>
          <t>2007</t>
        </is>
      </c>
      <c r="B75" s="5" t="inlineStr">
        <is>
          <t>Stacey Brashear-Rodriquez</t>
        </is>
      </c>
      <c r="C75" s="5" t="inlineStr">
        <is>
          <t>LOCATIONMANAGER</t>
        </is>
      </c>
      <c r="D75" s="5" t="inlineStr">
        <is>
          <t>Local399</t>
        </is>
      </c>
      <c r="E75" s="6" t="n">
        <v>557.6</v>
      </c>
      <c r="F75" s="5" t="n"/>
      <c r="G75" s="5" t="n"/>
      <c r="H75" s="5" t="n"/>
      <c r="I75" s="5" t="n"/>
      <c r="J75" s="7">
        <f>IF(AND(N(F75)&gt;0,N(I75)&gt;0),I75-F75-IF(N(G75)&gt;0,0.5,0)-IF(N(H75)&gt;0,0.5,0),0)</f>
        <v/>
      </c>
      <c r="K75" s="5" t="n"/>
      <c r="L75" s="7">
        <f>MIN(J75,8.0)</f>
        <v/>
      </c>
      <c r="M75" s="7">
        <f>MAX(0,MIN(J75,12)-8.0)</f>
        <v/>
      </c>
      <c r="N75" s="7">
        <f>MAX(0,J75-12)</f>
        <v/>
      </c>
      <c r="O75" s="5" t="n"/>
      <c r="P75" s="6">
        <f>E75*(L75+M75*1.5+N75*2+O75*3+N(K75))</f>
        <v/>
      </c>
      <c r="Q75" s="6" t="n">
        <v>557.6</v>
      </c>
      <c r="R75" s="6">
        <f>Q75-P75</f>
        <v/>
      </c>
    </row>
    <row r="76">
      <c r="P76" s="2" t="inlineStr">
        <is>
          <t>LOCATIONMANAGERS LABOR</t>
        </is>
      </c>
      <c r="R76" s="8">
        <f>SUM(R75:R75)</f>
        <v/>
      </c>
    </row>
    <row r="78">
      <c r="B78" s="2" t="inlineStr">
        <is>
          <t>ASSISTANTLOCATIONMANAGERS</t>
        </is>
      </c>
    </row>
    <row r="79">
      <c r="A79" s="5" t="inlineStr">
        <is>
          <t>2008</t>
        </is>
      </c>
      <c r="B79" s="5" t="inlineStr">
        <is>
          <t>Rich Heichel</t>
        </is>
      </c>
      <c r="C79" s="5" t="inlineStr">
        <is>
          <t>KEYASSTLOCATIONMGR#1</t>
        </is>
      </c>
      <c r="D79" s="5" t="inlineStr">
        <is>
          <t>Local399</t>
        </is>
      </c>
      <c r="E79" s="6" t="n">
        <v>334.2</v>
      </c>
      <c r="F79" s="5" t="n"/>
      <c r="G79" s="5" t="n"/>
      <c r="H79" s="5" t="n"/>
      <c r="I79" s="5" t="n"/>
      <c r="J79" s="7">
        <f>IF(AND(N(F79)&gt;0,N(I79)&gt;0),I79-F79-IF(N(G79)&gt;0,0.5,0)-IF(N(H79)&gt;0,0.5,0),0)</f>
        <v/>
      </c>
      <c r="K79" s="5" t="n"/>
      <c r="L79" s="7">
        <f>MIN(J79,8.0)</f>
        <v/>
      </c>
      <c r="M79" s="7">
        <f>MAX(0,MIN(J79,12)-8.0)</f>
        <v/>
      </c>
      <c r="N79" s="7">
        <f>MAX(0,J79-12)</f>
        <v/>
      </c>
      <c r="O79" s="5" t="n"/>
      <c r="P79" s="6">
        <f>E79*(L79+M79*1.5+N79*2+O79*3+N(K79))</f>
        <v/>
      </c>
      <c r="Q79" s="6" t="n">
        <v>334.2</v>
      </c>
      <c r="R79" s="6">
        <f>Q79-P79</f>
        <v/>
      </c>
    </row>
    <row r="80">
      <c r="A80" s="5" t="inlineStr">
        <is>
          <t>2008</t>
        </is>
      </c>
      <c r="B80" s="5" t="inlineStr">
        <is>
          <t>Jason Mc Cauley</t>
        </is>
      </c>
      <c r="C80" s="5" t="inlineStr">
        <is>
          <t>LOCATIONASST</t>
        </is>
      </c>
      <c r="D80" s="5" t="inlineStr">
        <is>
          <t>Local399</t>
        </is>
      </c>
      <c r="E80" s="6" t="n">
        <v>229</v>
      </c>
      <c r="F80" s="5" t="n"/>
      <c r="G80" s="5" t="n"/>
      <c r="H80" s="5" t="n"/>
      <c r="I80" s="5" t="n"/>
      <c r="J80" s="7">
        <f>IF(AND(N(F80)&gt;0,N(I80)&gt;0),I80-F80-IF(N(G80)&gt;0,0.5,0)-IF(N(H80)&gt;0,0.5,0),0)</f>
        <v/>
      </c>
      <c r="K80" s="5" t="n"/>
      <c r="L80" s="7">
        <f>MIN(J80,8.0)</f>
        <v/>
      </c>
      <c r="M80" s="7">
        <f>MAX(0,MIN(J80,12)-8.0)</f>
        <v/>
      </c>
      <c r="N80" s="7">
        <f>MAX(0,J80-12)</f>
        <v/>
      </c>
      <c r="O80" s="5" t="n"/>
      <c r="P80" s="6">
        <f>E80*(L80+M80*1.5+N80*2+O80*3+N(K80))</f>
        <v/>
      </c>
      <c r="Q80" s="6" t="n">
        <v>229</v>
      </c>
      <c r="R80" s="6">
        <f>Q80-P80</f>
        <v/>
      </c>
    </row>
    <row r="81">
      <c r="P81" s="2" t="inlineStr">
        <is>
          <t>ASSISTANTLOCATIONMANAGERS LABOR</t>
        </is>
      </c>
      <c r="R81" s="8">
        <f>SUM(R79:R80)</f>
        <v/>
      </c>
    </row>
    <row r="83">
      <c r="B83" s="2" t="inlineStr">
        <is>
          <t>PRODUCTIONCOORDINATOR</t>
        </is>
      </c>
    </row>
    <row r="84">
      <c r="A84" s="5" t="inlineStr">
        <is>
          <t>2009</t>
        </is>
      </c>
      <c r="B84" s="5" t="inlineStr">
        <is>
          <t>Ali Griffith</t>
        </is>
      </c>
      <c r="C84" s="5" t="inlineStr">
        <is>
          <t>PRODUCTIONOFCCOORD</t>
        </is>
      </c>
      <c r="D84" s="5" t="inlineStr"/>
      <c r="E84" s="6" t="n">
        <v>360</v>
      </c>
      <c r="F84" s="5" t="n"/>
      <c r="G84" s="5" t="n"/>
      <c r="H84" s="5" t="n"/>
      <c r="I84" s="5" t="n"/>
      <c r="J84" s="7">
        <f>IF(AND(N(F84)&gt;0,N(I84)&gt;0),I84-F84-IF(N(G84)&gt;0,0.5,0)-IF(N(H84)&gt;0,0.5,0),0)</f>
        <v/>
      </c>
      <c r="K84" s="5" t="n"/>
      <c r="L84" s="7">
        <f>MIN(J84,8.0)</f>
        <v/>
      </c>
      <c r="M84" s="7">
        <f>MAX(0,MIN(J84,12)-8.0)</f>
        <v/>
      </c>
      <c r="N84" s="7">
        <f>MAX(0,J84-12)</f>
        <v/>
      </c>
      <c r="O84" s="5" t="n"/>
      <c r="P84" s="6">
        <f>E84*(L84+M84*1.5+N84*2+O84*3+N(K84))</f>
        <v/>
      </c>
      <c r="Q84" s="6" t="n">
        <v>360</v>
      </c>
      <c r="R84" s="6">
        <f>Q84-P84</f>
        <v/>
      </c>
    </row>
    <row r="85">
      <c r="P85" s="2" t="inlineStr">
        <is>
          <t>PRODUCTIONCOORDINATOR LABOR</t>
        </is>
      </c>
      <c r="R85" s="8">
        <f>SUM(R84:R84)</f>
        <v/>
      </c>
    </row>
    <row r="87">
      <c r="B87" s="2" t="inlineStr">
        <is>
          <t>ASSTPRODUCTIONCOORDINATOR</t>
        </is>
      </c>
    </row>
    <row r="88">
      <c r="A88" s="5" t="inlineStr">
        <is>
          <t>2010</t>
        </is>
      </c>
      <c r="B88" s="5" t="inlineStr">
        <is>
          <t>Holly Dellocono</t>
        </is>
      </c>
      <c r="C88" s="5" t="inlineStr">
        <is>
          <t>APOC</t>
        </is>
      </c>
      <c r="D88" s="5" t="inlineStr">
        <is>
          <t>Local871</t>
        </is>
      </c>
      <c r="E88" s="6" t="n">
        <v>20.57</v>
      </c>
      <c r="F88" s="5" t="n"/>
      <c r="G88" s="5" t="n"/>
      <c r="H88" s="5" t="n"/>
      <c r="I88" s="5" t="n"/>
      <c r="J88" s="7">
        <f>IF(AND(N(F88)&gt;0,N(I88)&gt;0),I88-F88-IF(N(G88)&gt;0,0.5,0)-IF(N(H88)&gt;0,0.5,0),0)</f>
        <v/>
      </c>
      <c r="K88" s="5" t="n"/>
      <c r="L88" s="7">
        <f>MIN(J88,10.0)</f>
        <v/>
      </c>
      <c r="M88" s="7">
        <f>MAX(0,MIN(J88,12)-10.0)</f>
        <v/>
      </c>
      <c r="N88" s="7">
        <f>MAX(0,J88-12)</f>
        <v/>
      </c>
      <c r="O88" s="5" t="n"/>
      <c r="P88" s="6">
        <f>E88*(L88+M88*1.5+N88*2+O88*3+N(K88))</f>
        <v/>
      </c>
      <c r="Q88" s="6" t="n">
        <v>287.98</v>
      </c>
      <c r="R88" s="6">
        <f>Q88-P88</f>
        <v/>
      </c>
    </row>
    <row r="89">
      <c r="P89" s="2" t="inlineStr">
        <is>
          <t>ASSTPRODUCTIONCOORDINATOR LABOR</t>
        </is>
      </c>
      <c r="R89" s="8">
        <f>SUM(R88:R88)</f>
        <v/>
      </c>
    </row>
    <row r="91">
      <c r="B91" s="2" t="inlineStr">
        <is>
          <t>OFFICESTAFFASSISTANTS</t>
        </is>
      </c>
    </row>
    <row r="92">
      <c r="A92" s="5" t="inlineStr">
        <is>
          <t>2011</t>
        </is>
      </c>
      <c r="B92" s="5" t="inlineStr">
        <is>
          <t>John Humber</t>
        </is>
      </c>
      <c r="C92" s="5" t="inlineStr">
        <is>
          <t>OFFICEPA#1</t>
        </is>
      </c>
      <c r="D92" s="5" t="inlineStr"/>
      <c r="E92" s="6" t="n">
        <v>22.5</v>
      </c>
      <c r="F92" s="5" t="n"/>
      <c r="G92" s="5" t="n"/>
      <c r="H92" s="5" t="n"/>
      <c r="I92" s="5" t="n"/>
      <c r="J92" s="7">
        <f>IF(AND(N(F92)&gt;0,N(I92)&gt;0),I92-F92-IF(N(G92)&gt;0,0.5,0)-IF(N(H92)&gt;0,0.5,0),0)</f>
        <v/>
      </c>
      <c r="K92" s="5" t="n"/>
      <c r="L92" s="7">
        <f>MIN(J92,8.0)</f>
        <v/>
      </c>
      <c r="M92" s="7">
        <f>MAX(0,MIN(J92,12)-8.0)</f>
        <v/>
      </c>
      <c r="N92" s="7">
        <f>MAX(0,J92-12)</f>
        <v/>
      </c>
      <c r="O92" s="5" t="n"/>
      <c r="P92" s="6">
        <f>E92*(L92+M92*1.5+N92*2+O92*3+N(K92))</f>
        <v/>
      </c>
      <c r="Q92" s="6" t="n">
        <v>168</v>
      </c>
      <c r="R92" s="6">
        <f>Q92-P92</f>
        <v/>
      </c>
    </row>
    <row r="93">
      <c r="A93" s="5" t="inlineStr">
        <is>
          <t>2011</t>
        </is>
      </c>
      <c r="B93" s="5" t="inlineStr">
        <is>
          <t>Sarah Semenas</t>
        </is>
      </c>
      <c r="C93" s="5" t="inlineStr">
        <is>
          <t>OFFICEPA#2</t>
        </is>
      </c>
      <c r="D93" s="5" t="inlineStr"/>
      <c r="E93" s="6" t="n">
        <v>22.5</v>
      </c>
      <c r="F93" s="5" t="n"/>
      <c r="G93" s="5" t="n"/>
      <c r="H93" s="5" t="n"/>
      <c r="I93" s="5" t="n"/>
      <c r="J93" s="7">
        <f>IF(AND(N(F93)&gt;0,N(I93)&gt;0),I93-F93-IF(N(G93)&gt;0,0.5,0)-IF(N(H93)&gt;0,0.5,0),0)</f>
        <v/>
      </c>
      <c r="K93" s="5" t="n"/>
      <c r="L93" s="7">
        <f>MIN(J93,8.0)</f>
        <v/>
      </c>
      <c r="M93" s="7">
        <f>MAX(0,MIN(J93,12)-8.0)</f>
        <v/>
      </c>
      <c r="N93" s="7">
        <f>MAX(0,J93-12)</f>
        <v/>
      </c>
      <c r="O93" s="5" t="n"/>
      <c r="P93" s="6">
        <f>E93*(L93+M93*1.5+N93*2+O93*3+N(K93))</f>
        <v/>
      </c>
      <c r="Q93" s="6" t="n">
        <v>168</v>
      </c>
      <c r="R93" s="6">
        <f>Q93-P93</f>
        <v/>
      </c>
    </row>
    <row r="94">
      <c r="P94" s="2" t="inlineStr">
        <is>
          <t>OFFICESTAFFASSISTANTS LABOR</t>
        </is>
      </c>
      <c r="R94" s="8">
        <f>SUM(R92:R93)</f>
        <v/>
      </c>
    </row>
    <row r="96">
      <c r="B96" s="2" t="inlineStr">
        <is>
          <t>SETSTAFFASSISTANTS</t>
        </is>
      </c>
    </row>
    <row r="97">
      <c r="A97" s="5" t="inlineStr">
        <is>
          <t>2012</t>
        </is>
      </c>
      <c r="B97" s="5" t="inlineStr">
        <is>
          <t>Paula Henry</t>
        </is>
      </c>
      <c r="C97" s="5" t="inlineStr">
        <is>
          <t>KEYSETPA</t>
        </is>
      </c>
      <c r="D97" s="5" t="inlineStr"/>
      <c r="E97" s="6" t="n">
        <v>12</v>
      </c>
      <c r="F97" s="5" t="n"/>
      <c r="G97" s="5" t="n"/>
      <c r="H97" s="5" t="n"/>
      <c r="I97" s="5" t="n"/>
      <c r="J97" s="7">
        <f>IF(AND(N(F97)&gt;0,N(I97)&gt;0),I97-F97-IF(N(G97)&gt;0,0.5,0)-IF(N(H97)&gt;0,0.5,0),0)</f>
        <v/>
      </c>
      <c r="K97" s="5" t="n"/>
      <c r="L97" s="7">
        <f>MIN(J97,8.0)</f>
        <v/>
      </c>
      <c r="M97" s="7">
        <f>MAX(0,MIN(J97,12)-8.0)</f>
        <v/>
      </c>
      <c r="N97" s="7">
        <f>MAX(0,J97-12)</f>
        <v/>
      </c>
      <c r="O97" s="5" t="n"/>
      <c r="P97" s="6">
        <f>E97*(L97+M97*1.5+N97*2+O97*3+N(K97))</f>
        <v/>
      </c>
      <c r="Q97" s="6" t="n">
        <v>216</v>
      </c>
      <c r="R97" s="6">
        <f>Q97-P97</f>
        <v/>
      </c>
    </row>
    <row r="98">
      <c r="A98" s="5" t="inlineStr">
        <is>
          <t>2012</t>
        </is>
      </c>
      <c r="B98" s="5" t="inlineStr"/>
      <c r="C98" s="5" t="inlineStr">
        <is>
          <t>SETPA#2</t>
        </is>
      </c>
      <c r="D98" s="5" t="inlineStr"/>
      <c r="E98" s="6" t="n">
        <v>12</v>
      </c>
      <c r="F98" s="5" t="n"/>
      <c r="G98" s="5" t="n"/>
      <c r="H98" s="5" t="n"/>
      <c r="I98" s="5" t="n"/>
      <c r="J98" s="7">
        <f>IF(AND(N(F98)&gt;0,N(I98)&gt;0),I98-F98-IF(N(G98)&gt;0,0.5,0)-IF(N(H98)&gt;0,0.5,0),0)</f>
        <v/>
      </c>
      <c r="K98" s="5" t="n"/>
      <c r="L98" s="7">
        <f>MIN(J98,8.0)</f>
        <v/>
      </c>
      <c r="M98" s="7">
        <f>MAX(0,MIN(J98,12)-8.0)</f>
        <v/>
      </c>
      <c r="N98" s="7">
        <f>MAX(0,J98-12)</f>
        <v/>
      </c>
      <c r="O98" s="5" t="n"/>
      <c r="P98" s="6">
        <f>E98*(L98+M98*1.5+N98*2+O98*3+N(K98))</f>
        <v/>
      </c>
      <c r="Q98" s="6" t="n">
        <v>216</v>
      </c>
      <c r="R98" s="6">
        <f>Q98-P98</f>
        <v/>
      </c>
    </row>
    <row r="99">
      <c r="A99" s="5" t="inlineStr">
        <is>
          <t>2012</t>
        </is>
      </c>
      <c r="B99" s="5" t="inlineStr"/>
      <c r="C99" s="5" t="inlineStr">
        <is>
          <t>SETPA#3</t>
        </is>
      </c>
      <c r="D99" s="5" t="inlineStr"/>
      <c r="E99" s="6" t="n">
        <v>12</v>
      </c>
      <c r="F99" s="5" t="n"/>
      <c r="G99" s="5" t="n"/>
      <c r="H99" s="5" t="n"/>
      <c r="I99" s="5" t="n"/>
      <c r="J99" s="7">
        <f>IF(AND(N(F99)&gt;0,N(I99)&gt;0),I99-F99-IF(N(G99)&gt;0,0.5,0)-IF(N(H99)&gt;0,0.5,0),0)</f>
        <v/>
      </c>
      <c r="K99" s="5" t="n"/>
      <c r="L99" s="7">
        <f>MIN(J99,8.0)</f>
        <v/>
      </c>
      <c r="M99" s="7">
        <f>MAX(0,MIN(J99,12)-8.0)</f>
        <v/>
      </c>
      <c r="N99" s="7">
        <f>MAX(0,J99-12)</f>
        <v/>
      </c>
      <c r="O99" s="5" t="n"/>
      <c r="P99" s="6">
        <f>E99*(L99+M99*1.5+N99*2+O99*3+N(K99))</f>
        <v/>
      </c>
      <c r="Q99" s="6" t="n">
        <v>216</v>
      </c>
      <c r="R99" s="6">
        <f>Q99-P99</f>
        <v/>
      </c>
    </row>
    <row r="100">
      <c r="A100" s="5" t="inlineStr">
        <is>
          <t>2012</t>
        </is>
      </c>
      <c r="B100" s="5" t="inlineStr"/>
      <c r="C100" s="5" t="inlineStr">
        <is>
          <t>SETPA#4</t>
        </is>
      </c>
      <c r="D100" s="5" t="inlineStr"/>
      <c r="E100" s="6" t="n">
        <v>12</v>
      </c>
      <c r="F100" s="5" t="n"/>
      <c r="G100" s="5" t="n"/>
      <c r="H100" s="5" t="n"/>
      <c r="I100" s="5" t="n"/>
      <c r="J100" s="7">
        <f>IF(AND(N(F100)&gt;0,N(I100)&gt;0),I100-F100-IF(N(G100)&gt;0,0.5,0)-IF(N(H100)&gt;0,0.5,0),0)</f>
        <v/>
      </c>
      <c r="K100" s="5" t="n"/>
      <c r="L100" s="7">
        <f>MIN(J100,8.0)</f>
        <v/>
      </c>
      <c r="M100" s="7">
        <f>MAX(0,MIN(J100,12)-8.0)</f>
        <v/>
      </c>
      <c r="N100" s="7">
        <f>MAX(0,J100-12)</f>
        <v/>
      </c>
      <c r="O100" s="5" t="n"/>
      <c r="P100" s="6">
        <f>E100*(L100+M100*1.5+N100*2+O100*3+N(K100))</f>
        <v/>
      </c>
      <c r="Q100" s="6" t="n">
        <v>216</v>
      </c>
      <c r="R100" s="6">
        <f>Q100-P100</f>
        <v/>
      </c>
    </row>
    <row r="101">
      <c r="P101" s="2" t="inlineStr">
        <is>
          <t>SETSTAFFASSISTANTS LABOR</t>
        </is>
      </c>
      <c r="R101" s="8">
        <f>SUM(R97:R100)</f>
        <v/>
      </c>
    </row>
    <row r="103">
      <c r="B103" s="2" t="inlineStr">
        <is>
          <t>PRODUCTIONACCOUNTANT</t>
        </is>
      </c>
    </row>
    <row r="104">
      <c r="A104" s="5" t="inlineStr">
        <is>
          <t>2013</t>
        </is>
      </c>
      <c r="B104" s="5" t="inlineStr">
        <is>
          <t>Joel Tokarsky</t>
        </is>
      </c>
      <c r="C104" s="5" t="inlineStr">
        <is>
          <t>PRODUCTIONACCOUNTANT</t>
        </is>
      </c>
      <c r="D104" s="5" t="inlineStr">
        <is>
          <t>Local871</t>
        </is>
      </c>
      <c r="E104" s="6" t="n">
        <v>740</v>
      </c>
      <c r="F104" s="5" t="n"/>
      <c r="G104" s="5" t="n"/>
      <c r="H104" s="5" t="n"/>
      <c r="I104" s="5" t="n"/>
      <c r="J104" s="7">
        <f>IF(AND(N(F104)&gt;0,N(I104)&gt;0),I104-F104-IF(N(G104)&gt;0,0.5,0)-IF(N(H104)&gt;0,0.5,0),0)</f>
        <v/>
      </c>
      <c r="K104" s="5" t="n"/>
      <c r="L104" s="7">
        <f>MIN(J104,10.0)</f>
        <v/>
      </c>
      <c r="M104" s="7">
        <f>MAX(0,MIN(J104,12)-10.0)</f>
        <v/>
      </c>
      <c r="N104" s="7">
        <f>MAX(0,J104-12)</f>
        <v/>
      </c>
      <c r="O104" s="5" t="n"/>
      <c r="P104" s="6">
        <f>E104*(L104+M104*1.5+N104*2+O104*3+N(K104))</f>
        <v/>
      </c>
      <c r="Q104" s="6" t="n">
        <v>740</v>
      </c>
      <c r="R104" s="6">
        <f>Q104-P104</f>
        <v/>
      </c>
    </row>
    <row r="105">
      <c r="P105" s="2" t="inlineStr">
        <is>
          <t>PRODUCTIONACCOUNTANT LABOR</t>
        </is>
      </c>
      <c r="R105" s="8">
        <f>SUM(R104:R104)</f>
        <v/>
      </c>
    </row>
    <row r="107">
      <c r="B107" s="2" t="inlineStr">
        <is>
          <t>ASSTPRODUCTIONACCOUNTANTS</t>
        </is>
      </c>
    </row>
    <row r="108">
      <c r="A108" s="5" t="inlineStr">
        <is>
          <t>2014</t>
        </is>
      </c>
      <c r="B108" s="5" t="inlineStr">
        <is>
          <t>Co-Co Aiello</t>
        </is>
      </c>
      <c r="C108" s="5" t="inlineStr">
        <is>
          <t>1STASSTACCT</t>
        </is>
      </c>
      <c r="D108" s="5" t="inlineStr">
        <is>
          <t>Local871</t>
        </is>
      </c>
      <c r="E108" s="6" t="n">
        <v>480</v>
      </c>
      <c r="F108" s="5" t="n"/>
      <c r="G108" s="5" t="n"/>
      <c r="H108" s="5" t="n"/>
      <c r="I108" s="5" t="n"/>
      <c r="J108" s="7">
        <f>IF(AND(N(F108)&gt;0,N(I108)&gt;0),I108-F108-IF(N(G108)&gt;0,0.5,0)-IF(N(H108)&gt;0,0.5,0),0)</f>
        <v/>
      </c>
      <c r="K108" s="5" t="n"/>
      <c r="L108" s="7">
        <f>MIN(J108,10.0)</f>
        <v/>
      </c>
      <c r="M108" s="7">
        <f>MAX(0,MIN(J108,12)-10.0)</f>
        <v/>
      </c>
      <c r="N108" s="7">
        <f>MAX(0,J108-12)</f>
        <v/>
      </c>
      <c r="O108" s="5" t="n"/>
      <c r="P108" s="6">
        <f>E108*(L108+M108*1.5+N108*2+O108*3+N(K108))</f>
        <v/>
      </c>
      <c r="Q108" s="6" t="n">
        <v>480</v>
      </c>
      <c r="R108" s="6">
        <f>Q108-P108</f>
        <v/>
      </c>
    </row>
    <row r="109">
      <c r="A109" s="5" t="inlineStr">
        <is>
          <t>2014</t>
        </is>
      </c>
      <c r="B109" s="5" t="inlineStr">
        <is>
          <t>Steve Goldstein</t>
        </is>
      </c>
      <c r="C109" s="5" t="inlineStr">
        <is>
          <t>PAYROLLACCT</t>
        </is>
      </c>
      <c r="D109" s="5" t="inlineStr">
        <is>
          <t>Local871</t>
        </is>
      </c>
      <c r="E109" s="6" t="n">
        <v>420</v>
      </c>
      <c r="F109" s="5" t="n"/>
      <c r="G109" s="5" t="n"/>
      <c r="H109" s="5" t="n"/>
      <c r="I109" s="5" t="n"/>
      <c r="J109" s="7">
        <f>IF(AND(N(F109)&gt;0,N(I109)&gt;0),I109-F109-IF(N(G109)&gt;0,0.5,0)-IF(N(H109)&gt;0,0.5,0),0)</f>
        <v/>
      </c>
      <c r="K109" s="5" t="n"/>
      <c r="L109" s="7">
        <f>MIN(J109,10.0)</f>
        <v/>
      </c>
      <c r="M109" s="7">
        <f>MAX(0,MIN(J109,12)-10.0)</f>
        <v/>
      </c>
      <c r="N109" s="7">
        <f>MAX(0,J109-12)</f>
        <v/>
      </c>
      <c r="O109" s="5" t="n"/>
      <c r="P109" s="6">
        <f>E109*(L109+M109*1.5+N109*2+O109*3+N(K109))</f>
        <v/>
      </c>
      <c r="Q109" s="6" t="n">
        <v>420</v>
      </c>
      <c r="R109" s="6">
        <f>Q109-P109</f>
        <v/>
      </c>
    </row>
    <row r="110">
      <c r="P110" s="2" t="inlineStr">
        <is>
          <t>ASSTPRODUCTIONACCOUNTANTS LABOR</t>
        </is>
      </c>
      <c r="R110" s="8">
        <f>SUM(R108:R109)</f>
        <v/>
      </c>
    </row>
    <row r="112">
      <c r="B112" s="2" t="inlineStr">
        <is>
          <t>CONSTRUCTIONCOORDINATOR</t>
        </is>
      </c>
    </row>
    <row r="113">
      <c r="A113" s="5" t="inlineStr">
        <is>
          <t>2302</t>
        </is>
      </c>
      <c r="B113" s="5" t="inlineStr">
        <is>
          <t>Drew Rebelin</t>
        </is>
      </c>
      <c r="C113" s="5" t="inlineStr">
        <is>
          <t>CONSTCOORDINATOR</t>
        </is>
      </c>
      <c r="D113" s="5" t="inlineStr">
        <is>
          <t>Local44</t>
        </is>
      </c>
      <c r="E113" s="6" t="n">
        <v>400</v>
      </c>
      <c r="F113" s="5" t="n"/>
      <c r="G113" s="5" t="n"/>
      <c r="H113" s="5" t="n"/>
      <c r="I113" s="5" t="n"/>
      <c r="J113" s="7">
        <f>IF(AND(N(F113)&gt;0,N(I113)&gt;0),I113-F113-IF(N(G113)&gt;0,0.5,0)-IF(N(H113)&gt;0,0.5,0),0)</f>
        <v/>
      </c>
      <c r="K113" s="5" t="n"/>
      <c r="L113" s="7">
        <f>MIN(J113,10.0)</f>
        <v/>
      </c>
      <c r="M113" s="7">
        <f>MAX(0,MIN(J113,12)-10.0)</f>
        <v/>
      </c>
      <c r="N113" s="7">
        <f>MAX(0,J113-12)</f>
        <v/>
      </c>
      <c r="O113" s="5" t="n"/>
      <c r="P113" s="6">
        <f>E113*(L113+M113*1.5+N113*2+O113*3+N(K113))</f>
        <v/>
      </c>
      <c r="Q113" s="5" t="n"/>
      <c r="R113" s="6">
        <f>Q113-P113</f>
        <v/>
      </c>
    </row>
    <row r="114">
      <c r="P114" s="2" t="inlineStr">
        <is>
          <t>CONSTRUCTIONCOORDINATOR LABOR</t>
        </is>
      </c>
      <c r="R114" s="8">
        <f>SUM(R113:R113)</f>
        <v/>
      </c>
    </row>
    <row r="116">
      <c r="B116" s="2" t="inlineStr">
        <is>
          <t>PAINTFOREMAN</t>
        </is>
      </c>
    </row>
    <row r="117">
      <c r="A117" s="5" t="inlineStr">
        <is>
          <t>2304</t>
        </is>
      </c>
      <c r="B117" s="5" t="inlineStr">
        <is>
          <t>Kristeen Reimnitz</t>
        </is>
      </c>
      <c r="C117" s="5" t="inlineStr">
        <is>
          <t>PAINTER</t>
        </is>
      </c>
      <c r="D117" s="5" t="inlineStr">
        <is>
          <t>Local729</t>
        </is>
      </c>
      <c r="E117" s="6" t="n">
        <v>23.04</v>
      </c>
      <c r="F117" s="5" t="n"/>
      <c r="G117" s="5" t="n"/>
      <c r="H117" s="5" t="n"/>
      <c r="I117" s="5" t="n"/>
      <c r="J117" s="7">
        <f>IF(AND(N(F117)&gt;0,N(I117)&gt;0),I117-F117-IF(N(G117)&gt;0,0.5,0)-IF(N(H117)&gt;0,0.5,0),0)</f>
        <v/>
      </c>
      <c r="K117" s="5" t="n"/>
      <c r="L117" s="7">
        <f>MIN(J117,10.0)</f>
        <v/>
      </c>
      <c r="M117" s="7">
        <f>MAX(0,MIN(J117,12)-10.0)</f>
        <v/>
      </c>
      <c r="N117" s="7">
        <f>MAX(0,J117-12)</f>
        <v/>
      </c>
      <c r="O117" s="5" t="n"/>
      <c r="P117" s="6">
        <f>E117*(L117+M117*1.5+N117*2+O117*3+N(K117))</f>
        <v/>
      </c>
      <c r="Q117" s="5" t="n"/>
      <c r="R117" s="6">
        <f>Q117-P117</f>
        <v/>
      </c>
    </row>
    <row r="118">
      <c r="P118" s="2" t="inlineStr">
        <is>
          <t>PAINTFOREMAN LABOR</t>
        </is>
      </c>
      <c r="R118" s="8">
        <f>SUM(R117:R117)</f>
        <v/>
      </c>
    </row>
    <row r="120">
      <c r="B120" s="2" t="inlineStr">
        <is>
          <t>FIRSTAIDLABOR</t>
        </is>
      </c>
    </row>
    <row r="121">
      <c r="A121" s="5" t="inlineStr">
        <is>
          <t>2310</t>
        </is>
      </c>
      <c r="B121" s="5" t="inlineStr"/>
      <c r="C121" s="5" t="inlineStr">
        <is>
          <t>CONSTRUCTIONMEDIC</t>
        </is>
      </c>
      <c r="D121" s="5" t="inlineStr">
        <is>
          <t>Local80</t>
        </is>
      </c>
      <c r="E121" s="6" t="n">
        <v>23.04</v>
      </c>
      <c r="F121" s="5" t="n"/>
      <c r="G121" s="5" t="n"/>
      <c r="H121" s="5" t="n"/>
      <c r="I121" s="5" t="n"/>
      <c r="J121" s="7">
        <f>IF(AND(N(F121)&gt;0,N(I121)&gt;0),I121-F121-IF(N(G121)&gt;0,0.5,0)-IF(N(H121)&gt;0,0.5,0),0)</f>
        <v/>
      </c>
      <c r="K121" s="5" t="n"/>
      <c r="L121" s="7">
        <f>MIN(J121,10.0)</f>
        <v/>
      </c>
      <c r="M121" s="7">
        <f>MAX(0,MIN(J121,12)-10.0)</f>
        <v/>
      </c>
      <c r="N121" s="7">
        <f>MAX(0,J121-12)</f>
        <v/>
      </c>
      <c r="O121" s="5" t="n"/>
      <c r="P121" s="6">
        <f>E121*(L121+M121*1.5+N121*2+O121*3+N(K121))</f>
        <v/>
      </c>
      <c r="Q121" s="5" t="n"/>
      <c r="R121" s="6">
        <f>Q121-P121</f>
        <v/>
      </c>
    </row>
    <row r="122">
      <c r="P122" s="2" t="inlineStr">
        <is>
          <t>FIRSTAIDLABOR LABOR</t>
        </is>
      </c>
      <c r="R122" s="8">
        <f>SUM(R121:R121)</f>
        <v/>
      </c>
    </row>
    <row r="124">
      <c r="B124" s="2" t="inlineStr">
        <is>
          <t>KEYGRIP</t>
        </is>
      </c>
    </row>
    <row r="125">
      <c r="A125" s="5" t="inlineStr">
        <is>
          <t>2501</t>
        </is>
      </c>
      <c r="B125" s="5" t="inlineStr">
        <is>
          <t>Pat O'Mara</t>
        </is>
      </c>
      <c r="C125" s="5" t="inlineStr">
        <is>
          <t>KEYGRIP</t>
        </is>
      </c>
      <c r="D125" s="5" t="inlineStr">
        <is>
          <t>Local80</t>
        </is>
      </c>
      <c r="E125" s="6" t="n">
        <v>25.5</v>
      </c>
      <c r="F125" s="5" t="n"/>
      <c r="G125" s="5" t="n"/>
      <c r="H125" s="5" t="n"/>
      <c r="I125" s="5" t="n"/>
      <c r="J125" s="7">
        <f>IF(AND(N(F125)&gt;0,N(I125)&gt;0),I125-F125-IF(N(G125)&gt;0,0.5,0)-IF(N(H125)&gt;0,0.5,0),0)</f>
        <v/>
      </c>
      <c r="K125" s="5" t="n"/>
      <c r="L125" s="7">
        <f>MIN(J125,10.0)</f>
        <v/>
      </c>
      <c r="M125" s="7">
        <f>MAX(0,MIN(J125,12)-10.0)</f>
        <v/>
      </c>
      <c r="N125" s="7">
        <f>MAX(0,J125-12)</f>
        <v/>
      </c>
      <c r="O125" s="5" t="n"/>
      <c r="P125" s="6">
        <f>E125*(L125+M125*1.5+N125*2+O125*3+N(K125))</f>
        <v/>
      </c>
      <c r="Q125" s="6" t="n">
        <v>395.25</v>
      </c>
      <c r="R125" s="6">
        <f>Q125-P125</f>
        <v/>
      </c>
    </row>
    <row r="126">
      <c r="P126" s="2" t="inlineStr">
        <is>
          <t>KEYGRIP LABOR</t>
        </is>
      </c>
      <c r="R126" s="8">
        <f>SUM(R125:R125)</f>
        <v/>
      </c>
    </row>
    <row r="128">
      <c r="B128" s="2" t="inlineStr">
        <is>
          <t>BESTBOYGRIP</t>
        </is>
      </c>
    </row>
    <row r="129">
      <c r="A129" s="5" t="inlineStr">
        <is>
          <t>2502</t>
        </is>
      </c>
      <c r="B129" s="5" t="inlineStr">
        <is>
          <t>Aaron Fairley</t>
        </is>
      </c>
      <c r="C129" s="5" t="inlineStr">
        <is>
          <t>BESTBOYGRIP</t>
        </is>
      </c>
      <c r="D129" s="5" t="inlineStr">
        <is>
          <t>Local80</t>
        </is>
      </c>
      <c r="E129" s="6" t="n">
        <v>23.04</v>
      </c>
      <c r="F129" s="5" t="n"/>
      <c r="G129" s="5" t="n"/>
      <c r="H129" s="5" t="n"/>
      <c r="I129" s="5" t="n"/>
      <c r="J129" s="7">
        <f>IF(AND(N(F129)&gt;0,N(I129)&gt;0),I129-F129-IF(N(G129)&gt;0,0.5,0)-IF(N(H129)&gt;0,0.5,0),0)</f>
        <v/>
      </c>
      <c r="K129" s="5" t="n"/>
      <c r="L129" s="7">
        <f>MIN(J129,10.0)</f>
        <v/>
      </c>
      <c r="M129" s="7">
        <f>MAX(0,MIN(J129,12)-10.0)</f>
        <v/>
      </c>
      <c r="N129" s="7">
        <f>MAX(0,J129-12)</f>
        <v/>
      </c>
      <c r="O129" s="5" t="n"/>
      <c r="P129" s="6">
        <f>E129*(L129+M129*1.5+N129*2+O129*3+N(K129))</f>
        <v/>
      </c>
      <c r="Q129" s="6" t="n">
        <v>357.12</v>
      </c>
      <c r="R129" s="6">
        <f>Q129-P129</f>
        <v/>
      </c>
    </row>
    <row r="130">
      <c r="A130" s="5" t="inlineStr">
        <is>
          <t>2502</t>
        </is>
      </c>
      <c r="B130" s="5" t="inlineStr"/>
      <c r="C130" s="5" t="inlineStr">
        <is>
          <t>STUDIOBESTBOYGRIP</t>
        </is>
      </c>
      <c r="D130" s="5" t="inlineStr">
        <is>
          <t>Local80</t>
        </is>
      </c>
      <c r="E130" s="6" t="n">
        <v>43.05</v>
      </c>
      <c r="F130" s="5" t="n"/>
      <c r="G130" s="5" t="n"/>
      <c r="H130" s="5" t="n"/>
      <c r="I130" s="5" t="n"/>
      <c r="J130" s="7">
        <f>IF(AND(N(F130)&gt;0,N(I130)&gt;0),I130-F130-IF(N(G130)&gt;0,0.5,0)-IF(N(H130)&gt;0,0.5,0),0)</f>
        <v/>
      </c>
      <c r="K130" s="5" t="n"/>
      <c r="L130" s="7">
        <f>MIN(J130,10.0)</f>
        <v/>
      </c>
      <c r="M130" s="7">
        <f>MAX(0,MIN(J130,12)-10.0)</f>
        <v/>
      </c>
      <c r="N130" s="7">
        <f>MAX(0,J130-12)</f>
        <v/>
      </c>
      <c r="O130" s="5" t="n"/>
      <c r="P130" s="6">
        <f>E130*(L130+M130*1.5+N130*2+O130*3+N(K130))</f>
        <v/>
      </c>
      <c r="Q130" s="6" t="n">
        <v>667.27</v>
      </c>
      <c r="R130" s="6">
        <f>Q130-P130</f>
        <v/>
      </c>
    </row>
    <row r="131">
      <c r="P131" s="2" t="inlineStr">
        <is>
          <t>BESTBOYGRIP LABOR</t>
        </is>
      </c>
      <c r="R131" s="8">
        <f>SUM(R129:R130)</f>
        <v/>
      </c>
    </row>
    <row r="133">
      <c r="B133" s="2" t="inlineStr">
        <is>
          <t>DOLLYGRIP</t>
        </is>
      </c>
    </row>
    <row r="134">
      <c r="A134" s="5" t="inlineStr">
        <is>
          <t>2503</t>
        </is>
      </c>
      <c r="B134" s="5" t="inlineStr">
        <is>
          <t>Peter Weidenfeller</t>
        </is>
      </c>
      <c r="C134" s="5" t="inlineStr">
        <is>
          <t>"A"DOLLYGRIP</t>
        </is>
      </c>
      <c r="D134" s="5" t="inlineStr">
        <is>
          <t>Local80</t>
        </is>
      </c>
      <c r="E134" s="6" t="n">
        <v>23.04</v>
      </c>
      <c r="F134" s="5" t="n"/>
      <c r="G134" s="5" t="n"/>
      <c r="H134" s="5" t="n"/>
      <c r="I134" s="5" t="n"/>
      <c r="J134" s="7">
        <f>IF(AND(N(F134)&gt;0,N(I134)&gt;0),I134-F134-IF(N(G134)&gt;0,0.5,0)-IF(N(H134)&gt;0,0.5,0),0)</f>
        <v/>
      </c>
      <c r="K134" s="5" t="n"/>
      <c r="L134" s="7">
        <f>MIN(J134,10.0)</f>
        <v/>
      </c>
      <c r="M134" s="7">
        <f>MAX(0,MIN(J134,12)-10.0)</f>
        <v/>
      </c>
      <c r="N134" s="7">
        <f>MAX(0,J134-12)</f>
        <v/>
      </c>
      <c r="O134" s="5" t="n"/>
      <c r="P134" s="6">
        <f>E134*(L134+M134*1.5+N134*2+O134*3+N(K134))</f>
        <v/>
      </c>
      <c r="Q134" s="6" t="n">
        <v>357.12</v>
      </c>
      <c r="R134" s="6">
        <f>Q134-P134</f>
        <v/>
      </c>
    </row>
    <row r="135">
      <c r="P135" s="2" t="inlineStr">
        <is>
          <t>DOLLYGRIP LABOR</t>
        </is>
      </c>
      <c r="R135" s="8">
        <f>SUM(R134:R134)</f>
        <v/>
      </c>
    </row>
    <row r="137">
      <c r="B137" s="2" t="inlineStr">
        <is>
          <t>CRANEGRIPS</t>
        </is>
      </c>
    </row>
    <row r="138">
      <c r="A138" s="5" t="inlineStr">
        <is>
          <t>2504</t>
        </is>
      </c>
      <c r="B138" s="5" t="inlineStr"/>
      <c r="C138" s="5" t="inlineStr">
        <is>
          <t>CRANEOPERATOR</t>
        </is>
      </c>
      <c r="D138" s="5" t="inlineStr">
        <is>
          <t>Local80</t>
        </is>
      </c>
      <c r="E138" s="6" t="n">
        <v>792</v>
      </c>
      <c r="F138" s="5" t="n"/>
      <c r="G138" s="5" t="n"/>
      <c r="H138" s="5" t="n"/>
      <c r="I138" s="5" t="n"/>
      <c r="J138" s="7">
        <f>IF(AND(N(F138)&gt;0,N(I138)&gt;0),I138-F138-IF(N(G138)&gt;0,0.5,0)-IF(N(H138)&gt;0,0.5,0),0)</f>
        <v/>
      </c>
      <c r="K138" s="5" t="n"/>
      <c r="L138" s="7">
        <f>MIN(J138,10.0)</f>
        <v/>
      </c>
      <c r="M138" s="7">
        <f>MAX(0,MIN(J138,12)-10.0)</f>
        <v/>
      </c>
      <c r="N138" s="7">
        <f>MAX(0,J138-12)</f>
        <v/>
      </c>
      <c r="O138" s="5" t="n"/>
      <c r="P138" s="6">
        <f>E138*(L138+M138*1.5+N138*2+O138*3+N(K138))</f>
        <v/>
      </c>
      <c r="Q138" s="6" t="n">
        <v>924</v>
      </c>
      <c r="R138" s="6">
        <f>Q138-P138</f>
        <v/>
      </c>
    </row>
    <row r="139">
      <c r="A139" s="5" t="inlineStr">
        <is>
          <t>2504</t>
        </is>
      </c>
      <c r="B139" s="5" t="inlineStr"/>
      <c r="C139" s="5" t="inlineStr">
        <is>
          <t>CRANEASSISTANT</t>
        </is>
      </c>
      <c r="D139" s="5" t="inlineStr">
        <is>
          <t>Local80</t>
        </is>
      </c>
      <c r="E139" s="6" t="n">
        <v>660</v>
      </c>
      <c r="F139" s="5" t="n"/>
      <c r="G139" s="5" t="n"/>
      <c r="H139" s="5" t="n"/>
      <c r="I139" s="5" t="n"/>
      <c r="J139" s="7">
        <f>IF(AND(N(F139)&gt;0,N(I139)&gt;0),I139-F139-IF(N(G139)&gt;0,0.5,0)-IF(N(H139)&gt;0,0.5,0),0)</f>
        <v/>
      </c>
      <c r="K139" s="5" t="n"/>
      <c r="L139" s="7">
        <f>MIN(J139,10.0)</f>
        <v/>
      </c>
      <c r="M139" s="7">
        <f>MAX(0,MIN(J139,12)-10.0)</f>
        <v/>
      </c>
      <c r="N139" s="7">
        <f>MAX(0,J139-12)</f>
        <v/>
      </c>
      <c r="O139" s="5" t="n"/>
      <c r="P139" s="6">
        <f>E139*(L139+M139*1.5+N139*2+O139*3+N(K139))</f>
        <v/>
      </c>
      <c r="Q139" s="6" t="n">
        <v>770</v>
      </c>
      <c r="R139" s="6">
        <f>Q139-P139</f>
        <v/>
      </c>
    </row>
    <row r="140">
      <c r="P140" s="2" t="inlineStr">
        <is>
          <t>CRANEGRIPS LABOR</t>
        </is>
      </c>
      <c r="R140" s="8">
        <f>SUM(R138:R139)</f>
        <v/>
      </c>
    </row>
    <row r="142">
      <c r="B142" s="2" t="inlineStr">
        <is>
          <t>COMPANYGRIPS</t>
        </is>
      </c>
    </row>
    <row r="143">
      <c r="A143" s="5" t="inlineStr">
        <is>
          <t>2505</t>
        </is>
      </c>
      <c r="B143" s="5" t="inlineStr"/>
      <c r="C143" s="5" t="inlineStr">
        <is>
          <t>GRIP#1</t>
        </is>
      </c>
      <c r="D143" s="5" t="inlineStr">
        <is>
          <t>Local80</t>
        </is>
      </c>
      <c r="E143" s="6" t="n">
        <v>20.57</v>
      </c>
      <c r="F143" s="5" t="n"/>
      <c r="G143" s="5" t="n"/>
      <c r="H143" s="5" t="n"/>
      <c r="I143" s="5" t="n"/>
      <c r="J143" s="7">
        <f>IF(AND(N(F143)&gt;0,N(I143)&gt;0),I143-F143-IF(N(G143)&gt;0,0.5,0)-IF(N(H143)&gt;0,0.5,0),0)</f>
        <v/>
      </c>
      <c r="K143" s="5" t="n"/>
      <c r="L143" s="7">
        <f>MIN(J143,10.0)</f>
        <v/>
      </c>
      <c r="M143" s="7">
        <f>MAX(0,MIN(J143,12)-10.0)</f>
        <v/>
      </c>
      <c r="N143" s="7">
        <f>MAX(0,J143-12)</f>
        <v/>
      </c>
      <c r="O143" s="5" t="n"/>
      <c r="P143" s="6">
        <f>E143*(L143+M143*1.5+N143*2+O143*3+N(K143))</f>
        <v/>
      </c>
      <c r="Q143" s="6" t="n">
        <v>318.83</v>
      </c>
      <c r="R143" s="6">
        <f>Q143-P143</f>
        <v/>
      </c>
    </row>
    <row r="144">
      <c r="A144" s="5" t="inlineStr">
        <is>
          <t>2505</t>
        </is>
      </c>
      <c r="B144" s="5" t="inlineStr"/>
      <c r="C144" s="5" t="inlineStr">
        <is>
          <t>GRIP#2</t>
        </is>
      </c>
      <c r="D144" s="5" t="inlineStr">
        <is>
          <t>Local80</t>
        </is>
      </c>
      <c r="E144" s="6" t="n">
        <v>20.57</v>
      </c>
      <c r="F144" s="5" t="n"/>
      <c r="G144" s="5" t="n"/>
      <c r="H144" s="5" t="n"/>
      <c r="I144" s="5" t="n"/>
      <c r="J144" s="7">
        <f>IF(AND(N(F144)&gt;0,N(I144)&gt;0),I144-F144-IF(N(G144)&gt;0,0.5,0)-IF(N(H144)&gt;0,0.5,0),0)</f>
        <v/>
      </c>
      <c r="K144" s="5" t="n"/>
      <c r="L144" s="7">
        <f>MIN(J144,10.0)</f>
        <v/>
      </c>
      <c r="M144" s="7">
        <f>MAX(0,MIN(J144,12)-10.0)</f>
        <v/>
      </c>
      <c r="N144" s="7">
        <f>MAX(0,J144-12)</f>
        <v/>
      </c>
      <c r="O144" s="5" t="n"/>
      <c r="P144" s="6">
        <f>E144*(L144+M144*1.5+N144*2+O144*3+N(K144))</f>
        <v/>
      </c>
      <c r="Q144" s="6" t="n">
        <v>318.83</v>
      </c>
      <c r="R144" s="6">
        <f>Q144-P144</f>
        <v/>
      </c>
    </row>
    <row r="145">
      <c r="A145" s="5" t="inlineStr">
        <is>
          <t>2505</t>
        </is>
      </c>
      <c r="B145" s="5" t="inlineStr"/>
      <c r="C145" s="5" t="inlineStr">
        <is>
          <t>GRIP#3</t>
        </is>
      </c>
      <c r="D145" s="5" t="inlineStr">
        <is>
          <t>Local80</t>
        </is>
      </c>
      <c r="E145" s="6" t="n">
        <v>20.57</v>
      </c>
      <c r="F145" s="5" t="n"/>
      <c r="G145" s="5" t="n"/>
      <c r="H145" s="5" t="n"/>
      <c r="I145" s="5" t="n"/>
      <c r="J145" s="7">
        <f>IF(AND(N(F145)&gt;0,N(I145)&gt;0),I145-F145-IF(N(G145)&gt;0,0.5,0)-IF(N(H145)&gt;0,0.5,0),0)</f>
        <v/>
      </c>
      <c r="K145" s="5" t="n"/>
      <c r="L145" s="7">
        <f>MIN(J145,10.0)</f>
        <v/>
      </c>
      <c r="M145" s="7">
        <f>MAX(0,MIN(J145,12)-10.0)</f>
        <v/>
      </c>
      <c r="N145" s="7">
        <f>MAX(0,J145-12)</f>
        <v/>
      </c>
      <c r="O145" s="5" t="n"/>
      <c r="P145" s="6">
        <f>E145*(L145+M145*1.5+N145*2+O145*3+N(K145))</f>
        <v/>
      </c>
      <c r="Q145" s="6" t="n">
        <v>318.83</v>
      </c>
      <c r="R145" s="6">
        <f>Q145-P145</f>
        <v/>
      </c>
    </row>
    <row r="146">
      <c r="P146" s="2" t="inlineStr">
        <is>
          <t>COMPANYGRIPS LABOR</t>
        </is>
      </c>
      <c r="R146" s="8">
        <f>SUM(R143:R145)</f>
        <v/>
      </c>
    </row>
    <row r="148">
      <c r="B148" s="2" t="inlineStr">
        <is>
          <t>OTHERLABOR</t>
        </is>
      </c>
    </row>
    <row r="149">
      <c r="A149" s="5" t="inlineStr">
        <is>
          <t>2506</t>
        </is>
      </c>
      <c r="B149" s="5" t="inlineStr"/>
      <c r="C149" s="5" t="inlineStr">
        <is>
          <t>GRIPMANDAYS&amp;RIGGINGMANDAYS</t>
        </is>
      </c>
      <c r="D149" s="5" t="inlineStr">
        <is>
          <t>Local80</t>
        </is>
      </c>
      <c r="E149" s="6" t="n">
        <v>20.57</v>
      </c>
      <c r="F149" s="5" t="n"/>
      <c r="G149" s="5" t="n"/>
      <c r="H149" s="5" t="n"/>
      <c r="I149" s="5" t="n"/>
      <c r="J149" s="7">
        <f>IF(AND(N(F149)&gt;0,N(I149)&gt;0),I149-F149-IF(N(G149)&gt;0,0.5,0)-IF(N(H149)&gt;0,0.5,0),0)</f>
        <v/>
      </c>
      <c r="K149" s="5" t="n"/>
      <c r="L149" s="7">
        <f>MIN(J149,10.0)</f>
        <v/>
      </c>
      <c r="M149" s="7">
        <f>MAX(0,MIN(J149,12)-10.0)</f>
        <v/>
      </c>
      <c r="N149" s="7">
        <f>MAX(0,J149-12)</f>
        <v/>
      </c>
      <c r="O149" s="5" t="n"/>
      <c r="P149" s="6">
        <f>E149*(L149+M149*1.5+N149*2+O149*3+N(K149))</f>
        <v/>
      </c>
      <c r="Q149" s="6" t="n">
        <v>318.83</v>
      </c>
      <c r="R149" s="6">
        <f>Q149-P149</f>
        <v/>
      </c>
    </row>
    <row r="150">
      <c r="P150" s="2" t="inlineStr">
        <is>
          <t>OTHERLABOR LABOR</t>
        </is>
      </c>
      <c r="R150" s="8">
        <f>SUM(R149:R149)</f>
        <v/>
      </c>
    </row>
    <row r="152">
      <c r="B152" s="2" t="inlineStr">
        <is>
          <t>STANDBYLABOR</t>
        </is>
      </c>
    </row>
    <row r="153">
      <c r="A153" s="5" t="inlineStr">
        <is>
          <t>2510</t>
        </is>
      </c>
      <c r="B153" s="5" t="inlineStr"/>
      <c r="C153" s="5" t="inlineStr">
        <is>
          <t>LAYOUTBOARD</t>
        </is>
      </c>
      <c r="D153" s="5" t="inlineStr">
        <is>
          <t>Local729</t>
        </is>
      </c>
      <c r="E153" s="6" t="n">
        <v>25.5</v>
      </c>
      <c r="F153" s="5" t="n"/>
      <c r="G153" s="5" t="n"/>
      <c r="H153" s="5" t="n"/>
      <c r="I153" s="5" t="n"/>
      <c r="J153" s="7">
        <f>IF(AND(N(F153)&gt;0,N(I153)&gt;0),I153-F153-IF(N(G153)&gt;0,0.5,0)-IF(N(H153)&gt;0,0.5,0),0)</f>
        <v/>
      </c>
      <c r="K153" s="5" t="n"/>
      <c r="L153" s="7">
        <f>MIN(J153,10.0)</f>
        <v/>
      </c>
      <c r="M153" s="7">
        <f>MAX(0,MIN(J153,12)-10.0)</f>
        <v/>
      </c>
      <c r="N153" s="7">
        <f>MAX(0,J153-12)</f>
        <v/>
      </c>
      <c r="O153" s="5" t="n"/>
      <c r="P153" s="6">
        <f>E153*(L153+M153*1.5+N153*2+O153*3+N(K153))</f>
        <v/>
      </c>
      <c r="Q153" s="6" t="n">
        <v>395.25</v>
      </c>
      <c r="R153" s="6">
        <f>Q153-P153</f>
        <v/>
      </c>
    </row>
    <row r="154">
      <c r="P154" s="2" t="inlineStr">
        <is>
          <t>STANDBYLABOR LABOR</t>
        </is>
      </c>
      <c r="R154" s="8">
        <f>SUM(R153:R153)</f>
        <v/>
      </c>
    </row>
    <row r="156">
      <c r="B156" s="2" t="inlineStr">
        <is>
          <t>SETCRAFTSERVICELABOR</t>
        </is>
      </c>
    </row>
    <row r="157">
      <c r="A157" s="5" t="inlineStr">
        <is>
          <t>2511</t>
        </is>
      </c>
      <c r="B157" s="5" t="inlineStr">
        <is>
          <t>Maurico Solis</t>
        </is>
      </c>
      <c r="C157" s="5" t="inlineStr">
        <is>
          <t>KEYCRAFTSERVICE</t>
        </is>
      </c>
      <c r="D157" s="5" t="inlineStr">
        <is>
          <t>Local80</t>
        </is>
      </c>
      <c r="E157" s="6" t="n">
        <v>25.5</v>
      </c>
      <c r="F157" s="5" t="n"/>
      <c r="G157" s="5" t="n"/>
      <c r="H157" s="5" t="n"/>
      <c r="I157" s="5" t="n"/>
      <c r="J157" s="7">
        <f>IF(AND(N(F157)&gt;0,N(I157)&gt;0),I157-F157-IF(N(G157)&gt;0,0.5,0)-IF(N(H157)&gt;0,0.5,0),0)</f>
        <v/>
      </c>
      <c r="K157" s="5" t="n"/>
      <c r="L157" s="7">
        <f>MIN(J157,10.0)</f>
        <v/>
      </c>
      <c r="M157" s="7">
        <f>MAX(0,MIN(J157,12)-10.0)</f>
        <v/>
      </c>
      <c r="N157" s="7">
        <f>MAX(0,J157-12)</f>
        <v/>
      </c>
      <c r="O157" s="5" t="n"/>
      <c r="P157" s="6">
        <f>E157*(L157+M157*1.5+N157*2+O157*3+N(K157))</f>
        <v/>
      </c>
      <c r="Q157" s="6" t="n">
        <v>439.87</v>
      </c>
      <c r="R157" s="6">
        <f>Q157-P157</f>
        <v/>
      </c>
    </row>
    <row r="158">
      <c r="A158" s="5" t="inlineStr">
        <is>
          <t>2511</t>
        </is>
      </c>
      <c r="B158" s="5" t="inlineStr"/>
      <c r="C158" s="5" t="inlineStr">
        <is>
          <t>ASSTCRAFTSERVICE</t>
        </is>
      </c>
      <c r="D158" s="5" t="inlineStr">
        <is>
          <t>Local80</t>
        </is>
      </c>
      <c r="E158" s="6" t="n">
        <v>23.04</v>
      </c>
      <c r="F158" s="5" t="n"/>
      <c r="G158" s="5" t="n"/>
      <c r="H158" s="5" t="n"/>
      <c r="I158" s="5" t="n"/>
      <c r="J158" s="7">
        <f>IF(AND(N(F158)&gt;0,N(I158)&gt;0),I158-F158-IF(N(G158)&gt;0,0.5,0)-IF(N(H158)&gt;0,0.5,0),0)</f>
        <v/>
      </c>
      <c r="K158" s="5" t="n"/>
      <c r="L158" s="7">
        <f>MIN(J158,10.0)</f>
        <v/>
      </c>
      <c r="M158" s="7">
        <f>MAX(0,MIN(J158,12)-10.0)</f>
        <v/>
      </c>
      <c r="N158" s="7">
        <f>MAX(0,J158-12)</f>
        <v/>
      </c>
      <c r="O158" s="5" t="n"/>
      <c r="P158" s="6">
        <f>E158*(L158+M158*1.5+N158*2+O158*3+N(K158))</f>
        <v/>
      </c>
      <c r="Q158" s="6" t="n">
        <v>397.43</v>
      </c>
      <c r="R158" s="6">
        <f>Q158-P158</f>
        <v/>
      </c>
    </row>
    <row r="159">
      <c r="P159" s="2" t="inlineStr">
        <is>
          <t>SETCRAFTSERVICELABOR LABOR</t>
        </is>
      </c>
      <c r="R159" s="8">
        <f>SUM(R157:R158)</f>
        <v/>
      </c>
    </row>
    <row r="161">
      <c r="B161" s="2" t="inlineStr">
        <is>
          <t>SETFIRSTAIDLABOR</t>
        </is>
      </c>
    </row>
    <row r="162">
      <c r="A162" s="5" t="inlineStr">
        <is>
          <t>2514</t>
        </is>
      </c>
      <c r="B162" s="5" t="inlineStr">
        <is>
          <t>Robert Hill</t>
        </is>
      </c>
      <c r="C162" s="5" t="inlineStr">
        <is>
          <t>SETMEDIC</t>
        </is>
      </c>
      <c r="D162" s="5" t="inlineStr">
        <is>
          <t>Local80</t>
        </is>
      </c>
      <c r="E162" s="6" t="n">
        <v>23.04</v>
      </c>
      <c r="F162" s="5" t="n"/>
      <c r="G162" s="5" t="n"/>
      <c r="H162" s="5" t="n"/>
      <c r="I162" s="5" t="n"/>
      <c r="J162" s="7">
        <f>IF(AND(N(F162)&gt;0,N(I162)&gt;0),I162-F162-IF(N(G162)&gt;0,0.5,0)-IF(N(H162)&gt;0,0.5,0),0)</f>
        <v/>
      </c>
      <c r="K162" s="5" t="n"/>
      <c r="L162" s="7">
        <f>MIN(J162,10.0)</f>
        <v/>
      </c>
      <c r="M162" s="7">
        <f>MAX(0,MIN(J162,12)-10.0)</f>
        <v/>
      </c>
      <c r="N162" s="7">
        <f>MAX(0,J162-12)</f>
        <v/>
      </c>
      <c r="O162" s="5" t="n"/>
      <c r="P162" s="6">
        <f>E162*(L162+M162*1.5+N162*2+O162*3+N(K162))</f>
        <v/>
      </c>
      <c r="Q162" s="6" t="n">
        <v>397.43</v>
      </c>
      <c r="R162" s="6">
        <f>Q162-P162</f>
        <v/>
      </c>
    </row>
    <row r="163">
      <c r="A163" s="5" t="inlineStr">
        <is>
          <t>2514</t>
        </is>
      </c>
      <c r="B163" s="5" t="inlineStr"/>
      <c r="C163" s="5" t="inlineStr">
        <is>
          <t>RIGGINGMEDICMANDAYS</t>
        </is>
      </c>
      <c r="D163" s="5" t="inlineStr">
        <is>
          <t>Local80</t>
        </is>
      </c>
      <c r="E163" s="6" t="n">
        <v>23.04</v>
      </c>
      <c r="F163" s="5" t="n"/>
      <c r="G163" s="5" t="n"/>
      <c r="H163" s="5" t="n"/>
      <c r="I163" s="5" t="n"/>
      <c r="J163" s="7">
        <f>IF(AND(N(F163)&gt;0,N(I163)&gt;0),I163-F163-IF(N(G163)&gt;0,0.5,0)-IF(N(H163)&gt;0,0.5,0),0)</f>
        <v/>
      </c>
      <c r="K163" s="5" t="n"/>
      <c r="L163" s="7">
        <f>MIN(J163,10.0)</f>
        <v/>
      </c>
      <c r="M163" s="7">
        <f>MAX(0,MIN(J163,12)-10.0)</f>
        <v/>
      </c>
      <c r="N163" s="7">
        <f>MAX(0,J163-12)</f>
        <v/>
      </c>
      <c r="O163" s="5" t="n"/>
      <c r="P163" s="6">
        <f>E163*(L163+M163*1.5+N163*2+O163*3+N(K163))</f>
        <v/>
      </c>
      <c r="Q163" s="5" t="n"/>
      <c r="R163" s="6">
        <f>Q163-P163</f>
        <v/>
      </c>
    </row>
    <row r="164">
      <c r="P164" s="2" t="inlineStr">
        <is>
          <t>SETFIRSTAIDLABOR LABOR</t>
        </is>
      </c>
      <c r="R164" s="8">
        <f>SUM(R162:R163)</f>
        <v/>
      </c>
    </row>
    <row r="166">
      <c r="B166" s="2" t="inlineStr">
        <is>
          <t>SFXCOORDINATOR</t>
        </is>
      </c>
    </row>
    <row r="167">
      <c r="A167" s="5" t="inlineStr">
        <is>
          <t>2601</t>
        </is>
      </c>
      <c r="B167" s="5" t="inlineStr">
        <is>
          <t>Zak Knight</t>
        </is>
      </c>
      <c r="C167" s="5" t="inlineStr">
        <is>
          <t>SPFXCOORDINATOR</t>
        </is>
      </c>
      <c r="D167" s="5" t="inlineStr">
        <is>
          <t>Local44</t>
        </is>
      </c>
      <c r="E167" s="6" t="n">
        <v>42</v>
      </c>
      <c r="F167" s="5" t="n"/>
      <c r="G167" s="5" t="n"/>
      <c r="H167" s="5" t="n"/>
      <c r="I167" s="5" t="n"/>
      <c r="J167" s="7">
        <f>IF(AND(N(F167)&gt;0,N(I167)&gt;0),I167-F167-IF(N(G167)&gt;0,0.5,0)-IF(N(H167)&gt;0,0.5,0),0)</f>
        <v/>
      </c>
      <c r="K167" s="5" t="n"/>
      <c r="L167" s="7">
        <f>MIN(J167,10.0)</f>
        <v/>
      </c>
      <c r="M167" s="7">
        <f>MAX(0,MIN(J167,12)-10.0)</f>
        <v/>
      </c>
      <c r="N167" s="7">
        <f>MAX(0,J167-12)</f>
        <v/>
      </c>
      <c r="O167" s="5" t="n"/>
      <c r="P167" s="6">
        <f>E167*(L167+M167*1.5+N167*2+O167*3+N(K167))</f>
        <v/>
      </c>
      <c r="Q167" s="6" t="n">
        <v>651</v>
      </c>
      <c r="R167" s="6">
        <f>Q167-P167</f>
        <v/>
      </c>
    </row>
    <row r="168">
      <c r="P168" s="2" t="inlineStr">
        <is>
          <t>SFXCOORDINATOR LABOR</t>
        </is>
      </c>
      <c r="R168" s="8">
        <f>SUM(R167:R167)</f>
        <v/>
      </c>
    </row>
    <row r="170">
      <c r="B170" s="2" t="inlineStr">
        <is>
          <t>SFXTECHMANDAYS</t>
        </is>
      </c>
    </row>
    <row r="171">
      <c r="A171" s="5" t="inlineStr">
        <is>
          <t>2609</t>
        </is>
      </c>
      <c r="B171" s="5" t="inlineStr"/>
      <c r="C171" s="5" t="inlineStr">
        <is>
          <t>SPFXTECHMANDAYS</t>
        </is>
      </c>
      <c r="D171" s="5" t="inlineStr">
        <is>
          <t>Local44</t>
        </is>
      </c>
      <c r="E171" s="6" t="n">
        <v>40</v>
      </c>
      <c r="F171" s="5" t="n"/>
      <c r="G171" s="5" t="n"/>
      <c r="H171" s="5" t="n"/>
      <c r="I171" s="5" t="n"/>
      <c r="J171" s="7">
        <f>IF(AND(N(F171)&gt;0,N(I171)&gt;0),I171-F171-IF(N(G171)&gt;0,0.5,0)-IF(N(H171)&gt;0,0.5,0),0)</f>
        <v/>
      </c>
      <c r="K171" s="5" t="n"/>
      <c r="L171" s="7">
        <f>MIN(J171,10.0)</f>
        <v/>
      </c>
      <c r="M171" s="7">
        <f>MAX(0,MIN(J171,12)-10.0)</f>
        <v/>
      </c>
      <c r="N171" s="7">
        <f>MAX(0,J171-12)</f>
        <v/>
      </c>
      <c r="O171" s="5" t="n"/>
      <c r="P171" s="6">
        <f>E171*(L171+M171*1.5+N171*2+O171*3+N(K171))</f>
        <v/>
      </c>
      <c r="Q171" s="6" t="n">
        <v>620</v>
      </c>
      <c r="R171" s="6">
        <f>Q171-P171</f>
        <v/>
      </c>
    </row>
    <row r="172">
      <c r="A172" s="5" t="inlineStr">
        <is>
          <t>2609</t>
        </is>
      </c>
      <c r="B172" s="5" t="inlineStr"/>
      <c r="C172" s="5" t="inlineStr">
        <is>
          <t>SPFXASSISTANTMANDAYS</t>
        </is>
      </c>
      <c r="D172" s="5" t="inlineStr">
        <is>
          <t>Local44</t>
        </is>
      </c>
      <c r="E172" s="6" t="n">
        <v>25.5</v>
      </c>
      <c r="F172" s="5" t="n"/>
      <c r="G172" s="5" t="n"/>
      <c r="H172" s="5" t="n"/>
      <c r="I172" s="5" t="n"/>
      <c r="J172" s="7">
        <f>IF(AND(N(F172)&gt;0,N(I172)&gt;0),I172-F172-IF(N(G172)&gt;0,0.5,0)-IF(N(H172)&gt;0,0.5,0),0)</f>
        <v/>
      </c>
      <c r="K172" s="5" t="n"/>
      <c r="L172" s="7">
        <f>MIN(J172,10.0)</f>
        <v/>
      </c>
      <c r="M172" s="7">
        <f>MAX(0,MIN(J172,12)-10.0)</f>
        <v/>
      </c>
      <c r="N172" s="7">
        <f>MAX(0,J172-12)</f>
        <v/>
      </c>
      <c r="O172" s="5" t="n"/>
      <c r="P172" s="6">
        <f>E172*(L172+M172*1.5+N172*2+O172*3+N(K172))</f>
        <v/>
      </c>
      <c r="Q172" s="6" t="n">
        <v>395.25</v>
      </c>
      <c r="R172" s="6">
        <f>Q172-P172</f>
        <v/>
      </c>
    </row>
    <row r="173">
      <c r="A173" s="5" t="inlineStr">
        <is>
          <t>2609</t>
        </is>
      </c>
      <c r="B173" s="5" t="inlineStr"/>
      <c r="C173" s="5" t="inlineStr">
        <is>
          <t>PYROMANDAYS</t>
        </is>
      </c>
      <c r="D173" s="5" t="inlineStr">
        <is>
          <t>Local44</t>
        </is>
      </c>
      <c r="E173" s="6" t="n">
        <v>68.18000000000001</v>
      </c>
      <c r="F173" s="5" t="n"/>
      <c r="G173" s="5" t="n"/>
      <c r="H173" s="5" t="n"/>
      <c r="I173" s="5" t="n"/>
      <c r="J173" s="7">
        <f>IF(AND(N(F173)&gt;0,N(I173)&gt;0),I173-F173-IF(N(G173)&gt;0,0.5,0)-IF(N(H173)&gt;0,0.5,0),0)</f>
        <v/>
      </c>
      <c r="K173" s="5" t="n"/>
      <c r="L173" s="7">
        <f>MIN(J173,10.0)</f>
        <v/>
      </c>
      <c r="M173" s="7">
        <f>MAX(0,MIN(J173,12)-10.0)</f>
        <v/>
      </c>
      <c r="N173" s="7">
        <f>MAX(0,J173-12)</f>
        <v/>
      </c>
      <c r="O173" s="5" t="n"/>
      <c r="P173" s="6">
        <f>E173*(L173+M173*1.5+N173*2+O173*3+N(K173))</f>
        <v/>
      </c>
      <c r="Q173" s="6" t="n">
        <v>749.98</v>
      </c>
      <c r="R173" s="6">
        <f>Q173-P173</f>
        <v/>
      </c>
    </row>
    <row r="174">
      <c r="P174" s="2" t="inlineStr">
        <is>
          <t>SFXTECHMANDAYS LABOR</t>
        </is>
      </c>
      <c r="R174" s="8">
        <f>SUM(R171:R173)</f>
        <v/>
      </c>
    </row>
    <row r="176">
      <c r="B176" s="2" t="inlineStr">
        <is>
          <t>SETDECORATOR</t>
        </is>
      </c>
    </row>
    <row r="177">
      <c r="A177" s="5" t="inlineStr">
        <is>
          <t>2701</t>
        </is>
      </c>
      <c r="B177" s="5" t="inlineStr">
        <is>
          <t>Sandy Skora</t>
        </is>
      </c>
      <c r="C177" s="5" t="inlineStr">
        <is>
          <t>SETDECORATOR</t>
        </is>
      </c>
      <c r="D177" s="5" t="inlineStr">
        <is>
          <t>Local44</t>
        </is>
      </c>
      <c r="E177" s="6" t="n">
        <v>400</v>
      </c>
      <c r="F177" s="5" t="n"/>
      <c r="G177" s="5" t="n"/>
      <c r="H177" s="5" t="n"/>
      <c r="I177" s="5" t="n"/>
      <c r="J177" s="7">
        <f>IF(AND(N(F177)&gt;0,N(I177)&gt;0),I177-F177-IF(N(G177)&gt;0,0.5,0)-IF(N(H177)&gt;0,0.5,0),0)</f>
        <v/>
      </c>
      <c r="K177" s="5" t="n"/>
      <c r="L177" s="7">
        <f>MIN(J177,10.0)</f>
        <v/>
      </c>
      <c r="M177" s="7">
        <f>MAX(0,MIN(J177,12)-10.0)</f>
        <v/>
      </c>
      <c r="N177" s="7">
        <f>MAX(0,J177-12)</f>
        <v/>
      </c>
      <c r="O177" s="5" t="n"/>
      <c r="P177" s="6">
        <f>E177*(L177+M177*1.5+N177*2+O177*3+N(K177))</f>
        <v/>
      </c>
      <c r="Q177" s="6" t="n">
        <v>400</v>
      </c>
      <c r="R177" s="6">
        <f>Q177-P177</f>
        <v/>
      </c>
    </row>
    <row r="178">
      <c r="P178" s="2" t="inlineStr">
        <is>
          <t>SETDECORATOR LABOR</t>
        </is>
      </c>
      <c r="R178" s="8">
        <f>SUM(R177:R177)</f>
        <v/>
      </c>
    </row>
    <row r="180">
      <c r="B180" s="2" t="inlineStr">
        <is>
          <t>LEADPERSON</t>
        </is>
      </c>
    </row>
    <row r="181">
      <c r="A181" s="5" t="inlineStr">
        <is>
          <t>2702</t>
        </is>
      </c>
      <c r="B181" s="5" t="inlineStr">
        <is>
          <t>Josh Richmond</t>
        </is>
      </c>
      <c r="C181" s="5" t="inlineStr">
        <is>
          <t>LEADPERSON</t>
        </is>
      </c>
      <c r="D181" s="5" t="inlineStr">
        <is>
          <t>Local44</t>
        </is>
      </c>
      <c r="E181" s="6" t="n">
        <v>23.04</v>
      </c>
      <c r="F181" s="5" t="n"/>
      <c r="G181" s="5" t="n"/>
      <c r="H181" s="5" t="n"/>
      <c r="I181" s="5" t="n"/>
      <c r="J181" s="7">
        <f>IF(AND(N(F181)&gt;0,N(I181)&gt;0),I181-F181-IF(N(G181)&gt;0,0.5,0)-IF(N(H181)&gt;0,0.5,0),0)</f>
        <v/>
      </c>
      <c r="K181" s="5" t="n"/>
      <c r="L181" s="7">
        <f>MIN(J181,10.0)</f>
        <v/>
      </c>
      <c r="M181" s="7">
        <f>MAX(0,MIN(J181,12)-10.0)</f>
        <v/>
      </c>
      <c r="N181" s="7">
        <f>MAX(0,J181-12)</f>
        <v/>
      </c>
      <c r="O181" s="5" t="n"/>
      <c r="P181" s="6">
        <f>E181*(L181+M181*1.5+N181*2+O181*3+N(K181))</f>
        <v/>
      </c>
      <c r="Q181" s="6" t="n">
        <v>322.56</v>
      </c>
      <c r="R181" s="6">
        <f>Q181-P181</f>
        <v/>
      </c>
    </row>
    <row r="182">
      <c r="P182" s="2" t="inlineStr">
        <is>
          <t>LEADPERSON LABOR</t>
        </is>
      </c>
      <c r="R182" s="8">
        <f>SUM(R181:R181)</f>
        <v/>
      </c>
    </row>
    <row r="184">
      <c r="B184" s="2" t="inlineStr">
        <is>
          <t>SWINGLABOR</t>
        </is>
      </c>
    </row>
    <row r="185">
      <c r="A185" s="5" t="inlineStr">
        <is>
          <t>2703</t>
        </is>
      </c>
      <c r="B185" s="5" t="inlineStr">
        <is>
          <t>Tim Dodge</t>
        </is>
      </c>
      <c r="C185" s="5" t="inlineStr">
        <is>
          <t>SWING#1</t>
        </is>
      </c>
      <c r="D185" s="5" t="inlineStr">
        <is>
          <t>Local44</t>
        </is>
      </c>
      <c r="E185" s="6" t="n">
        <v>20.57</v>
      </c>
      <c r="F185" s="5" t="n"/>
      <c r="G185" s="5" t="n"/>
      <c r="H185" s="5" t="n"/>
      <c r="I185" s="5" t="n"/>
      <c r="J185" s="7">
        <f>IF(AND(N(F185)&gt;0,N(I185)&gt;0),I185-F185-IF(N(G185)&gt;0,0.5,0)-IF(N(H185)&gt;0,0.5,0),0)</f>
        <v/>
      </c>
      <c r="K185" s="5" t="n"/>
      <c r="L185" s="7">
        <f>MIN(J185,10.0)</f>
        <v/>
      </c>
      <c r="M185" s="7">
        <f>MAX(0,MIN(J185,12)-10.0)</f>
        <v/>
      </c>
      <c r="N185" s="7">
        <f>MAX(0,J185-12)</f>
        <v/>
      </c>
      <c r="O185" s="5" t="n"/>
      <c r="P185" s="6">
        <f>E185*(L185+M185*1.5+N185*2+O185*3+N(K185))</f>
        <v/>
      </c>
      <c r="Q185" s="6" t="n">
        <v>287.98</v>
      </c>
      <c r="R185" s="6">
        <f>Q185-P185</f>
        <v/>
      </c>
    </row>
    <row r="186">
      <c r="A186" s="5" t="inlineStr">
        <is>
          <t>2703</t>
        </is>
      </c>
      <c r="B186" s="5" t="inlineStr"/>
      <c r="C186" s="5" t="inlineStr">
        <is>
          <t>SWING#2</t>
        </is>
      </c>
      <c r="D186" s="5" t="inlineStr">
        <is>
          <t>Local44</t>
        </is>
      </c>
      <c r="E186" s="6" t="n">
        <v>20.57</v>
      </c>
      <c r="F186" s="5" t="n"/>
      <c r="G186" s="5" t="n"/>
      <c r="H186" s="5" t="n"/>
      <c r="I186" s="5" t="n"/>
      <c r="J186" s="7">
        <f>IF(AND(N(F186)&gt;0,N(I186)&gt;0),I186-F186-IF(N(G186)&gt;0,0.5,0)-IF(N(H186)&gt;0,0.5,0),0)</f>
        <v/>
      </c>
      <c r="K186" s="5" t="n"/>
      <c r="L186" s="7">
        <f>MIN(J186,10.0)</f>
        <v/>
      </c>
      <c r="M186" s="7">
        <f>MAX(0,MIN(J186,12)-10.0)</f>
        <v/>
      </c>
      <c r="N186" s="7">
        <f>MAX(0,J186-12)</f>
        <v/>
      </c>
      <c r="O186" s="5" t="n"/>
      <c r="P186" s="6">
        <f>E186*(L186+M186*1.5+N186*2+O186*3+N(K186))</f>
        <v/>
      </c>
      <c r="Q186" s="6" t="n">
        <v>287.98</v>
      </c>
      <c r="R186" s="6">
        <f>Q186-P186</f>
        <v/>
      </c>
    </row>
    <row r="187">
      <c r="A187" s="5" t="inlineStr">
        <is>
          <t>2703</t>
        </is>
      </c>
      <c r="B187" s="5" t="inlineStr"/>
      <c r="C187" s="5" t="inlineStr">
        <is>
          <t>ADDITIONALSWINGMANDAYS</t>
        </is>
      </c>
      <c r="D187" s="5" t="inlineStr">
        <is>
          <t>Local44</t>
        </is>
      </c>
      <c r="E187" s="6" t="n">
        <v>20.57</v>
      </c>
      <c r="F187" s="5" t="n"/>
      <c r="G187" s="5" t="n"/>
      <c r="H187" s="5" t="n"/>
      <c r="I187" s="5" t="n"/>
      <c r="J187" s="7">
        <f>IF(AND(N(F187)&gt;0,N(I187)&gt;0),I187-F187-IF(N(G187)&gt;0,0.5,0)-IF(N(H187)&gt;0,0.5,0),0)</f>
        <v/>
      </c>
      <c r="K187" s="5" t="n"/>
      <c r="L187" s="7">
        <f>MIN(J187,10.0)</f>
        <v/>
      </c>
      <c r="M187" s="7">
        <f>MAX(0,MIN(J187,12)-10.0)</f>
        <v/>
      </c>
      <c r="N187" s="7">
        <f>MAX(0,J187-12)</f>
        <v/>
      </c>
      <c r="O187" s="5" t="n"/>
      <c r="P187" s="6">
        <f>E187*(L187+M187*1.5+N187*2+O187*3+N(K187))</f>
        <v/>
      </c>
      <c r="Q187" s="6" t="n">
        <v>287.98</v>
      </c>
      <c r="R187" s="6">
        <f>Q187-P187</f>
        <v/>
      </c>
    </row>
    <row r="188">
      <c r="P188" s="2" t="inlineStr">
        <is>
          <t>SWINGLABOR LABOR</t>
        </is>
      </c>
      <c r="R188" s="8">
        <f>SUM(R185:R187)</f>
        <v/>
      </c>
    </row>
    <row r="190">
      <c r="B190" s="2" t="inlineStr">
        <is>
          <t>ON-SETDRESSER</t>
        </is>
      </c>
    </row>
    <row r="191">
      <c r="A191" s="5" t="inlineStr">
        <is>
          <t>2705</t>
        </is>
      </c>
      <c r="B191" s="5" t="inlineStr">
        <is>
          <t>Khamisi Thurman</t>
        </is>
      </c>
      <c r="C191" s="5" t="inlineStr">
        <is>
          <t>ON-SETDRESSER</t>
        </is>
      </c>
      <c r="D191" s="5" t="inlineStr">
        <is>
          <t>Local44</t>
        </is>
      </c>
      <c r="E191" s="6" t="n">
        <v>20.57</v>
      </c>
      <c r="F191" s="5" t="n"/>
      <c r="G191" s="5" t="n"/>
      <c r="H191" s="5" t="n"/>
      <c r="I191" s="5" t="n"/>
      <c r="J191" s="7">
        <f>IF(AND(N(F191)&gt;0,N(I191)&gt;0),I191-F191-IF(N(G191)&gt;0,0.5,0)-IF(N(H191)&gt;0,0.5,0),0)</f>
        <v/>
      </c>
      <c r="K191" s="5" t="n"/>
      <c r="L191" s="7">
        <f>MIN(J191,10.0)</f>
        <v/>
      </c>
      <c r="M191" s="7">
        <f>MAX(0,MIN(J191,12)-10.0)</f>
        <v/>
      </c>
      <c r="N191" s="7">
        <f>MAX(0,J191-12)</f>
        <v/>
      </c>
      <c r="O191" s="5" t="n"/>
      <c r="P191" s="6">
        <f>E191*(L191+M191*1.5+N191*2+O191*3+N(K191))</f>
        <v/>
      </c>
      <c r="Q191" s="6" t="n">
        <v>318.83</v>
      </c>
      <c r="R191" s="6">
        <f>Q191-P191</f>
        <v/>
      </c>
    </row>
    <row r="192">
      <c r="P192" s="2" t="inlineStr">
        <is>
          <t>ON-SETDRESSER LABOR</t>
        </is>
      </c>
      <c r="R192" s="8">
        <f>SUM(R191:R191)</f>
        <v/>
      </c>
    </row>
    <row r="194">
      <c r="B194" s="2" t="inlineStr">
        <is>
          <t>BUYERS</t>
        </is>
      </c>
    </row>
    <row r="195">
      <c r="A195" s="5" t="inlineStr">
        <is>
          <t>2706</t>
        </is>
      </c>
      <c r="B195" s="5" t="inlineStr">
        <is>
          <t>Sarah Hickman</t>
        </is>
      </c>
      <c r="C195" s="5" t="inlineStr">
        <is>
          <t>BUYER</t>
        </is>
      </c>
      <c r="D195" s="5" t="inlineStr">
        <is>
          <t>Local44</t>
        </is>
      </c>
      <c r="E195" s="6" t="n">
        <v>23.04</v>
      </c>
      <c r="F195" s="5" t="n"/>
      <c r="G195" s="5" t="n"/>
      <c r="H195" s="5" t="n"/>
      <c r="I195" s="5" t="n"/>
      <c r="J195" s="7">
        <f>IF(AND(N(F195)&gt;0,N(I195)&gt;0),I195-F195-IF(N(G195)&gt;0,0.5,0)-IF(N(H195)&gt;0,0.5,0),0)</f>
        <v/>
      </c>
      <c r="K195" s="5" t="n"/>
      <c r="L195" s="7">
        <f>MIN(J195,10.0)</f>
        <v/>
      </c>
      <c r="M195" s="7">
        <f>MAX(0,MIN(J195,12)-10.0)</f>
        <v/>
      </c>
      <c r="N195" s="7">
        <f>MAX(0,J195-12)</f>
        <v/>
      </c>
      <c r="O195" s="5" t="n"/>
      <c r="P195" s="6">
        <f>E195*(L195+M195*1.5+N195*2+O195*3+N(K195))</f>
        <v/>
      </c>
      <c r="Q195" s="5" t="n"/>
      <c r="R195" s="6">
        <f>Q195-P195</f>
        <v/>
      </c>
    </row>
    <row r="196">
      <c r="P196" s="2" t="inlineStr">
        <is>
          <t>BUYERS LABOR</t>
        </is>
      </c>
      <c r="R196" s="8">
        <f>SUM(R195:R195)</f>
        <v/>
      </c>
    </row>
    <row r="198">
      <c r="B198" s="2" t="inlineStr">
        <is>
          <t>PROPMASTER</t>
        </is>
      </c>
    </row>
    <row r="199">
      <c r="A199" s="5" t="inlineStr">
        <is>
          <t>2801</t>
        </is>
      </c>
      <c r="B199" s="5" t="inlineStr">
        <is>
          <t>Annie Brandt</t>
        </is>
      </c>
      <c r="C199" s="5" t="inlineStr">
        <is>
          <t>PROPMASTER</t>
        </is>
      </c>
      <c r="D199" s="5" t="inlineStr">
        <is>
          <t>Local44</t>
        </is>
      </c>
      <c r="E199" s="6" t="n">
        <v>25.5</v>
      </c>
      <c r="F199" s="5" t="n"/>
      <c r="G199" s="5" t="n"/>
      <c r="H199" s="5" t="n"/>
      <c r="I199" s="5" t="n"/>
      <c r="J199" s="7">
        <f>IF(AND(N(F199)&gt;0,N(I199)&gt;0),I199-F199-IF(N(G199)&gt;0,0.5,0)-IF(N(H199)&gt;0,0.5,0),0)</f>
        <v/>
      </c>
      <c r="K199" s="5" t="n"/>
      <c r="L199" s="7">
        <f>MIN(J199,10.0)</f>
        <v/>
      </c>
      <c r="M199" s="7">
        <f>MAX(0,MIN(J199,12)-10.0)</f>
        <v/>
      </c>
      <c r="N199" s="7">
        <f>MAX(0,J199-12)</f>
        <v/>
      </c>
      <c r="O199" s="5" t="n"/>
      <c r="P199" s="6">
        <f>E199*(L199+M199*1.5+N199*2+O199*3+N(K199))</f>
        <v/>
      </c>
      <c r="Q199" s="6" t="n">
        <v>395.25</v>
      </c>
      <c r="R199" s="6">
        <f>Q199-P199</f>
        <v/>
      </c>
    </row>
    <row r="200">
      <c r="P200" s="2" t="inlineStr">
        <is>
          <t>PROPMASTER LABOR</t>
        </is>
      </c>
      <c r="R200" s="8">
        <f>SUM(R199:R199)</f>
        <v/>
      </c>
    </row>
    <row r="202">
      <c r="B202" s="2" t="inlineStr">
        <is>
          <t>ASSTPROPMASTER</t>
        </is>
      </c>
    </row>
    <row r="203">
      <c r="A203" s="5" t="inlineStr">
        <is>
          <t>2802</t>
        </is>
      </c>
      <c r="B203" s="5" t="inlineStr">
        <is>
          <t>Nate Bakes</t>
        </is>
      </c>
      <c r="C203" s="5" t="inlineStr">
        <is>
          <t>ASSTPROPMASTER</t>
        </is>
      </c>
      <c r="D203" s="5" t="inlineStr">
        <is>
          <t>Local44</t>
        </is>
      </c>
      <c r="E203" s="6" t="n">
        <v>23.04</v>
      </c>
      <c r="F203" s="5" t="n"/>
      <c r="G203" s="5" t="n"/>
      <c r="H203" s="5" t="n"/>
      <c r="I203" s="5" t="n"/>
      <c r="J203" s="7">
        <f>IF(AND(N(F203)&gt;0,N(I203)&gt;0),I203-F203-IF(N(G203)&gt;0,0.5,0)-IF(N(H203)&gt;0,0.5,0),0)</f>
        <v/>
      </c>
      <c r="K203" s="5" t="n"/>
      <c r="L203" s="7">
        <f>MIN(J203,10.0)</f>
        <v/>
      </c>
      <c r="M203" s="7">
        <f>MAX(0,MIN(J203,12)-10.0)</f>
        <v/>
      </c>
      <c r="N203" s="7">
        <f>MAX(0,J203-12)</f>
        <v/>
      </c>
      <c r="O203" s="5" t="n"/>
      <c r="P203" s="6">
        <f>E203*(L203+M203*1.5+N203*2+O203*3+N(K203))</f>
        <v/>
      </c>
      <c r="Q203" s="6" t="n">
        <v>357.12</v>
      </c>
      <c r="R203" s="6">
        <f>Q203-P203</f>
        <v/>
      </c>
    </row>
    <row r="204">
      <c r="P204" s="2" t="inlineStr">
        <is>
          <t>ASSTPROPMASTER LABOR</t>
        </is>
      </c>
      <c r="R204" s="8">
        <f>SUM(R203:R203)</f>
        <v/>
      </c>
    </row>
    <row r="206">
      <c r="B206" s="2" t="inlineStr">
        <is>
          <t>COSTUMEDESIGNER</t>
        </is>
      </c>
    </row>
    <row r="207">
      <c r="A207" s="5" t="inlineStr">
        <is>
          <t>2901</t>
        </is>
      </c>
      <c r="B207" s="5" t="inlineStr">
        <is>
          <t>Megan Spatz</t>
        </is>
      </c>
      <c r="C207" s="5" t="inlineStr">
        <is>
          <t>COSTUMEDESIGNER</t>
        </is>
      </c>
      <c r="D207" s="5" t="inlineStr">
        <is>
          <t>Local892</t>
        </is>
      </c>
      <c r="E207" s="6" t="n">
        <v>540</v>
      </c>
      <c r="F207" s="5" t="n"/>
      <c r="G207" s="5" t="n"/>
      <c r="H207" s="5" t="n"/>
      <c r="I207" s="5" t="n"/>
      <c r="J207" s="7">
        <f>IF(AND(N(F207)&gt;0,N(I207)&gt;0),I207-F207-IF(N(G207)&gt;0,0.5,0)-IF(N(H207)&gt;0,0.5,0),0)</f>
        <v/>
      </c>
      <c r="K207" s="5" t="n"/>
      <c r="L207" s="7">
        <f>MIN(J207,8.0)</f>
        <v/>
      </c>
      <c r="M207" s="7">
        <f>MAX(0,MIN(J207,12)-8.0)</f>
        <v/>
      </c>
      <c r="N207" s="7">
        <f>MAX(0,J207-12)</f>
        <v/>
      </c>
      <c r="O207" s="5" t="n"/>
      <c r="P207" s="6">
        <f>E207*(L207+M207*1.5+N207*2+O207*3+N(K207))</f>
        <v/>
      </c>
      <c r="Q207" s="6" t="n">
        <v>540</v>
      </c>
      <c r="R207" s="6">
        <f>Q207-P207</f>
        <v/>
      </c>
    </row>
    <row r="208">
      <c r="P208" s="2" t="inlineStr">
        <is>
          <t>COSTUMEDESIGNER LABOR</t>
        </is>
      </c>
      <c r="R208" s="8">
        <f>SUM(R207:R207)</f>
        <v/>
      </c>
    </row>
    <row r="210">
      <c r="B210" s="2" t="inlineStr">
        <is>
          <t>COSTUMESUPERVISOR</t>
        </is>
      </c>
    </row>
    <row r="211">
      <c r="A211" s="5" t="inlineStr">
        <is>
          <t>2903</t>
        </is>
      </c>
      <c r="B211" s="5" t="inlineStr">
        <is>
          <t>Danielle Schuck</t>
        </is>
      </c>
      <c r="C211" s="5" t="inlineStr">
        <is>
          <t>COSTUMESUPERVISOR</t>
        </is>
      </c>
      <c r="D211" s="5" t="inlineStr">
        <is>
          <t>Local705</t>
        </is>
      </c>
      <c r="E211" s="6" t="n">
        <v>25.5</v>
      </c>
      <c r="F211" s="5" t="n"/>
      <c r="G211" s="5" t="n"/>
      <c r="H211" s="5" t="n"/>
      <c r="I211" s="5" t="n"/>
      <c r="J211" s="7">
        <f>IF(AND(N(F211)&gt;0,N(I211)&gt;0),I211-F211-IF(N(G211)&gt;0,0.5,0)-IF(N(H211)&gt;0,0.5,0),0)</f>
        <v/>
      </c>
      <c r="K211" s="5" t="n"/>
      <c r="L211" s="7">
        <f>MIN(J211,8.0)</f>
        <v/>
      </c>
      <c r="M211" s="7">
        <f>MAX(0,MIN(J211,12)-8.0)</f>
        <v/>
      </c>
      <c r="N211" s="7">
        <f>MAX(0,J211-12)</f>
        <v/>
      </c>
      <c r="O211" s="5" t="n"/>
      <c r="P211" s="6">
        <f>E211*(L211+M211*1.5+N211*2+O211*3+N(K211))</f>
        <v/>
      </c>
      <c r="Q211" s="6" t="n">
        <v>395.25</v>
      </c>
      <c r="R211" s="6">
        <f>Q211-P211</f>
        <v/>
      </c>
    </row>
    <row r="212">
      <c r="P212" s="2" t="inlineStr">
        <is>
          <t>COSTUMESUPERVISOR LABOR</t>
        </is>
      </c>
      <c r="R212" s="8">
        <f>SUM(R211:R211)</f>
        <v/>
      </c>
    </row>
    <row r="214">
      <c r="B214" s="2" t="inlineStr">
        <is>
          <t>SETCOSTUMERS</t>
        </is>
      </c>
    </row>
    <row r="215">
      <c r="A215" s="5" t="inlineStr">
        <is>
          <t>2905</t>
        </is>
      </c>
      <c r="B215" s="5" t="inlineStr">
        <is>
          <t>Monavie Tutop</t>
        </is>
      </c>
      <c r="C215" s="5" t="inlineStr">
        <is>
          <t>COSTUMER#1</t>
        </is>
      </c>
      <c r="D215" s="5" t="inlineStr">
        <is>
          <t>Local705</t>
        </is>
      </c>
      <c r="E215" s="6" t="n">
        <v>23.04</v>
      </c>
      <c r="F215" s="5" t="n"/>
      <c r="G215" s="5" t="n"/>
      <c r="H215" s="5" t="n"/>
      <c r="I215" s="5" t="n"/>
      <c r="J215" s="7">
        <f>IF(AND(N(F215)&gt;0,N(I215)&gt;0),I215-F215-IF(N(G215)&gt;0,0.5,0)-IF(N(H215)&gt;0,0.5,0),0)</f>
        <v/>
      </c>
      <c r="K215" s="5" t="n"/>
      <c r="L215" s="7">
        <f>MIN(J215,8.0)</f>
        <v/>
      </c>
      <c r="M215" s="7">
        <f>MAX(0,MIN(J215,12)-8.0)</f>
        <v/>
      </c>
      <c r="N215" s="7">
        <f>MAX(0,J215-12)</f>
        <v/>
      </c>
      <c r="O215" s="5" t="n"/>
      <c r="P215" s="6">
        <f>E215*(L215+M215*1.5+N215*2+O215*3+N(K215))</f>
        <v/>
      </c>
      <c r="Q215" s="6" t="n">
        <v>397.43</v>
      </c>
      <c r="R215" s="6">
        <f>Q215-P215</f>
        <v/>
      </c>
    </row>
    <row r="216">
      <c r="A216" s="5" t="inlineStr">
        <is>
          <t>2905</t>
        </is>
      </c>
      <c r="B216" s="5" t="inlineStr"/>
      <c r="C216" s="5" t="inlineStr">
        <is>
          <t>COSTUMER#2</t>
        </is>
      </c>
      <c r="D216" s="5" t="inlineStr">
        <is>
          <t>Local705</t>
        </is>
      </c>
      <c r="E216" s="6" t="n">
        <v>20.57</v>
      </c>
      <c r="F216" s="5" t="n"/>
      <c r="G216" s="5" t="n"/>
      <c r="H216" s="5" t="n"/>
      <c r="I216" s="5" t="n"/>
      <c r="J216" s="7">
        <f>IF(AND(N(F216)&gt;0,N(I216)&gt;0),I216-F216-IF(N(G216)&gt;0,0.5,0)-IF(N(H216)&gt;0,0.5,0),0)</f>
        <v/>
      </c>
      <c r="K216" s="5" t="n"/>
      <c r="L216" s="7">
        <f>MIN(J216,8.0)</f>
        <v/>
      </c>
      <c r="M216" s="7">
        <f>MAX(0,MIN(J216,12)-8.0)</f>
        <v/>
      </c>
      <c r="N216" s="7">
        <f>MAX(0,J216-12)</f>
        <v/>
      </c>
      <c r="O216" s="5" t="n"/>
      <c r="P216" s="6">
        <f>E216*(L216+M216*1.5+N216*2+O216*3+N(K216))</f>
        <v/>
      </c>
      <c r="Q216" s="6" t="n">
        <v>354.83</v>
      </c>
      <c r="R216" s="6">
        <f>Q216-P216</f>
        <v/>
      </c>
    </row>
    <row r="217">
      <c r="P217" s="2" t="inlineStr">
        <is>
          <t>SETCOSTUMERS LABOR</t>
        </is>
      </c>
      <c r="R217" s="8">
        <f>SUM(R215:R216)</f>
        <v/>
      </c>
    </row>
    <row r="219">
      <c r="B219" s="2" t="inlineStr">
        <is>
          <t>KEYMAKE-UP</t>
        </is>
      </c>
    </row>
    <row r="220">
      <c r="A220" s="5" t="inlineStr">
        <is>
          <t>3101</t>
        </is>
      </c>
      <c r="B220" s="5" t="inlineStr">
        <is>
          <t>Eleanor Sabaduquia</t>
        </is>
      </c>
      <c r="C220" s="5" t="inlineStr">
        <is>
          <t>KEYMAKEUPARTIST</t>
        </is>
      </c>
      <c r="D220" s="5" t="inlineStr">
        <is>
          <t>Local706</t>
        </is>
      </c>
      <c r="E220" s="6" t="n">
        <v>25.5</v>
      </c>
      <c r="F220" s="5" t="n"/>
      <c r="G220" s="5" t="n"/>
      <c r="H220" s="5" t="n"/>
      <c r="I220" s="5" t="n"/>
      <c r="J220" s="7">
        <f>IF(AND(N(F220)&gt;0,N(I220)&gt;0),I220-F220-IF(N(G220)&gt;0,0.5,0)-IF(N(H220)&gt;0,0.5,0),0)</f>
        <v/>
      </c>
      <c r="K220" s="5" t="n"/>
      <c r="L220" s="7">
        <f>MIN(J220,10.0)</f>
        <v/>
      </c>
      <c r="M220" s="7">
        <f>MAX(0,MIN(J220,12)-10.0)</f>
        <v/>
      </c>
      <c r="N220" s="7">
        <f>MAX(0,J220-12)</f>
        <v/>
      </c>
      <c r="O220" s="5" t="n"/>
      <c r="P220" s="6">
        <f>E220*(L220+M220*1.5+N220*2+O220*3+N(K220))</f>
        <v/>
      </c>
      <c r="Q220" s="6" t="n">
        <v>439.87</v>
      </c>
      <c r="R220" s="6">
        <f>Q220-P220</f>
        <v/>
      </c>
    </row>
    <row r="221">
      <c r="P221" s="2" t="inlineStr">
        <is>
          <t>KEYMAKE-UP LABOR</t>
        </is>
      </c>
      <c r="R221" s="8">
        <f>SUM(R220:R220)</f>
        <v/>
      </c>
    </row>
    <row r="223">
      <c r="B223" s="2" t="inlineStr">
        <is>
          <t>ASSTMAKE-UP</t>
        </is>
      </c>
    </row>
    <row r="224">
      <c r="A224" s="5" t="inlineStr">
        <is>
          <t>3102</t>
        </is>
      </c>
      <c r="B224" s="5" t="inlineStr">
        <is>
          <t>Yoko Nobushi</t>
        </is>
      </c>
      <c r="C224" s="5" t="inlineStr">
        <is>
          <t>ASSTMAKEUPARTIST#1</t>
        </is>
      </c>
      <c r="D224" s="5" t="inlineStr">
        <is>
          <t>Local706</t>
        </is>
      </c>
      <c r="E224" s="6" t="n">
        <v>23.04</v>
      </c>
      <c r="F224" s="5" t="n"/>
      <c r="G224" s="5" t="n"/>
      <c r="H224" s="5" t="n"/>
      <c r="I224" s="5" t="n"/>
      <c r="J224" s="7">
        <f>IF(AND(N(F224)&gt;0,N(I224)&gt;0),I224-F224-IF(N(G224)&gt;0,0.5,0)-IF(N(H224)&gt;0,0.5,0),0)</f>
        <v/>
      </c>
      <c r="K224" s="5" t="n"/>
      <c r="L224" s="7">
        <f>MIN(J224,10.0)</f>
        <v/>
      </c>
      <c r="M224" s="7">
        <f>MAX(0,MIN(J224,12)-10.0)</f>
        <v/>
      </c>
      <c r="N224" s="7">
        <f>MAX(0,J224-12)</f>
        <v/>
      </c>
      <c r="O224" s="5" t="n"/>
      <c r="P224" s="6">
        <f>E224*(L224+M224*1.5+N224*2+O224*3+N(K224))</f>
        <v/>
      </c>
      <c r="Q224" s="6" t="n">
        <v>397.43</v>
      </c>
      <c r="R224" s="6">
        <f>Q224-P224</f>
        <v/>
      </c>
    </row>
    <row r="225">
      <c r="P225" s="2" t="inlineStr">
        <is>
          <t>ASSTMAKE-UP LABOR</t>
        </is>
      </c>
      <c r="R225" s="8">
        <f>SUM(R224:R224)</f>
        <v/>
      </c>
    </row>
    <row r="227">
      <c r="B227" s="2" t="inlineStr">
        <is>
          <t>ADDITIONALMAKE-UPLABOR</t>
        </is>
      </c>
    </row>
    <row r="228">
      <c r="A228" s="5" t="inlineStr">
        <is>
          <t>3103</t>
        </is>
      </c>
      <c r="B228" s="5" t="inlineStr"/>
      <c r="C228" s="5" t="inlineStr">
        <is>
          <t>ADDLMAKEUPARTISTDAYS</t>
        </is>
      </c>
      <c r="D228" s="5" t="inlineStr">
        <is>
          <t>Local706</t>
        </is>
      </c>
      <c r="E228" s="6" t="n">
        <v>23.04</v>
      </c>
      <c r="F228" s="5" t="n"/>
      <c r="G228" s="5" t="n"/>
      <c r="H228" s="5" t="n"/>
      <c r="I228" s="5" t="n"/>
      <c r="J228" s="7">
        <f>IF(AND(N(F228)&gt;0,N(I228)&gt;0),I228-F228-IF(N(G228)&gt;0,0.5,0)-IF(N(H228)&gt;0,0.5,0),0)</f>
        <v/>
      </c>
      <c r="K228" s="5" t="n"/>
      <c r="L228" s="7">
        <f>MIN(J228,10.0)</f>
        <v/>
      </c>
      <c r="M228" s="7">
        <f>MAX(0,MIN(J228,12)-10.0)</f>
        <v/>
      </c>
      <c r="N228" s="7">
        <f>MAX(0,J228-12)</f>
        <v/>
      </c>
      <c r="O228" s="5" t="n"/>
      <c r="P228" s="6">
        <f>E228*(L228+M228*1.5+N228*2+O228*3+N(K228))</f>
        <v/>
      </c>
      <c r="Q228" s="6" t="n">
        <v>397.43</v>
      </c>
      <c r="R228" s="6">
        <f>Q228-P228</f>
        <v/>
      </c>
    </row>
    <row r="229">
      <c r="P229" s="2" t="inlineStr">
        <is>
          <t>ADDITIONALMAKE-UPLABOR LABOR</t>
        </is>
      </c>
      <c r="R229" s="8">
        <f>SUM(R228:R228)</f>
        <v/>
      </c>
    </row>
    <row r="231">
      <c r="B231" s="2" t="inlineStr">
        <is>
          <t>PROSTHETICS</t>
        </is>
      </c>
    </row>
    <row r="232">
      <c r="A232" s="5" t="inlineStr">
        <is>
          <t>3105</t>
        </is>
      </c>
      <c r="B232" s="5" t="inlineStr"/>
      <c r="C232" s="5" t="inlineStr">
        <is>
          <t>PROSTHETICMAKEUPARTIST</t>
        </is>
      </c>
      <c r="D232" s="5" t="inlineStr">
        <is>
          <t>Local706</t>
        </is>
      </c>
      <c r="E232" s="6" t="n">
        <v>25.5</v>
      </c>
      <c r="F232" s="5" t="n"/>
      <c r="G232" s="5" t="n"/>
      <c r="H232" s="5" t="n"/>
      <c r="I232" s="5" t="n"/>
      <c r="J232" s="7">
        <f>IF(AND(N(F232)&gt;0,N(I232)&gt;0),I232-F232-IF(N(G232)&gt;0,0.5,0)-IF(N(H232)&gt;0,0.5,0),0)</f>
        <v/>
      </c>
      <c r="K232" s="5" t="n"/>
      <c r="L232" s="7">
        <f>MIN(J232,10.0)</f>
        <v/>
      </c>
      <c r="M232" s="7">
        <f>MAX(0,MIN(J232,12)-10.0)</f>
        <v/>
      </c>
      <c r="N232" s="7">
        <f>MAX(0,J232-12)</f>
        <v/>
      </c>
      <c r="O232" s="5" t="n"/>
      <c r="P232" s="6">
        <f>E232*(L232+M232*1.5+N232*2+O232*3+N(K232))</f>
        <v/>
      </c>
      <c r="Q232" s="6" t="n">
        <v>439.87</v>
      </c>
      <c r="R232" s="6">
        <f>Q232-P232</f>
        <v/>
      </c>
    </row>
    <row r="233">
      <c r="A233" s="5" t="inlineStr">
        <is>
          <t>3105</t>
        </is>
      </c>
      <c r="B233" s="5" t="inlineStr"/>
      <c r="C233" s="5" t="inlineStr">
        <is>
          <t>LENSCONSULTANT</t>
        </is>
      </c>
      <c r="D233" s="5" t="inlineStr"/>
      <c r="E233" s="6" t="n">
        <v>50</v>
      </c>
      <c r="F233" s="5" t="n"/>
      <c r="G233" s="5" t="n"/>
      <c r="H233" s="5" t="n"/>
      <c r="I233" s="5" t="n"/>
      <c r="J233" s="7">
        <f>IF(AND(N(F233)&gt;0,N(I233)&gt;0),I233-F233-IF(N(G233)&gt;0,0.5,0)-IF(N(H233)&gt;0,0.5,0),0)</f>
        <v/>
      </c>
      <c r="K233" s="5" t="n"/>
      <c r="L233" s="7">
        <f>MIN(J233,8.0)</f>
        <v/>
      </c>
      <c r="M233" s="7">
        <f>MAX(0,MIN(J233,12)-8.0)</f>
        <v/>
      </c>
      <c r="N233" s="7">
        <f>MAX(0,J233-12)</f>
        <v/>
      </c>
      <c r="O233" s="5" t="n"/>
      <c r="P233" s="6">
        <f>E233*(L233+M233*1.5+N233*2+O233*3+N(K233))</f>
        <v/>
      </c>
      <c r="Q233" s="6" t="n">
        <v>862.53</v>
      </c>
      <c r="R233" s="6">
        <f>Q233-P233</f>
        <v/>
      </c>
    </row>
    <row r="234">
      <c r="P234" s="2" t="inlineStr">
        <is>
          <t>PROSTHETICS LABOR</t>
        </is>
      </c>
      <c r="R234" s="8">
        <f>SUM(R232:R233)</f>
        <v/>
      </c>
    </row>
    <row r="236">
      <c r="B236" s="2" t="inlineStr">
        <is>
          <t>KEYHAIR</t>
        </is>
      </c>
    </row>
    <row r="237">
      <c r="A237" s="5" t="inlineStr">
        <is>
          <t>3111</t>
        </is>
      </c>
      <c r="B237" s="5" t="inlineStr">
        <is>
          <t>Traci Smithe</t>
        </is>
      </c>
      <c r="C237" s="5" t="inlineStr">
        <is>
          <t>KEYHAIR</t>
        </is>
      </c>
      <c r="D237" s="5" t="inlineStr">
        <is>
          <t>Local706</t>
        </is>
      </c>
      <c r="E237" s="6" t="n">
        <v>25.5</v>
      </c>
      <c r="F237" s="5" t="n"/>
      <c r="G237" s="5" t="n"/>
      <c r="H237" s="5" t="n"/>
      <c r="I237" s="5" t="n"/>
      <c r="J237" s="7">
        <f>IF(AND(N(F237)&gt;0,N(I237)&gt;0),I237-F237-IF(N(G237)&gt;0,0.5,0)-IF(N(H237)&gt;0,0.5,0),0)</f>
        <v/>
      </c>
      <c r="K237" s="5" t="n"/>
      <c r="L237" s="7">
        <f>MIN(J237,10.0)</f>
        <v/>
      </c>
      <c r="M237" s="7">
        <f>MAX(0,MIN(J237,12)-10.0)</f>
        <v/>
      </c>
      <c r="N237" s="7">
        <f>MAX(0,J237-12)</f>
        <v/>
      </c>
      <c r="O237" s="5" t="n"/>
      <c r="P237" s="6">
        <f>E237*(L237+M237*1.5+N237*2+O237*3+N(K237))</f>
        <v/>
      </c>
      <c r="Q237" s="6" t="n">
        <v>439.87</v>
      </c>
      <c r="R237" s="6">
        <f>Q237-P237</f>
        <v/>
      </c>
    </row>
    <row r="238">
      <c r="P238" s="2" t="inlineStr">
        <is>
          <t>KEYHAIR LABOR</t>
        </is>
      </c>
      <c r="R238" s="8">
        <f>SUM(R237:R237)</f>
        <v/>
      </c>
    </row>
    <row r="240">
      <c r="B240" s="2" t="inlineStr">
        <is>
          <t>ASSTHAIR</t>
        </is>
      </c>
    </row>
    <row r="241">
      <c r="A241" s="5" t="inlineStr">
        <is>
          <t>3112</t>
        </is>
      </c>
      <c r="B241" s="5" t="inlineStr">
        <is>
          <t>Yunea Cruz</t>
        </is>
      </c>
      <c r="C241" s="5" t="inlineStr">
        <is>
          <t>ASSTHAIRSTYLIST#1</t>
        </is>
      </c>
      <c r="D241" s="5" t="inlineStr">
        <is>
          <t>Local706</t>
        </is>
      </c>
      <c r="E241" s="6" t="n">
        <v>23.04</v>
      </c>
      <c r="F241" s="5" t="n"/>
      <c r="G241" s="5" t="n"/>
      <c r="H241" s="5" t="n"/>
      <c r="I241" s="5" t="n"/>
      <c r="J241" s="7">
        <f>IF(AND(N(F241)&gt;0,N(I241)&gt;0),I241-F241-IF(N(G241)&gt;0,0.5,0)-IF(N(H241)&gt;0,0.5,0),0)</f>
        <v/>
      </c>
      <c r="K241" s="5" t="n"/>
      <c r="L241" s="7">
        <f>MIN(J241,10.0)</f>
        <v/>
      </c>
      <c r="M241" s="7">
        <f>MAX(0,MIN(J241,12)-10.0)</f>
        <v/>
      </c>
      <c r="N241" s="7">
        <f>MAX(0,J241-12)</f>
        <v/>
      </c>
      <c r="O241" s="5" t="n"/>
      <c r="P241" s="6">
        <f>E241*(L241+M241*1.5+N241*2+O241*3+N(K241))</f>
        <v/>
      </c>
      <c r="Q241" s="6" t="n">
        <v>397.43</v>
      </c>
      <c r="R241" s="6">
        <f>Q241-P241</f>
        <v/>
      </c>
    </row>
    <row r="242">
      <c r="P242" s="2" t="inlineStr">
        <is>
          <t>ASSTHAIR LABOR</t>
        </is>
      </c>
      <c r="R242" s="8">
        <f>SUM(R241:R241)</f>
        <v/>
      </c>
    </row>
    <row r="244">
      <c r="B244" s="2" t="inlineStr">
        <is>
          <t>ADDITIONALHAIRLABOR</t>
        </is>
      </c>
    </row>
    <row r="245">
      <c r="A245" s="5" t="inlineStr">
        <is>
          <t>3113</t>
        </is>
      </c>
      <c r="B245" s="5" t="inlineStr"/>
      <c r="C245" s="5" t="inlineStr">
        <is>
          <t>ADDLHAIRSTYLISTDAYS</t>
        </is>
      </c>
      <c r="D245" s="5" t="inlineStr">
        <is>
          <t>Local706</t>
        </is>
      </c>
      <c r="E245" s="6" t="n">
        <v>23.04</v>
      </c>
      <c r="F245" s="5" t="n"/>
      <c r="G245" s="5" t="n"/>
      <c r="H245" s="5" t="n"/>
      <c r="I245" s="5" t="n"/>
      <c r="J245" s="7">
        <f>IF(AND(N(F245)&gt;0,N(I245)&gt;0),I245-F245-IF(N(G245)&gt;0,0.5,0)-IF(N(H245)&gt;0,0.5,0),0)</f>
        <v/>
      </c>
      <c r="K245" s="5" t="n"/>
      <c r="L245" s="7">
        <f>MIN(J245,10.0)</f>
        <v/>
      </c>
      <c r="M245" s="7">
        <f>MAX(0,MIN(J245,12)-10.0)</f>
        <v/>
      </c>
      <c r="N245" s="7">
        <f>MAX(0,J245-12)</f>
        <v/>
      </c>
      <c r="O245" s="5" t="n"/>
      <c r="P245" s="6">
        <f>E245*(L245+M245*1.5+N245*2+O245*3+N(K245))</f>
        <v/>
      </c>
      <c r="Q245" s="6" t="n">
        <v>397.43</v>
      </c>
      <c r="R245" s="6">
        <f>Q245-P245</f>
        <v/>
      </c>
    </row>
    <row r="246">
      <c r="P246" s="2" t="inlineStr">
        <is>
          <t>ADDITIONALHAIRLABOR LABOR</t>
        </is>
      </c>
      <c r="R246" s="8">
        <f>SUM(R245:R245)</f>
        <v/>
      </c>
    </row>
    <row r="248">
      <c r="B248" s="2" t="inlineStr">
        <is>
          <t>GAFFER</t>
        </is>
      </c>
    </row>
    <row r="249">
      <c r="A249" s="5" t="inlineStr">
        <is>
          <t>3201</t>
        </is>
      </c>
      <c r="B249" s="5" t="inlineStr">
        <is>
          <t>Nicholas Kaat</t>
        </is>
      </c>
      <c r="C249" s="5" t="inlineStr">
        <is>
          <t>GAFFER</t>
        </is>
      </c>
      <c r="D249" s="5" t="inlineStr">
        <is>
          <t>Local728</t>
        </is>
      </c>
      <c r="E249" s="6" t="n">
        <v>25.5</v>
      </c>
      <c r="F249" s="5" t="n"/>
      <c r="G249" s="5" t="n"/>
      <c r="H249" s="5" t="n"/>
      <c r="I249" s="5" t="n"/>
      <c r="J249" s="7">
        <f>IF(AND(N(F249)&gt;0,N(I249)&gt;0),I249-F249-IF(N(G249)&gt;0,0.5,0)-IF(N(H249)&gt;0,0.5,0),0)</f>
        <v/>
      </c>
      <c r="K249" s="5" t="n"/>
      <c r="L249" s="7">
        <f>MIN(J249,10.0)</f>
        <v/>
      </c>
      <c r="M249" s="7">
        <f>MAX(0,MIN(J249,12)-10.0)</f>
        <v/>
      </c>
      <c r="N249" s="7">
        <f>MAX(0,J249-12)</f>
        <v/>
      </c>
      <c r="O249" s="5" t="n"/>
      <c r="P249" s="6">
        <f>E249*(L249+M249*1.5+N249*2+O249*3+N(K249))</f>
        <v/>
      </c>
      <c r="Q249" s="6" t="n">
        <v>395.25</v>
      </c>
      <c r="R249" s="6">
        <f>Q249-P249</f>
        <v/>
      </c>
    </row>
    <row r="250">
      <c r="P250" s="2" t="inlineStr">
        <is>
          <t>GAFFER LABOR</t>
        </is>
      </c>
      <c r="R250" s="8">
        <f>SUM(R249:R249)</f>
        <v/>
      </c>
    </row>
    <row r="252">
      <c r="B252" s="2" t="inlineStr">
        <is>
          <t>BESTBOYELECTRIC</t>
        </is>
      </c>
    </row>
    <row r="253">
      <c r="A253" s="5" t="inlineStr">
        <is>
          <t>3202</t>
        </is>
      </c>
      <c r="B253" s="5" t="inlineStr">
        <is>
          <t>Nathan Fetzer</t>
        </is>
      </c>
      <c r="C253" s="5" t="inlineStr">
        <is>
          <t>BESTBOYELECTRIC</t>
        </is>
      </c>
      <c r="D253" s="5" t="inlineStr">
        <is>
          <t>Local728</t>
        </is>
      </c>
      <c r="E253" s="6" t="n">
        <v>23.04</v>
      </c>
      <c r="F253" s="5" t="n"/>
      <c r="G253" s="5" t="n"/>
      <c r="H253" s="5" t="n"/>
      <c r="I253" s="5" t="n"/>
      <c r="J253" s="7">
        <f>IF(AND(N(F253)&gt;0,N(I253)&gt;0),I253-F253-IF(N(G253)&gt;0,0.5,0)-IF(N(H253)&gt;0,0.5,0),0)</f>
        <v/>
      </c>
      <c r="K253" s="5" t="n"/>
      <c r="L253" s="7">
        <f>MIN(J253,10.0)</f>
        <v/>
      </c>
      <c r="M253" s="7">
        <f>MAX(0,MIN(J253,12)-10.0)</f>
        <v/>
      </c>
      <c r="N253" s="7">
        <f>MAX(0,J253-12)</f>
        <v/>
      </c>
      <c r="O253" s="5" t="n"/>
      <c r="P253" s="6">
        <f>E253*(L253+M253*1.5+N253*2+O253*3+N(K253))</f>
        <v/>
      </c>
      <c r="Q253" s="6" t="n">
        <v>357.12</v>
      </c>
      <c r="R253" s="6">
        <f>Q253-P253</f>
        <v/>
      </c>
    </row>
    <row r="254">
      <c r="A254" s="5" t="inlineStr">
        <is>
          <t>3202</t>
        </is>
      </c>
      <c r="B254" s="5" t="inlineStr"/>
      <c r="C254" s="5" t="inlineStr">
        <is>
          <t>STUDIOBESTBOYELECTRIC</t>
        </is>
      </c>
      <c r="D254" s="5" t="inlineStr">
        <is>
          <t>Local728</t>
        </is>
      </c>
      <c r="E254" s="6" t="n">
        <v>43.05</v>
      </c>
      <c r="F254" s="5" t="n"/>
      <c r="G254" s="5" t="n"/>
      <c r="H254" s="5" t="n"/>
      <c r="I254" s="5" t="n"/>
      <c r="J254" s="7">
        <f>IF(AND(N(F254)&gt;0,N(I254)&gt;0),I254-F254-IF(N(G254)&gt;0,0.5,0)-IF(N(H254)&gt;0,0.5,0),0)</f>
        <v/>
      </c>
      <c r="K254" s="5" t="n"/>
      <c r="L254" s="7">
        <f>MIN(J254,10.0)</f>
        <v/>
      </c>
      <c r="M254" s="7">
        <f>MAX(0,MIN(J254,12)-10.0)</f>
        <v/>
      </c>
      <c r="N254" s="7">
        <f>MAX(0,J254-12)</f>
        <v/>
      </c>
      <c r="O254" s="5" t="n"/>
      <c r="P254" s="6">
        <f>E254*(L254+M254*1.5+N254*2+O254*3+N(K254))</f>
        <v/>
      </c>
      <c r="Q254" s="6" t="n">
        <v>667.27</v>
      </c>
      <c r="R254" s="6">
        <f>Q254-P254</f>
        <v/>
      </c>
    </row>
    <row r="255">
      <c r="P255" s="2" t="inlineStr">
        <is>
          <t>BESTBOYELECTRIC LABOR</t>
        </is>
      </c>
      <c r="R255" s="8">
        <f>SUM(R253:R254)</f>
        <v/>
      </c>
    </row>
    <row r="257">
      <c r="B257" s="2" t="inlineStr">
        <is>
          <t>ELECTRICIANS</t>
        </is>
      </c>
    </row>
    <row r="258">
      <c r="A258" s="5" t="inlineStr">
        <is>
          <t>3204</t>
        </is>
      </c>
      <c r="B258" s="5" t="inlineStr"/>
      <c r="C258" s="5" t="inlineStr">
        <is>
          <t>ELECTRICIAN#1</t>
        </is>
      </c>
      <c r="D258" s="5" t="inlineStr">
        <is>
          <t>Local728</t>
        </is>
      </c>
      <c r="E258" s="6" t="n">
        <v>20.57</v>
      </c>
      <c r="F258" s="5" t="n"/>
      <c r="G258" s="5" t="n"/>
      <c r="H258" s="5" t="n"/>
      <c r="I258" s="5" t="n"/>
      <c r="J258" s="7">
        <f>IF(AND(N(F258)&gt;0,N(I258)&gt;0),I258-F258-IF(N(G258)&gt;0,0.5,0)-IF(N(H258)&gt;0,0.5,0),0)</f>
        <v/>
      </c>
      <c r="K258" s="5" t="n"/>
      <c r="L258" s="7">
        <f>MIN(J258,10.0)</f>
        <v/>
      </c>
      <c r="M258" s="7">
        <f>MAX(0,MIN(J258,12)-10.0)</f>
        <v/>
      </c>
      <c r="N258" s="7">
        <f>MAX(0,J258-12)</f>
        <v/>
      </c>
      <c r="O258" s="5" t="n"/>
      <c r="P258" s="6">
        <f>E258*(L258+M258*1.5+N258*2+O258*3+N(K258))</f>
        <v/>
      </c>
      <c r="Q258" s="6" t="n">
        <v>318.83</v>
      </c>
      <c r="R258" s="6">
        <f>Q258-P258</f>
        <v/>
      </c>
    </row>
    <row r="259">
      <c r="A259" s="5" t="inlineStr">
        <is>
          <t>3204</t>
        </is>
      </c>
      <c r="B259" s="5" t="inlineStr"/>
      <c r="C259" s="5" t="inlineStr">
        <is>
          <t>ELECTRICIAN#2</t>
        </is>
      </c>
      <c r="D259" s="5" t="inlineStr">
        <is>
          <t>Local728</t>
        </is>
      </c>
      <c r="E259" s="6" t="n">
        <v>20.57</v>
      </c>
      <c r="F259" s="5" t="n"/>
      <c r="G259" s="5" t="n"/>
      <c r="H259" s="5" t="n"/>
      <c r="I259" s="5" t="n"/>
      <c r="J259" s="7">
        <f>IF(AND(N(F259)&gt;0,N(I259)&gt;0),I259-F259-IF(N(G259)&gt;0,0.5,0)-IF(N(H259)&gt;0,0.5,0),0)</f>
        <v/>
      </c>
      <c r="K259" s="5" t="n"/>
      <c r="L259" s="7">
        <f>MIN(J259,10.0)</f>
        <v/>
      </c>
      <c r="M259" s="7">
        <f>MAX(0,MIN(J259,12)-10.0)</f>
        <v/>
      </c>
      <c r="N259" s="7">
        <f>MAX(0,J259-12)</f>
        <v/>
      </c>
      <c r="O259" s="5" t="n"/>
      <c r="P259" s="6">
        <f>E259*(L259+M259*1.5+N259*2+O259*3+N(K259))</f>
        <v/>
      </c>
      <c r="Q259" s="6" t="n">
        <v>318.83</v>
      </c>
      <c r="R259" s="6">
        <f>Q259-P259</f>
        <v/>
      </c>
    </row>
    <row r="260">
      <c r="A260" s="5" t="inlineStr">
        <is>
          <t>3204</t>
        </is>
      </c>
      <c r="B260" s="5" t="inlineStr"/>
      <c r="C260" s="5" t="inlineStr">
        <is>
          <t>ELECTRICIAN#3</t>
        </is>
      </c>
      <c r="D260" s="5" t="inlineStr">
        <is>
          <t>Local728</t>
        </is>
      </c>
      <c r="E260" s="6" t="n">
        <v>20.57</v>
      </c>
      <c r="F260" s="5" t="n"/>
      <c r="G260" s="5" t="n"/>
      <c r="H260" s="5" t="n"/>
      <c r="I260" s="5" t="n"/>
      <c r="J260" s="7">
        <f>IF(AND(N(F260)&gt;0,N(I260)&gt;0),I260-F260-IF(N(G260)&gt;0,0.5,0)-IF(N(H260)&gt;0,0.5,0),0)</f>
        <v/>
      </c>
      <c r="K260" s="5" t="n"/>
      <c r="L260" s="7">
        <f>MIN(J260,10.0)</f>
        <v/>
      </c>
      <c r="M260" s="7">
        <f>MAX(0,MIN(J260,12)-10.0)</f>
        <v/>
      </c>
      <c r="N260" s="7">
        <f>MAX(0,J260-12)</f>
        <v/>
      </c>
      <c r="O260" s="5" t="n"/>
      <c r="P260" s="6">
        <f>E260*(L260+M260*1.5+N260*2+O260*3+N(K260))</f>
        <v/>
      </c>
      <c r="Q260" s="6" t="n">
        <v>318.83</v>
      </c>
      <c r="R260" s="6">
        <f>Q260-P260</f>
        <v/>
      </c>
    </row>
    <row r="261">
      <c r="P261" s="2" t="inlineStr">
        <is>
          <t>ELECTRICIANS LABOR</t>
        </is>
      </c>
      <c r="R261" s="8">
        <f>SUM(R258:R260)</f>
        <v/>
      </c>
    </row>
    <row r="263">
      <c r="B263" s="2" t="inlineStr">
        <is>
          <t>ADDITIONALELECTRICLABOR</t>
        </is>
      </c>
    </row>
    <row r="264">
      <c r="A264" s="5" t="inlineStr">
        <is>
          <t>3206</t>
        </is>
      </c>
      <c r="B264" s="5" t="inlineStr"/>
      <c r="C264" s="5" t="inlineStr">
        <is>
          <t>ELECTRICMANDAYS&amp;RIGGINGMANDAYS</t>
        </is>
      </c>
      <c r="D264" s="5" t="inlineStr">
        <is>
          <t>Local728</t>
        </is>
      </c>
      <c r="E264" s="6" t="n">
        <v>20.57</v>
      </c>
      <c r="F264" s="5" t="n"/>
      <c r="G264" s="5" t="n"/>
      <c r="H264" s="5" t="n"/>
      <c r="I264" s="5" t="n"/>
      <c r="J264" s="7">
        <f>IF(AND(N(F264)&gt;0,N(I264)&gt;0),I264-F264-IF(N(G264)&gt;0,0.5,0)-IF(N(H264)&gt;0,0.5,0),0)</f>
        <v/>
      </c>
      <c r="K264" s="5" t="n"/>
      <c r="L264" s="7">
        <f>MIN(J264,10.0)</f>
        <v/>
      </c>
      <c r="M264" s="7">
        <f>MAX(0,MIN(J264,12)-10.0)</f>
        <v/>
      </c>
      <c r="N264" s="7">
        <f>MAX(0,J264-12)</f>
        <v/>
      </c>
      <c r="O264" s="5" t="n"/>
      <c r="P264" s="6">
        <f>E264*(L264+M264*1.5+N264*2+O264*3+N(K264))</f>
        <v/>
      </c>
      <c r="Q264" s="6" t="n">
        <v>318.83</v>
      </c>
      <c r="R264" s="6">
        <f>Q264-P264</f>
        <v/>
      </c>
    </row>
    <row r="265">
      <c r="P265" s="2" t="inlineStr">
        <is>
          <t>ADDITIONALELECTRICLABOR LABOR</t>
        </is>
      </c>
      <c r="R265" s="8">
        <f>SUM(R264:R264)</f>
        <v/>
      </c>
    </row>
    <row r="267">
      <c r="B267" s="2" t="inlineStr">
        <is>
          <t>DIRECTOROFPHOTOGRAPHY</t>
        </is>
      </c>
    </row>
    <row r="268">
      <c r="A268" s="5" t="inlineStr">
        <is>
          <t>3301</t>
        </is>
      </c>
      <c r="B268" s="5" t="inlineStr">
        <is>
          <t>Michael Burgess</t>
        </is>
      </c>
      <c r="C268" s="5" t="inlineStr">
        <is>
          <t>DIRECTOROFPHOTOGRAPHY</t>
        </is>
      </c>
      <c r="D268" s="5" t="inlineStr">
        <is>
          <t>Local600</t>
        </is>
      </c>
      <c r="E268" s="6" t="n">
        <v>700</v>
      </c>
      <c r="F268" s="5" t="n"/>
      <c r="G268" s="5" t="n"/>
      <c r="H268" s="5" t="n"/>
      <c r="I268" s="5" t="n"/>
      <c r="J268" s="7">
        <f>IF(AND(N(F268)&gt;0,N(I268)&gt;0),I268-F268-IF(N(G268)&gt;0,0.5,0)-IF(N(H268)&gt;0,0.5,0),0)</f>
        <v/>
      </c>
      <c r="K268" s="5" t="n"/>
      <c r="L268" s="7">
        <f>MIN(J268,8.0)</f>
        <v/>
      </c>
      <c r="M268" s="7">
        <f>MAX(0,MIN(J268,12)-8.0)</f>
        <v/>
      </c>
      <c r="N268" s="7">
        <f>MAX(0,J268-12)</f>
        <v/>
      </c>
      <c r="O268" s="5" t="n"/>
      <c r="P268" s="6">
        <f>E268*(L268+M268*1.5+N268*2+O268*3+N(K268))</f>
        <v/>
      </c>
      <c r="Q268" s="6" t="n">
        <v>700</v>
      </c>
      <c r="R268" s="6">
        <f>Q268-P268</f>
        <v/>
      </c>
    </row>
    <row r="269">
      <c r="P269" s="2" t="inlineStr">
        <is>
          <t>DIRECTOROFPHOTOGRAPHY LABOR</t>
        </is>
      </c>
      <c r="R269" s="8">
        <f>SUM(R268:R268)</f>
        <v/>
      </c>
    </row>
    <row r="271">
      <c r="B271" s="2" t="inlineStr">
        <is>
          <t>CAMERAOPERATORS</t>
        </is>
      </c>
    </row>
    <row r="272">
      <c r="A272" s="5" t="inlineStr">
        <is>
          <t>3302</t>
        </is>
      </c>
      <c r="B272" s="5" t="inlineStr">
        <is>
          <t>Craig Bauer</t>
        </is>
      </c>
      <c r="C272" s="5" t="inlineStr">
        <is>
          <t>"B"CAMERAOP</t>
        </is>
      </c>
      <c r="D272" s="5" t="inlineStr">
        <is>
          <t>Local600</t>
        </is>
      </c>
      <c r="E272" s="6" t="n">
        <v>45</v>
      </c>
      <c r="F272" s="5" t="n"/>
      <c r="G272" s="5" t="n"/>
      <c r="H272" s="5" t="n"/>
      <c r="I272" s="5" t="n"/>
      <c r="J272" s="7">
        <f>IF(AND(N(F272)&gt;0,N(I272)&gt;0),I272-F272-IF(N(G272)&gt;0,0.5,0)-IF(N(H272)&gt;0,0.5,0),0)</f>
        <v/>
      </c>
      <c r="K272" s="5" t="n"/>
      <c r="L272" s="7">
        <f>MIN(J272,8.0)</f>
        <v/>
      </c>
      <c r="M272" s="7">
        <f>MAX(0,MIN(J272,12)-8.0)</f>
        <v/>
      </c>
      <c r="N272" s="7">
        <f>MAX(0,J272-12)</f>
        <v/>
      </c>
      <c r="O272" s="5" t="n"/>
      <c r="P272" s="6">
        <f>E272*(L272+M272*1.5+N272*2+O272*3+N(K272))</f>
        <v/>
      </c>
      <c r="Q272" s="6" t="n">
        <v>630</v>
      </c>
      <c r="R272" s="6">
        <f>Q272-P272</f>
        <v/>
      </c>
    </row>
    <row r="273">
      <c r="P273" s="2" t="inlineStr">
        <is>
          <t>CAMERAOPERATORS LABOR</t>
        </is>
      </c>
      <c r="R273" s="8">
        <f>SUM(R272:R272)</f>
        <v/>
      </c>
    </row>
    <row r="275">
      <c r="B275" s="2" t="inlineStr">
        <is>
          <t>DIGITALIMAGINGTECHS</t>
        </is>
      </c>
    </row>
    <row r="276">
      <c r="A276" s="5" t="inlineStr">
        <is>
          <t>3304</t>
        </is>
      </c>
      <c r="B276" s="5" t="inlineStr">
        <is>
          <t>Oliver Mancebo</t>
        </is>
      </c>
      <c r="C276" s="5" t="inlineStr">
        <is>
          <t>DIT</t>
        </is>
      </c>
      <c r="D276" s="5" t="inlineStr">
        <is>
          <t>Local600</t>
        </is>
      </c>
      <c r="E276" s="6" t="n">
        <v>35</v>
      </c>
      <c r="F276" s="5" t="n"/>
      <c r="G276" s="5" t="n"/>
      <c r="H276" s="5" t="n"/>
      <c r="I276" s="5" t="n"/>
      <c r="J276" s="7">
        <f>IF(AND(N(F276)&gt;0,N(I276)&gt;0),I276-F276-IF(N(G276)&gt;0,0.5,0)-IF(N(H276)&gt;0,0.5,0),0)</f>
        <v/>
      </c>
      <c r="K276" s="5" t="n"/>
      <c r="L276" s="7">
        <f>MIN(J276,8.0)</f>
        <v/>
      </c>
      <c r="M276" s="7">
        <f>MAX(0,MIN(J276,12)-8.0)</f>
        <v/>
      </c>
      <c r="N276" s="7">
        <f>MAX(0,J276-12)</f>
        <v/>
      </c>
      <c r="O276" s="5" t="n"/>
      <c r="P276" s="6">
        <f>E276*(L276+M276*1.5+N276*2+O276*3+N(K276))</f>
        <v/>
      </c>
      <c r="Q276" s="6" t="n">
        <v>542.5</v>
      </c>
      <c r="R276" s="6">
        <f>Q276-P276</f>
        <v/>
      </c>
    </row>
    <row r="277">
      <c r="P277" s="2" t="inlineStr">
        <is>
          <t>DIGITALIMAGINGTECHS LABOR</t>
        </is>
      </c>
      <c r="R277" s="8">
        <f>SUM(R276:R276)</f>
        <v/>
      </c>
    </row>
    <row r="279">
      <c r="B279" s="2" t="inlineStr">
        <is>
          <t>1STASSTCAMERA</t>
        </is>
      </c>
    </row>
    <row r="280">
      <c r="A280" s="5" t="inlineStr">
        <is>
          <t>3305</t>
        </is>
      </c>
      <c r="B280" s="5" t="inlineStr">
        <is>
          <t>Steve Cueva</t>
        </is>
      </c>
      <c r="C280" s="5" t="inlineStr">
        <is>
          <t>"A"CAMERA 1STAC</t>
        </is>
      </c>
      <c r="D280" s="5" t="inlineStr">
        <is>
          <t>Local600</t>
        </is>
      </c>
      <c r="E280" s="6" t="n">
        <v>25.5</v>
      </c>
      <c r="F280" s="5" t="n"/>
      <c r="G280" s="5" t="n"/>
      <c r="H280" s="5" t="n"/>
      <c r="I280" s="5" t="n"/>
      <c r="J280" s="7">
        <f>IF(AND(N(F280)&gt;0,N(I280)&gt;0),I280-F280-IF(N(G280)&gt;0,0.5,0)-IF(N(H280)&gt;0,0.5,0),0)</f>
        <v/>
      </c>
      <c r="K280" s="5" t="n"/>
      <c r="L280" s="7">
        <f>MIN(J280,8.0)</f>
        <v/>
      </c>
      <c r="M280" s="7">
        <f>MAX(0,MIN(J280,12)-8.0)</f>
        <v/>
      </c>
      <c r="N280" s="7">
        <f>MAX(0,J280-12)</f>
        <v/>
      </c>
      <c r="O280" s="5" t="n"/>
      <c r="P280" s="6">
        <f>E280*(L280+M280*1.5+N280*2+O280*3+N(K280))</f>
        <v/>
      </c>
      <c r="Q280" s="6" t="n">
        <v>395.25</v>
      </c>
      <c r="R280" s="6">
        <f>Q280-P280</f>
        <v/>
      </c>
    </row>
    <row r="281">
      <c r="A281" s="5" t="inlineStr">
        <is>
          <t>3305</t>
        </is>
      </c>
      <c r="B281" s="5" t="inlineStr">
        <is>
          <t>Chris Garcia</t>
        </is>
      </c>
      <c r="C281" s="5" t="inlineStr">
        <is>
          <t>"B"CAMERA 1STAC</t>
        </is>
      </c>
      <c r="D281" s="5" t="inlineStr">
        <is>
          <t>Local600</t>
        </is>
      </c>
      <c r="E281" s="6" t="n">
        <v>25.5</v>
      </c>
      <c r="F281" s="5" t="n"/>
      <c r="G281" s="5" t="n"/>
      <c r="H281" s="5" t="n"/>
      <c r="I281" s="5" t="n"/>
      <c r="J281" s="7">
        <f>IF(AND(N(F281)&gt;0,N(I281)&gt;0),I281-F281-IF(N(G281)&gt;0,0.5,0)-IF(N(H281)&gt;0,0.5,0),0)</f>
        <v/>
      </c>
      <c r="K281" s="5" t="n"/>
      <c r="L281" s="7">
        <f>MIN(J281,8.0)</f>
        <v/>
      </c>
      <c r="M281" s="7">
        <f>MAX(0,MIN(J281,12)-8.0)</f>
        <v/>
      </c>
      <c r="N281" s="7">
        <f>MAX(0,J281-12)</f>
        <v/>
      </c>
      <c r="O281" s="5" t="n"/>
      <c r="P281" s="6">
        <f>E281*(L281+M281*1.5+N281*2+O281*3+N(K281))</f>
        <v/>
      </c>
      <c r="Q281" s="6" t="n">
        <v>395.25</v>
      </c>
      <c r="R281" s="6">
        <f>Q281-P281</f>
        <v/>
      </c>
    </row>
    <row r="282">
      <c r="P282" s="2" t="inlineStr">
        <is>
          <t>1STASSTCAMERA LABOR</t>
        </is>
      </c>
      <c r="R282" s="8">
        <f>SUM(R280:R281)</f>
        <v/>
      </c>
    </row>
    <row r="284">
      <c r="B284" s="2" t="inlineStr">
        <is>
          <t>2NDASSTCAMERA</t>
        </is>
      </c>
    </row>
    <row r="285">
      <c r="A285" s="5" t="inlineStr">
        <is>
          <t>3306</t>
        </is>
      </c>
      <c r="B285" s="5" t="inlineStr">
        <is>
          <t>Manny Serrano</t>
        </is>
      </c>
      <c r="C285" s="5" t="inlineStr">
        <is>
          <t>"A"CAMERA 2NDAC</t>
        </is>
      </c>
      <c r="D285" s="5" t="inlineStr">
        <is>
          <t>Local600</t>
        </is>
      </c>
      <c r="E285" s="6" t="n">
        <v>23.04</v>
      </c>
      <c r="F285" s="5" t="n"/>
      <c r="G285" s="5" t="n"/>
      <c r="H285" s="5" t="n"/>
      <c r="I285" s="5" t="n"/>
      <c r="J285" s="7">
        <f>IF(AND(N(F285)&gt;0,N(I285)&gt;0),I285-F285-IF(N(G285)&gt;0,0.5,0)-IF(N(H285)&gt;0,0.5,0),0)</f>
        <v/>
      </c>
      <c r="K285" s="5" t="n"/>
      <c r="L285" s="7">
        <f>MIN(J285,8.0)</f>
        <v/>
      </c>
      <c r="M285" s="7">
        <f>MAX(0,MIN(J285,12)-8.0)</f>
        <v/>
      </c>
      <c r="N285" s="7">
        <f>MAX(0,J285-12)</f>
        <v/>
      </c>
      <c r="O285" s="5" t="n"/>
      <c r="P285" s="6">
        <f>E285*(L285+M285*1.5+N285*2+O285*3+N(K285))</f>
        <v/>
      </c>
      <c r="Q285" s="6" t="n">
        <v>357.12</v>
      </c>
      <c r="R285" s="6">
        <f>Q285-P285</f>
        <v/>
      </c>
    </row>
    <row r="286">
      <c r="A286" s="5" t="inlineStr">
        <is>
          <t>3306</t>
        </is>
      </c>
      <c r="B286" s="5" t="inlineStr"/>
      <c r="C286" s="5" t="inlineStr">
        <is>
          <t>"B"CAMERA 2NDAC</t>
        </is>
      </c>
      <c r="D286" s="5" t="inlineStr">
        <is>
          <t>Local600</t>
        </is>
      </c>
      <c r="E286" s="6" t="n">
        <v>23.04</v>
      </c>
      <c r="F286" s="5" t="n"/>
      <c r="G286" s="5" t="n"/>
      <c r="H286" s="5" t="n"/>
      <c r="I286" s="5" t="n"/>
      <c r="J286" s="7">
        <f>IF(AND(N(F286)&gt;0,N(I286)&gt;0),I286-F286-IF(N(G286)&gt;0,0.5,0)-IF(N(H286)&gt;0,0.5,0),0)</f>
        <v/>
      </c>
      <c r="K286" s="5" t="n"/>
      <c r="L286" s="7">
        <f>MIN(J286,8.0)</f>
        <v/>
      </c>
      <c r="M286" s="7">
        <f>MAX(0,MIN(J286,12)-8.0)</f>
        <v/>
      </c>
      <c r="N286" s="7">
        <f>MAX(0,J286-12)</f>
        <v/>
      </c>
      <c r="O286" s="5" t="n"/>
      <c r="P286" s="6">
        <f>E286*(L286+M286*1.5+N286*2+O286*3+N(K286))</f>
        <v/>
      </c>
      <c r="Q286" s="6" t="n">
        <v>357.12</v>
      </c>
      <c r="R286" s="6">
        <f>Q286-P286</f>
        <v/>
      </c>
    </row>
    <row r="287">
      <c r="P287" s="2" t="inlineStr">
        <is>
          <t>2NDASSTCAMERA LABOR</t>
        </is>
      </c>
      <c r="R287" s="8">
        <f>SUM(R285:R286)</f>
        <v/>
      </c>
    </row>
    <row r="289">
      <c r="B289" s="2" t="inlineStr">
        <is>
          <t>STILLPHOTOGRAPHER</t>
        </is>
      </c>
    </row>
    <row r="290">
      <c r="A290" s="5" t="inlineStr">
        <is>
          <t>3308</t>
        </is>
      </c>
      <c r="B290" s="5" t="inlineStr">
        <is>
          <t>Scott Patrick Green</t>
        </is>
      </c>
      <c r="C290" s="5" t="inlineStr">
        <is>
          <t>STILLPHOTOGRAPHER</t>
        </is>
      </c>
      <c r="D290" s="5" t="inlineStr">
        <is>
          <t>Local600</t>
        </is>
      </c>
      <c r="E290" s="6" t="n">
        <v>26.5</v>
      </c>
      <c r="F290" s="5" t="n"/>
      <c r="G290" s="5" t="n"/>
      <c r="H290" s="5" t="n"/>
      <c r="I290" s="5" t="n"/>
      <c r="J290" s="7">
        <f>IF(AND(N(F290)&gt;0,N(I290)&gt;0),I290-F290-IF(N(G290)&gt;0,0.5,0)-IF(N(H290)&gt;0,0.5,0),0)</f>
        <v/>
      </c>
      <c r="K290" s="5" t="n"/>
      <c r="L290" s="7">
        <f>MIN(J290,8.0)</f>
        <v/>
      </c>
      <c r="M290" s="7">
        <f>MAX(0,MIN(J290,12)-8.0)</f>
        <v/>
      </c>
      <c r="N290" s="7">
        <f>MAX(0,J290-12)</f>
        <v/>
      </c>
      <c r="O290" s="5" t="n"/>
      <c r="P290" s="6">
        <f>E290*(L290+M290*1.5+N290*2+O290*3+N(K290))</f>
        <v/>
      </c>
      <c r="Q290" s="6" t="n">
        <v>291.5</v>
      </c>
      <c r="R290" s="6">
        <f>Q290-P290</f>
        <v/>
      </c>
    </row>
    <row r="291">
      <c r="P291" s="2" t="inlineStr">
        <is>
          <t>STILLPHOTOGRAPHER LABOR</t>
        </is>
      </c>
      <c r="R291" s="8">
        <f>SUM(R290:R290)</f>
        <v/>
      </c>
    </row>
    <row r="293">
      <c r="B293" s="2" t="inlineStr">
        <is>
          <t>AERIAL/UNDERWATERPHOTOGRAPHY</t>
        </is>
      </c>
    </row>
    <row r="294">
      <c r="A294" s="5" t="inlineStr">
        <is>
          <t>3385</t>
        </is>
      </c>
      <c r="B294" s="5" t="inlineStr"/>
      <c r="C294" s="5" t="inlineStr">
        <is>
          <t>UNDERWATEROPERATOR</t>
        </is>
      </c>
      <c r="D294" s="5" t="inlineStr">
        <is>
          <t>Local600</t>
        </is>
      </c>
      <c r="E294" s="6" t="n">
        <v>65</v>
      </c>
      <c r="F294" s="5" t="n"/>
      <c r="G294" s="5" t="n"/>
      <c r="H294" s="5" t="n"/>
      <c r="I294" s="5" t="n"/>
      <c r="J294" s="7">
        <f>IF(AND(N(F294)&gt;0,N(I294)&gt;0),I294-F294-IF(N(G294)&gt;0,0.5,0)-IF(N(H294)&gt;0,0.5,0),0)</f>
        <v/>
      </c>
      <c r="K294" s="5" t="n"/>
      <c r="L294" s="7">
        <f>MIN(J294,8.0)</f>
        <v/>
      </c>
      <c r="M294" s="7">
        <f>MAX(0,MIN(J294,12)-8.0)</f>
        <v/>
      </c>
      <c r="N294" s="7">
        <f>MAX(0,J294-12)</f>
        <v/>
      </c>
      <c r="O294" s="5" t="n"/>
      <c r="P294" s="6">
        <f>E294*(L294+M294*1.5+N294*2+O294*3+N(K294))</f>
        <v/>
      </c>
      <c r="Q294" s="6" t="n">
        <v>910</v>
      </c>
      <c r="R294" s="6">
        <f>Q294-P294</f>
        <v/>
      </c>
    </row>
    <row r="295">
      <c r="P295" s="2" t="inlineStr">
        <is>
          <t>AERIAL/UNDERWATERPHOTOGRAPHY LABOR</t>
        </is>
      </c>
      <c r="R295" s="8">
        <f>SUM(R294:R294)</f>
        <v/>
      </c>
    </row>
    <row r="297">
      <c r="B297" s="2" t="inlineStr">
        <is>
          <t>SOUNDMIXER</t>
        </is>
      </c>
    </row>
    <row r="298">
      <c r="A298" s="5" t="inlineStr">
        <is>
          <t>3401</t>
        </is>
      </c>
      <c r="B298" s="5" t="inlineStr">
        <is>
          <t>Julian Howarth</t>
        </is>
      </c>
      <c r="C298" s="5" t="inlineStr">
        <is>
          <t>SOUNDMIXER</t>
        </is>
      </c>
      <c r="D298" s="5" t="inlineStr">
        <is>
          <t>Local695</t>
        </is>
      </c>
      <c r="E298" s="6" t="n">
        <v>26.5</v>
      </c>
      <c r="F298" s="5" t="n"/>
      <c r="G298" s="5" t="n"/>
      <c r="H298" s="5" t="n"/>
      <c r="I298" s="5" t="n"/>
      <c r="J298" s="7">
        <f>IF(AND(N(F298)&gt;0,N(I298)&gt;0),I298-F298-IF(N(G298)&gt;0,0.5,0)-IF(N(H298)&gt;0,0.5,0),0)</f>
        <v/>
      </c>
      <c r="K298" s="5" t="n"/>
      <c r="L298" s="7">
        <f>MIN(J298,10.0)</f>
        <v/>
      </c>
      <c r="M298" s="7">
        <f>MAX(0,MIN(J298,12)-10.0)</f>
        <v/>
      </c>
      <c r="N298" s="7">
        <f>MAX(0,J298-12)</f>
        <v/>
      </c>
      <c r="O298" s="5" t="n"/>
      <c r="P298" s="6">
        <f>E298*(L298+M298*1.5+N298*2+O298*3+N(K298))</f>
        <v/>
      </c>
      <c r="Q298" s="6" t="n">
        <v>410.75</v>
      </c>
      <c r="R298" s="6">
        <f>Q298-P298</f>
        <v/>
      </c>
    </row>
    <row r="299">
      <c r="P299" s="2" t="inlineStr">
        <is>
          <t>SOUNDMIXER LABOR</t>
        </is>
      </c>
      <c r="R299" s="8">
        <f>SUM(R298:R298)</f>
        <v/>
      </c>
    </row>
    <row r="301">
      <c r="B301" s="2" t="inlineStr">
        <is>
          <t>BOOMOPERATOR</t>
        </is>
      </c>
    </row>
    <row r="302">
      <c r="A302" s="5" t="inlineStr">
        <is>
          <t>3402</t>
        </is>
      </c>
      <c r="B302" s="5" t="inlineStr">
        <is>
          <t>Tim Song Jones</t>
        </is>
      </c>
      <c r="C302" s="5" t="inlineStr">
        <is>
          <t>BOOMOPERATOR</t>
        </is>
      </c>
      <c r="D302" s="5" t="inlineStr">
        <is>
          <t>Local695</t>
        </is>
      </c>
      <c r="E302" s="6" t="n">
        <v>23.04</v>
      </c>
      <c r="F302" s="5" t="n"/>
      <c r="G302" s="5" t="n"/>
      <c r="H302" s="5" t="n"/>
      <c r="I302" s="5" t="n"/>
      <c r="J302" s="7">
        <f>IF(AND(N(F302)&gt;0,N(I302)&gt;0),I302-F302-IF(N(G302)&gt;0,0.5,0)-IF(N(H302)&gt;0,0.5,0),0)</f>
        <v/>
      </c>
      <c r="K302" s="5" t="n"/>
      <c r="L302" s="7">
        <f>MIN(J302,10.0)</f>
        <v/>
      </c>
      <c r="M302" s="7">
        <f>MAX(0,MIN(J302,12)-10.0)</f>
        <v/>
      </c>
      <c r="N302" s="7">
        <f>MAX(0,J302-12)</f>
        <v/>
      </c>
      <c r="O302" s="5" t="n"/>
      <c r="P302" s="6">
        <f>E302*(L302+M302*1.5+N302*2+O302*3+N(K302))</f>
        <v/>
      </c>
      <c r="Q302" s="6" t="n">
        <v>357.12</v>
      </c>
      <c r="R302" s="6">
        <f>Q302-P302</f>
        <v/>
      </c>
    </row>
    <row r="303">
      <c r="P303" s="2" t="inlineStr">
        <is>
          <t>BOOMOPERATOR LABOR</t>
        </is>
      </c>
      <c r="R303" s="8">
        <f>SUM(R302:R302)</f>
        <v/>
      </c>
    </row>
    <row r="305">
      <c r="B305" s="2" t="inlineStr">
        <is>
          <t>CABLEPERSON</t>
        </is>
      </c>
    </row>
    <row r="306">
      <c r="A306" s="5" t="inlineStr">
        <is>
          <t>3403</t>
        </is>
      </c>
      <c r="B306" s="5" t="inlineStr"/>
      <c r="C306" s="5" t="inlineStr">
        <is>
          <t>UTILITYSOUND</t>
        </is>
      </c>
      <c r="D306" s="5" t="inlineStr">
        <is>
          <t>Local695</t>
        </is>
      </c>
      <c r="E306" s="6" t="n">
        <v>20.57</v>
      </c>
      <c r="F306" s="5" t="n"/>
      <c r="G306" s="5" t="n"/>
      <c r="H306" s="5" t="n"/>
      <c r="I306" s="5" t="n"/>
      <c r="J306" s="7">
        <f>IF(AND(N(F306)&gt;0,N(I306)&gt;0),I306-F306-IF(N(G306)&gt;0,0.5,0)-IF(N(H306)&gt;0,0.5,0),0)</f>
        <v/>
      </c>
      <c r="K306" s="5" t="n"/>
      <c r="L306" s="7">
        <f>MIN(J306,10.0)</f>
        <v/>
      </c>
      <c r="M306" s="7">
        <f>MAX(0,MIN(J306,12)-10.0)</f>
        <v/>
      </c>
      <c r="N306" s="7">
        <f>MAX(0,J306-12)</f>
        <v/>
      </c>
      <c r="O306" s="5" t="n"/>
      <c r="P306" s="6">
        <f>E306*(L306+M306*1.5+N306*2+O306*3+N(K306))</f>
        <v/>
      </c>
      <c r="Q306" s="6" t="n">
        <v>318.83</v>
      </c>
      <c r="R306" s="6">
        <f>Q306-P306</f>
        <v/>
      </c>
    </row>
    <row r="307">
      <c r="P307" s="2" t="inlineStr">
        <is>
          <t>CABLEPERSON LABOR</t>
        </is>
      </c>
      <c r="R307" s="8">
        <f>SUM(R306:R306)</f>
        <v/>
      </c>
    </row>
    <row r="309">
      <c r="B309" s="2" t="inlineStr">
        <is>
          <t>VIDEOASSIST</t>
        </is>
      </c>
    </row>
    <row r="310">
      <c r="A310" s="5" t="inlineStr">
        <is>
          <t>3404</t>
        </is>
      </c>
      <c r="B310" s="5" t="inlineStr">
        <is>
          <t>Jeff Snyder</t>
        </is>
      </c>
      <c r="C310" s="5" t="inlineStr">
        <is>
          <t>VIDEOASSISTOPERATOR</t>
        </is>
      </c>
      <c r="D310" s="5" t="inlineStr">
        <is>
          <t>Local695</t>
        </is>
      </c>
      <c r="E310" s="6" t="n">
        <v>23.04</v>
      </c>
      <c r="F310" s="5" t="n"/>
      <c r="G310" s="5" t="n"/>
      <c r="H310" s="5" t="n"/>
      <c r="I310" s="5" t="n"/>
      <c r="J310" s="7">
        <f>IF(AND(N(F310)&gt;0,N(I310)&gt;0),I310-F310-IF(N(G310)&gt;0,0.5,0)-IF(N(H310)&gt;0,0.5,0),0)</f>
        <v/>
      </c>
      <c r="K310" s="5" t="n"/>
      <c r="L310" s="7">
        <f>MIN(J310,10.0)</f>
        <v/>
      </c>
      <c r="M310" s="7">
        <f>MAX(0,MIN(J310,12)-10.0)</f>
        <v/>
      </c>
      <c r="N310" s="7">
        <f>MAX(0,J310-12)</f>
        <v/>
      </c>
      <c r="O310" s="5" t="n"/>
      <c r="P310" s="6">
        <f>E310*(L310+M310*1.5+N310*2+O310*3+N(K310))</f>
        <v/>
      </c>
      <c r="Q310" s="6" t="n">
        <v>357.12</v>
      </c>
      <c r="R310" s="6">
        <f>Q310-P310</f>
        <v/>
      </c>
    </row>
    <row r="311">
      <c r="P311" s="2" t="inlineStr">
        <is>
          <t>VIDEOASSIST LABOR</t>
        </is>
      </c>
      <c r="R311" s="8">
        <f>SUM(R310:R310)</f>
        <v/>
      </c>
    </row>
    <row r="313">
      <c r="B313" s="2" t="inlineStr">
        <is>
          <t>CAPTAIN</t>
        </is>
      </c>
    </row>
    <row r="314">
      <c r="A314" s="5" t="inlineStr">
        <is>
          <t>3502</t>
        </is>
      </c>
      <c r="B314" s="5" t="inlineStr">
        <is>
          <t>Kevin Caira</t>
        </is>
      </c>
      <c r="C314" s="5" t="inlineStr">
        <is>
          <t>TRANSPOCAPTAIN(LA)</t>
        </is>
      </c>
      <c r="D314" s="5" t="inlineStr">
        <is>
          <t>Local399</t>
        </is>
      </c>
      <c r="E314" s="6" t="n">
        <v>37.21</v>
      </c>
      <c r="F314" s="5" t="n"/>
      <c r="G314" s="5" t="n"/>
      <c r="H314" s="5" t="n"/>
      <c r="I314" s="5" t="n"/>
      <c r="J314" s="7">
        <f>IF(AND(N(F314)&gt;0,N(I314)&gt;0),I314-F314-IF(N(G314)&gt;0,0.5,0)-IF(N(H314)&gt;0,0.5,0),0)</f>
        <v/>
      </c>
      <c r="K314" s="5" t="n"/>
      <c r="L314" s="7">
        <f>MIN(J314,8.0)</f>
        <v/>
      </c>
      <c r="M314" s="7">
        <f>MAX(0,MIN(J314,12)-8.0)</f>
        <v/>
      </c>
      <c r="N314" s="7">
        <f>MAX(0,J314-12)</f>
        <v/>
      </c>
      <c r="O314" s="5" t="n"/>
      <c r="P314" s="6">
        <f>E314*(L314+M314*1.5+N314*2+O314*3+N(K314))</f>
        <v/>
      </c>
      <c r="Q314" s="6" t="n">
        <v>651.17</v>
      </c>
      <c r="R314" s="6">
        <f>Q314-P314</f>
        <v/>
      </c>
    </row>
    <row r="315">
      <c r="A315" s="5" t="inlineStr">
        <is>
          <t>3502</t>
        </is>
      </c>
      <c r="B315" s="5" t="inlineStr">
        <is>
          <t>Tina Peterson</t>
        </is>
      </c>
      <c r="C315" s="5" t="inlineStr">
        <is>
          <t>CO-CAPTAIN</t>
        </is>
      </c>
      <c r="D315" s="5" t="inlineStr">
        <is>
          <t>Local399</t>
        </is>
      </c>
      <c r="E315" s="6" t="n">
        <v>37.21</v>
      </c>
      <c r="F315" s="5" t="n"/>
      <c r="G315" s="5" t="n"/>
      <c r="H315" s="5" t="n"/>
      <c r="I315" s="5" t="n"/>
      <c r="J315" s="7">
        <f>IF(AND(N(F315)&gt;0,N(I315)&gt;0),I315-F315-IF(N(G315)&gt;0,0.5,0)-IF(N(H315)&gt;0,0.5,0),0)</f>
        <v/>
      </c>
      <c r="K315" s="5" t="n"/>
      <c r="L315" s="7">
        <f>MIN(J315,8.0)</f>
        <v/>
      </c>
      <c r="M315" s="7">
        <f>MAX(0,MIN(J315,12)-8.0)</f>
        <v/>
      </c>
      <c r="N315" s="7">
        <f>MAX(0,J315-12)</f>
        <v/>
      </c>
      <c r="O315" s="5" t="n"/>
      <c r="P315" s="6">
        <f>E315*(L315+M315*1.5+N315*2+O315*3+N(K315))</f>
        <v/>
      </c>
      <c r="Q315" s="6" t="n">
        <v>576.75</v>
      </c>
      <c r="R315" s="6">
        <f>Q315-P315</f>
        <v/>
      </c>
    </row>
    <row r="316">
      <c r="P316" s="2" t="inlineStr">
        <is>
          <t>CAPTAIN LABOR</t>
        </is>
      </c>
      <c r="R316" s="8">
        <f>SUM(R314:R315)</f>
        <v/>
      </c>
    </row>
    <row r="318">
      <c r="B318" s="2" t="inlineStr">
        <is>
          <t>DRIVERS</t>
        </is>
      </c>
    </row>
    <row r="319">
      <c r="A319" s="5" t="inlineStr">
        <is>
          <t>3503</t>
        </is>
      </c>
      <c r="B319" s="5" t="inlineStr"/>
      <c r="C319" s="5" t="inlineStr">
        <is>
          <t>GRIPTRUCK 48'TRACTORTRAILERDRIVER</t>
        </is>
      </c>
      <c r="D319" s="5" t="inlineStr"/>
      <c r="E319" s="6" t="n">
        <v>32.36</v>
      </c>
      <c r="F319" s="5" t="n"/>
      <c r="G319" s="5" t="n"/>
      <c r="H319" s="5" t="n"/>
      <c r="I319" s="5" t="n"/>
      <c r="J319" s="7">
        <f>IF(AND(N(F319)&gt;0,N(I319)&gt;0),I319-F319-IF(N(G319)&gt;0,0.5,0)-IF(N(H319)&gt;0,0.5,0),0)</f>
        <v/>
      </c>
      <c r="K319" s="5" t="n"/>
      <c r="L319" s="7">
        <f>MIN(J319,8.0)</f>
        <v/>
      </c>
      <c r="M319" s="7">
        <f>MAX(0,MIN(J319,12)-8.0)</f>
        <v/>
      </c>
      <c r="N319" s="7">
        <f>MAX(0,J319-12)</f>
        <v/>
      </c>
      <c r="O319" s="5" t="n"/>
      <c r="P319" s="6">
        <f>E319*(L319+M319*1.5+N319*2+O319*3+N(K319))</f>
        <v/>
      </c>
      <c r="Q319" s="6" t="n">
        <v>501.58</v>
      </c>
      <c r="R319" s="6">
        <f>Q319-P319</f>
        <v/>
      </c>
    </row>
    <row r="320">
      <c r="A320" s="5" t="inlineStr">
        <is>
          <t>3503</t>
        </is>
      </c>
      <c r="B320" s="5" t="inlineStr">
        <is>
          <t>Donald Wilson</t>
        </is>
      </c>
      <c r="C320" s="5" t="inlineStr">
        <is>
          <t>PROP 5-TON(ENCLOSED)</t>
        </is>
      </c>
      <c r="D320" s="5" t="inlineStr"/>
      <c r="E320" s="6" t="n">
        <v>32.36</v>
      </c>
      <c r="F320" s="5" t="n"/>
      <c r="G320" s="5" t="n"/>
      <c r="H320" s="5" t="n"/>
      <c r="I320" s="5" t="n"/>
      <c r="J320" s="7">
        <f>IF(AND(N(F320)&gt;0,N(I320)&gt;0),I320-F320-IF(N(G320)&gt;0,0.5,0)-IF(N(H320)&gt;0,0.5,0),0)</f>
        <v/>
      </c>
      <c r="K320" s="5" t="n"/>
      <c r="L320" s="7">
        <f>MIN(J320,8.0)</f>
        <v/>
      </c>
      <c r="M320" s="7">
        <f>MAX(0,MIN(J320,12)-8.0)</f>
        <v/>
      </c>
      <c r="N320" s="7">
        <f>MAX(0,J320-12)</f>
        <v/>
      </c>
      <c r="O320" s="5" t="n"/>
      <c r="P320" s="6">
        <f>E320*(L320+M320*1.5+N320*2+O320*3+N(K320))</f>
        <v/>
      </c>
      <c r="Q320" s="6" t="n">
        <v>501.58</v>
      </c>
      <c r="R320" s="6">
        <f>Q320-P320</f>
        <v/>
      </c>
    </row>
    <row r="321">
      <c r="A321" s="5" t="inlineStr">
        <is>
          <t>3503</t>
        </is>
      </c>
      <c r="B321" s="5" t="inlineStr"/>
      <c r="C321" s="5" t="inlineStr">
        <is>
          <t>WARDROBESTAKEBEDDRIVER#1</t>
        </is>
      </c>
      <c r="D321" s="5" t="inlineStr"/>
      <c r="E321" s="6" t="n">
        <v>37.99</v>
      </c>
      <c r="F321" s="5" t="n"/>
      <c r="G321" s="5" t="n"/>
      <c r="H321" s="5" t="n"/>
      <c r="I321" s="5" t="n"/>
      <c r="J321" s="7">
        <f>IF(AND(N(F321)&gt;0,N(I321)&gt;0),I321-F321-IF(N(G321)&gt;0,0.5,0)-IF(N(H321)&gt;0,0.5,0),0)</f>
        <v/>
      </c>
      <c r="K321" s="5" t="n"/>
      <c r="L321" s="7">
        <f>MIN(J321,8.0)</f>
        <v/>
      </c>
      <c r="M321" s="7">
        <f>MAX(0,MIN(J321,12)-8.0)</f>
        <v/>
      </c>
      <c r="N321" s="7">
        <f>MAX(0,J321-12)</f>
        <v/>
      </c>
      <c r="O321" s="5" t="n"/>
      <c r="P321" s="6">
        <f>E321*(L321+M321*1.5+N321*2+O321*3+N(K321))</f>
        <v/>
      </c>
      <c r="Q321" s="6" t="n">
        <v>588.85</v>
      </c>
      <c r="R321" s="6">
        <f>Q321-P321</f>
        <v/>
      </c>
    </row>
    <row r="322">
      <c r="A322" s="5" t="inlineStr">
        <is>
          <t>3503</t>
        </is>
      </c>
      <c r="B322" s="5" t="inlineStr"/>
      <c r="C322" s="5" t="inlineStr">
        <is>
          <t>MAKEUPHAIRTRAILERDRIVER</t>
        </is>
      </c>
      <c r="D322" s="5" t="inlineStr"/>
      <c r="E322" s="6" t="n">
        <v>32.36</v>
      </c>
      <c r="F322" s="5" t="n"/>
      <c r="G322" s="5" t="n"/>
      <c r="H322" s="5" t="n"/>
      <c r="I322" s="5" t="n"/>
      <c r="J322" s="7">
        <f>IF(AND(N(F322)&gt;0,N(I322)&gt;0),I322-F322-IF(N(G322)&gt;0,0.5,0)-IF(N(H322)&gt;0,0.5,0),0)</f>
        <v/>
      </c>
      <c r="K322" s="5" t="n"/>
      <c r="L322" s="7">
        <f>MIN(J322,8.0)</f>
        <v/>
      </c>
      <c r="M322" s="7">
        <f>MAX(0,MIN(J322,12)-8.0)</f>
        <v/>
      </c>
      <c r="N322" s="7">
        <f>MAX(0,J322-12)</f>
        <v/>
      </c>
      <c r="O322" s="5" t="n"/>
      <c r="P322" s="6">
        <f>E322*(L322+M322*1.5+N322*2+O322*3+N(K322))</f>
        <v/>
      </c>
      <c r="Q322" s="6" t="n">
        <v>501.58</v>
      </c>
      <c r="R322" s="6">
        <f>Q322-P322</f>
        <v/>
      </c>
    </row>
    <row r="323">
      <c r="A323" s="5" t="inlineStr">
        <is>
          <t>3503</t>
        </is>
      </c>
      <c r="B323" s="5" t="inlineStr"/>
      <c r="C323" s="5" t="inlineStr">
        <is>
          <t>ELECTRIC 10TONDRIVER(GENIEOPERATOR)</t>
        </is>
      </c>
      <c r="D323" s="5" t="inlineStr"/>
      <c r="E323" s="6" t="n">
        <v>37.99</v>
      </c>
      <c r="F323" s="5" t="n"/>
      <c r="G323" s="5" t="n"/>
      <c r="H323" s="5" t="n"/>
      <c r="I323" s="5" t="n"/>
      <c r="J323" s="7">
        <f>IF(AND(N(F323)&gt;0,N(I323)&gt;0),I323-F323-IF(N(G323)&gt;0,0.5,0)-IF(N(H323)&gt;0,0.5,0),0)</f>
        <v/>
      </c>
      <c r="K323" s="5" t="n"/>
      <c r="L323" s="7">
        <f>MIN(J323,8.0)</f>
        <v/>
      </c>
      <c r="M323" s="7">
        <f>MAX(0,MIN(J323,12)-8.0)</f>
        <v/>
      </c>
      <c r="N323" s="7">
        <f>MAX(0,J323-12)</f>
        <v/>
      </c>
      <c r="O323" s="5" t="n"/>
      <c r="P323" s="6">
        <f>E323*(L323+M323*1.5+N323*2+O323*3+N(K323))</f>
        <v/>
      </c>
      <c r="Q323" s="6" t="n">
        <v>588.85</v>
      </c>
      <c r="R323" s="6">
        <f>Q323-P323</f>
        <v/>
      </c>
    </row>
    <row r="324">
      <c r="A324" s="5" t="inlineStr">
        <is>
          <t>3503</t>
        </is>
      </c>
      <c r="B324" s="5" t="inlineStr"/>
      <c r="C324" s="5" t="inlineStr">
        <is>
          <t>SOUNDCCSTAKEBEDFUELTRUCKDRIVER</t>
        </is>
      </c>
      <c r="D324" s="5" t="inlineStr"/>
      <c r="E324" s="6" t="n">
        <v>32.36</v>
      </c>
      <c r="F324" s="5" t="n"/>
      <c r="G324" s="5" t="n"/>
      <c r="H324" s="5" t="n"/>
      <c r="I324" s="5" t="n"/>
      <c r="J324" s="7">
        <f>IF(AND(N(F324)&gt;0,N(I324)&gt;0),I324-F324-IF(N(G324)&gt;0,0.5,0)-IF(N(H324)&gt;0,0.5,0),0)</f>
        <v/>
      </c>
      <c r="K324" s="5" t="n"/>
      <c r="L324" s="7">
        <f>MIN(J324,8.0)</f>
        <v/>
      </c>
      <c r="M324" s="7">
        <f>MAX(0,MIN(J324,12)-8.0)</f>
        <v/>
      </c>
      <c r="N324" s="7">
        <f>MAX(0,J324-12)</f>
        <v/>
      </c>
      <c r="O324" s="5" t="n"/>
      <c r="P324" s="6">
        <f>E324*(L324+M324*1.5+N324*2+O324*3+N(K324))</f>
        <v/>
      </c>
      <c r="Q324" s="6" t="n">
        <v>501.58</v>
      </c>
      <c r="R324" s="6">
        <f>Q324-P324</f>
        <v/>
      </c>
    </row>
    <row r="325">
      <c r="A325" s="5" t="inlineStr">
        <is>
          <t>3503</t>
        </is>
      </c>
      <c r="B325" s="5" t="inlineStr"/>
      <c r="C325" s="5" t="inlineStr">
        <is>
          <t>9-ROOMHONEYWAGONTRACTORDRIVER</t>
        </is>
      </c>
      <c r="D325" s="5" t="inlineStr"/>
      <c r="E325" s="6" t="n">
        <v>32.36</v>
      </c>
      <c r="F325" s="5" t="n"/>
      <c r="G325" s="5" t="n"/>
      <c r="H325" s="5" t="n"/>
      <c r="I325" s="5" t="n"/>
      <c r="J325" s="7">
        <f>IF(AND(N(F325)&gt;0,N(I325)&gt;0),I325-F325-IF(N(G325)&gt;0,0.5,0)-IF(N(H325)&gt;0,0.5,0),0)</f>
        <v/>
      </c>
      <c r="K325" s="5" t="n"/>
      <c r="L325" s="7">
        <f>MIN(J325,8.0)</f>
        <v/>
      </c>
      <c r="M325" s="7">
        <f>MAX(0,MIN(J325,12)-8.0)</f>
        <v/>
      </c>
      <c r="N325" s="7">
        <f>MAX(0,J325-12)</f>
        <v/>
      </c>
      <c r="O325" s="5" t="n"/>
      <c r="P325" s="6">
        <f>E325*(L325+M325*1.5+N325*2+O325*3+N(K325))</f>
        <v/>
      </c>
      <c r="Q325" s="6" t="n">
        <v>501.58</v>
      </c>
      <c r="R325" s="6">
        <f>Q325-P325</f>
        <v/>
      </c>
    </row>
    <row r="326">
      <c r="A326" s="5" t="inlineStr">
        <is>
          <t>3503</t>
        </is>
      </c>
      <c r="B326" s="5" t="inlineStr"/>
      <c r="C326" s="5" t="inlineStr">
        <is>
          <t>FORDTRANSITVANDRIVER#1</t>
        </is>
      </c>
      <c r="D326" s="5" t="inlineStr"/>
      <c r="E326" s="6" t="n">
        <v>32.36</v>
      </c>
      <c r="F326" s="5" t="n"/>
      <c r="G326" s="5" t="n"/>
      <c r="H326" s="5" t="n"/>
      <c r="I326" s="5" t="n"/>
      <c r="J326" s="7">
        <f>IF(AND(N(F326)&gt;0,N(I326)&gt;0),I326-F326-IF(N(G326)&gt;0,0.5,0)-IF(N(H326)&gt;0,0.5,0),0)</f>
        <v/>
      </c>
      <c r="K326" s="5" t="n"/>
      <c r="L326" s="7">
        <f>MIN(J326,8.0)</f>
        <v/>
      </c>
      <c r="M326" s="7">
        <f>MAX(0,MIN(J326,12)-8.0)</f>
        <v/>
      </c>
      <c r="N326" s="7">
        <f>MAX(0,J326-12)</f>
        <v/>
      </c>
      <c r="O326" s="5" t="n"/>
      <c r="P326" s="6">
        <f>E326*(L326+M326*1.5+N326*2+O326*3+N(K326))</f>
        <v/>
      </c>
      <c r="Q326" s="6" t="n">
        <v>501.58</v>
      </c>
      <c r="R326" s="6">
        <f>Q326-P326</f>
        <v/>
      </c>
    </row>
    <row r="327">
      <c r="A327" s="5" t="inlineStr">
        <is>
          <t>3503</t>
        </is>
      </c>
      <c r="B327" s="5" t="inlineStr">
        <is>
          <t>Kaiser Clark</t>
        </is>
      </c>
      <c r="C327" s="5" t="inlineStr">
        <is>
          <t>CSETDECTRUCKDRIVER#1</t>
        </is>
      </c>
      <c r="D327" s="5" t="inlineStr"/>
      <c r="E327" s="6" t="n">
        <v>32.36</v>
      </c>
      <c r="F327" s="5" t="n"/>
      <c r="G327" s="5" t="n"/>
      <c r="H327" s="5" t="n"/>
      <c r="I327" s="5" t="n"/>
      <c r="J327" s="7">
        <f>IF(AND(N(F327)&gt;0,N(I327)&gt;0),I327-F327-IF(N(G327)&gt;0,0.5,0)-IF(N(H327)&gt;0,0.5,0),0)</f>
        <v/>
      </c>
      <c r="K327" s="5" t="n"/>
      <c r="L327" s="7">
        <f>MIN(J327,8.0)</f>
        <v/>
      </c>
      <c r="M327" s="7">
        <f>MAX(0,MIN(J327,12)-8.0)</f>
        <v/>
      </c>
      <c r="N327" s="7">
        <f>MAX(0,J327-12)</f>
        <v/>
      </c>
      <c r="O327" s="5" t="n"/>
      <c r="P327" s="6">
        <f>E327*(L327+M327*1.5+N327*2+O327*3+N(K327))</f>
        <v/>
      </c>
      <c r="Q327" s="6" t="n">
        <v>501.58</v>
      </c>
      <c r="R327" s="6">
        <f>Q327-P327</f>
        <v/>
      </c>
    </row>
    <row r="328">
      <c r="A328" s="5" t="inlineStr">
        <is>
          <t>3503</t>
        </is>
      </c>
      <c r="B328" s="5" t="inlineStr"/>
      <c r="C328" s="5" t="inlineStr">
        <is>
          <t>C 5-TONENCLOSEDRIGGINGGRIPDRIVER</t>
        </is>
      </c>
      <c r="D328" s="5" t="inlineStr"/>
      <c r="E328" s="6" t="n">
        <v>32.36</v>
      </c>
      <c r="F328" s="5" t="n"/>
      <c r="G328" s="5" t="n"/>
      <c r="H328" s="5" t="n"/>
      <c r="I328" s="5" t="n"/>
      <c r="J328" s="7">
        <f>IF(AND(N(F328)&gt;0,N(I328)&gt;0),I328-F328-IF(N(G328)&gt;0,0.5,0)-IF(N(H328)&gt;0,0.5,0),0)</f>
        <v/>
      </c>
      <c r="K328" s="5" t="n"/>
      <c r="L328" s="7">
        <f>MIN(J328,8.0)</f>
        <v/>
      </c>
      <c r="M328" s="7">
        <f>MAX(0,MIN(J328,12)-8.0)</f>
        <v/>
      </c>
      <c r="N328" s="7">
        <f>MAX(0,J328-12)</f>
        <v/>
      </c>
      <c r="O328" s="5" t="n"/>
      <c r="P328" s="6">
        <f>E328*(L328+M328*1.5+N328*2+O328*3+N(K328))</f>
        <v/>
      </c>
      <c r="Q328" s="5" t="n"/>
      <c r="R328" s="6">
        <f>Q328-P328</f>
        <v/>
      </c>
    </row>
    <row r="329">
      <c r="A329" s="5" t="inlineStr">
        <is>
          <t>3503</t>
        </is>
      </c>
      <c r="B329" s="5" t="inlineStr"/>
      <c r="C329" s="5" t="inlineStr">
        <is>
          <t>SCOUTBUS</t>
        </is>
      </c>
      <c r="D329" s="5" t="inlineStr"/>
      <c r="E329" s="6" t="n">
        <v>32.36</v>
      </c>
      <c r="F329" s="5" t="n"/>
      <c r="G329" s="5" t="n"/>
      <c r="H329" s="5" t="n"/>
      <c r="I329" s="5" t="n"/>
      <c r="J329" s="7">
        <f>IF(AND(N(F329)&gt;0,N(I329)&gt;0),I329-F329-IF(N(G329)&gt;0,0.5,0)-IF(N(H329)&gt;0,0.5,0),0)</f>
        <v/>
      </c>
      <c r="K329" s="5" t="n"/>
      <c r="L329" s="7">
        <f>MIN(J329,8.0)</f>
        <v/>
      </c>
      <c r="M329" s="7">
        <f>MAX(0,MIN(J329,12)-8.0)</f>
        <v/>
      </c>
      <c r="N329" s="7">
        <f>MAX(0,J329-12)</f>
        <v/>
      </c>
      <c r="O329" s="5" t="n"/>
      <c r="P329" s="6">
        <f>E329*(L329+M329*1.5+N329*2+O329*3+N(K329))</f>
        <v/>
      </c>
      <c r="Q329" s="5" t="n"/>
      <c r="R329" s="6">
        <f>Q329-P329</f>
        <v/>
      </c>
    </row>
    <row r="330">
      <c r="A330" s="5" t="inlineStr">
        <is>
          <t>3503</t>
        </is>
      </c>
      <c r="B330" s="5" t="inlineStr"/>
      <c r="C330" s="5" t="inlineStr">
        <is>
          <t>DRIVERMANDAYS</t>
        </is>
      </c>
      <c r="D330" s="5" t="inlineStr"/>
      <c r="E330" s="6" t="n">
        <v>32.36</v>
      </c>
      <c r="F330" s="5" t="n"/>
      <c r="G330" s="5" t="n"/>
      <c r="H330" s="5" t="n"/>
      <c r="I330" s="5" t="n"/>
      <c r="J330" s="7">
        <f>IF(AND(N(F330)&gt;0,N(I330)&gt;0),I330-F330-IF(N(G330)&gt;0,0.5,0)-IF(N(H330)&gt;0,0.5,0),0)</f>
        <v/>
      </c>
      <c r="K330" s="5" t="n"/>
      <c r="L330" s="7">
        <f>MIN(J330,8.0)</f>
        <v/>
      </c>
      <c r="M330" s="7">
        <f>MAX(0,MIN(J330,12)-8.0)</f>
        <v/>
      </c>
      <c r="N330" s="7">
        <f>MAX(0,J330-12)</f>
        <v/>
      </c>
      <c r="O330" s="5" t="n"/>
      <c r="P330" s="6">
        <f>E330*(L330+M330*1.5+N330*2+O330*3+N(K330))</f>
        <v/>
      </c>
      <c r="Q330" s="5" t="n"/>
      <c r="R330" s="6">
        <f>Q330-P330</f>
        <v/>
      </c>
    </row>
    <row r="331">
      <c r="P331" s="2" t="inlineStr">
        <is>
          <t>DRIVERS LABOR</t>
        </is>
      </c>
      <c r="R331" s="8">
        <f>SUM(R319:R330)</f>
        <v/>
      </c>
    </row>
    <row r="333">
      <c r="B333" s="2" t="inlineStr">
        <is>
          <t>LOCATIONSITEFEES</t>
        </is>
      </c>
    </row>
    <row r="334">
      <c r="A334" s="5" t="inlineStr">
        <is>
          <t>3607</t>
        </is>
      </c>
      <c r="B334" s="5" t="inlineStr"/>
      <c r="C334" s="5" t="inlineStr">
        <is>
          <t>Location#1(Hospital ER, LACountry Childrens Shelter, Shelter Dorm, Dept...</t>
        </is>
      </c>
      <c r="D334" s="5" t="inlineStr">
        <is>
          <t>Local400</t>
        </is>
      </c>
      <c r="E334" s="6" t="n">
        <v>50000</v>
      </c>
      <c r="F334" s="5" t="n"/>
      <c r="G334" s="5" t="n"/>
      <c r="H334" s="5" t="n"/>
      <c r="I334" s="5" t="n"/>
      <c r="J334" s="7">
        <f>IF(AND(N(F334)&gt;0,N(I334)&gt;0),I334-F334-IF(N(G334)&gt;0,0.5,0)-IF(N(H334)&gt;0,0.5,0),0)</f>
        <v/>
      </c>
      <c r="K334" s="5" t="n"/>
      <c r="L334" s="7">
        <f>MIN(J334,8.0)</f>
        <v/>
      </c>
      <c r="M334" s="7">
        <f>MAX(0,MIN(J334,12)-8.0)</f>
        <v/>
      </c>
      <c r="N334" s="7">
        <f>MAX(0,J334-12)</f>
        <v/>
      </c>
      <c r="O334" s="5" t="n"/>
      <c r="P334" s="6">
        <f>E334*(L334+M334*1.5+N334*2+O334*3+N(K334))</f>
        <v/>
      </c>
      <c r="Q334" s="6" t="n">
        <v>50000</v>
      </c>
      <c r="R334" s="6">
        <f>Q334-P334</f>
        <v/>
      </c>
    </row>
    <row r="335">
      <c r="P335" s="2" t="inlineStr">
        <is>
          <t>LOCATIONSITEFEES LABOR</t>
        </is>
      </c>
      <c r="R335" s="8">
        <f>SUM(R334:R334)</f>
        <v/>
      </c>
    </row>
    <row r="337">
      <c r="B337" s="2" t="inlineStr">
        <is>
          <t>CATERINGLABOR</t>
        </is>
      </c>
    </row>
    <row r="338">
      <c r="A338" s="5" t="inlineStr">
        <is>
          <t>3621</t>
        </is>
      </c>
      <c r="B338" s="5" t="inlineStr"/>
      <c r="C338" s="5" t="inlineStr">
        <is>
          <t>COOKDRIVER#1</t>
        </is>
      </c>
      <c r="D338" s="5" t="inlineStr">
        <is>
          <t>Local399</t>
        </is>
      </c>
      <c r="E338" s="6" t="n">
        <v>32.36</v>
      </c>
      <c r="F338" s="5" t="n"/>
      <c r="G338" s="5" t="n"/>
      <c r="H338" s="5" t="n"/>
      <c r="I338" s="5" t="n"/>
      <c r="J338" s="7">
        <f>IF(AND(N(F338)&gt;0,N(I338)&gt;0),I338-F338-IF(N(G338)&gt;0,0.5,0)-IF(N(H338)&gt;0,0.5,0),0)</f>
        <v/>
      </c>
      <c r="K338" s="5" t="n"/>
      <c r="L338" s="7">
        <f>MIN(J338,8.0)</f>
        <v/>
      </c>
      <c r="M338" s="7">
        <f>MAX(0,MIN(J338,12)-8.0)</f>
        <v/>
      </c>
      <c r="N338" s="7">
        <f>MAX(0,J338-12)</f>
        <v/>
      </c>
      <c r="O338" s="5" t="n"/>
      <c r="P338" s="6">
        <f>E338*(L338+M338*1.5+N338*2+O338*3+N(K338))</f>
        <v/>
      </c>
      <c r="Q338" s="6" t="n">
        <v>647.2</v>
      </c>
      <c r="R338" s="6">
        <f>Q338-P338</f>
        <v/>
      </c>
    </row>
    <row r="339">
      <c r="A339" s="5" t="inlineStr">
        <is>
          <t>3621</t>
        </is>
      </c>
      <c r="B339" s="5" t="inlineStr"/>
      <c r="C339" s="5" t="inlineStr">
        <is>
          <t>1STASSTCATERER#1</t>
        </is>
      </c>
      <c r="D339" s="5" t="inlineStr"/>
      <c r="E339" s="6" t="n">
        <v>17</v>
      </c>
      <c r="F339" s="5" t="n"/>
      <c r="G339" s="5" t="n"/>
      <c r="H339" s="5" t="n"/>
      <c r="I339" s="5" t="n"/>
      <c r="J339" s="7">
        <f>IF(AND(N(F339)&gt;0,N(I339)&gt;0),I339-F339-IF(N(G339)&gt;0,0.5,0)-IF(N(H339)&gt;0,0.5,0),0)</f>
        <v/>
      </c>
      <c r="K339" s="5" t="n"/>
      <c r="L339" s="7">
        <f>MIN(J339,8.0)</f>
        <v/>
      </c>
      <c r="M339" s="7">
        <f>MAX(0,MIN(J339,12)-8.0)</f>
        <v/>
      </c>
      <c r="N339" s="7">
        <f>MAX(0,J339-12)</f>
        <v/>
      </c>
      <c r="O339" s="5" t="n"/>
      <c r="P339" s="6">
        <f>E339*(L339+M339*1.5+N339*2+O339*3+N(K339))</f>
        <v/>
      </c>
      <c r="Q339" s="6" t="n">
        <v>340</v>
      </c>
      <c r="R339" s="6">
        <f>Q339-P339</f>
        <v/>
      </c>
    </row>
    <row r="340">
      <c r="A340" s="5" t="inlineStr">
        <is>
          <t>3621</t>
        </is>
      </c>
      <c r="B340" s="5" t="inlineStr"/>
      <c r="C340" s="5" t="inlineStr">
        <is>
          <t>1STASSTCATERER#2</t>
        </is>
      </c>
      <c r="D340" s="5" t="inlineStr"/>
      <c r="E340" s="6" t="n">
        <v>16</v>
      </c>
      <c r="F340" s="5" t="n"/>
      <c r="G340" s="5" t="n"/>
      <c r="H340" s="5" t="n"/>
      <c r="I340" s="5" t="n"/>
      <c r="J340" s="7">
        <f>IF(AND(N(F340)&gt;0,N(I340)&gt;0),I340-F340-IF(N(G340)&gt;0,0.5,0)-IF(N(H340)&gt;0,0.5,0),0)</f>
        <v/>
      </c>
      <c r="K340" s="5" t="n"/>
      <c r="L340" s="7">
        <f>MIN(J340,8.0)</f>
        <v/>
      </c>
      <c r="M340" s="7">
        <f>MAX(0,MIN(J340,12)-8.0)</f>
        <v/>
      </c>
      <c r="N340" s="7">
        <f>MAX(0,J340-12)</f>
        <v/>
      </c>
      <c r="O340" s="5" t="n"/>
      <c r="P340" s="6">
        <f>E340*(L340+M340*1.5+N340*2+O340*3+N(K340))</f>
        <v/>
      </c>
      <c r="Q340" s="6" t="n">
        <v>320</v>
      </c>
      <c r="R340" s="6">
        <f>Q340-P340</f>
        <v/>
      </c>
    </row>
    <row r="341">
      <c r="P341" s="2" t="inlineStr">
        <is>
          <t>CATERINGLABOR LABOR</t>
        </is>
      </c>
      <c r="R341" s="8">
        <f>SUM(R338:R340)</f>
        <v/>
      </c>
    </row>
    <row r="343">
      <c r="K343" s="9" t="inlineStr">
        <is>
          <t>TOTAL</t>
        </is>
      </c>
      <c r="P343" s="9" t="inlineStr">
        <is>
          <t>ACTUAL</t>
        </is>
      </c>
      <c r="Q343" s="9" t="inlineStr">
        <is>
          <t>BUDGET</t>
        </is>
      </c>
      <c r="R343" s="9" t="inlineStr">
        <is>
          <t>TOTAL VAR</t>
        </is>
      </c>
    </row>
    <row r="344">
      <c r="P344" s="9" t="inlineStr">
        <is>
          <t>DAY COST</t>
        </is>
      </c>
      <c r="Q344" s="9" t="inlineStr">
        <is>
          <t>DY COST</t>
        </is>
      </c>
      <c r="R344" s="9" t="inlineStr">
        <is>
          <t>(OVER) / UNDER</t>
        </is>
      </c>
    </row>
    <row r="345">
      <c r="P345" s="10">
        <f>SUM(P6:P6)+SUM(P10:P11)+SUM(P15:P17)+SUM(P21:P22)+SUM(P26:P32)+SUM(P36:P36)+SUM(P40:P41)+SUM(P45:P45)+SUM(P49:P49)+SUM(P53:P54)+SUM(P58:P58)+SUM(P62:P62)+SUM(P66:P67)+SUM(P71:P71)+SUM(P75:P75)+SUM(P79:P80)+SUM(P84:P84)+SUM(P88:P88)+SUM(P92:P93)+SUM(P97:P100)+SUM(P104:P104)+SUM(P108:P109)+SUM(P113:P113)+SUM(P117:P117)+SUM(P121:P121)+SUM(P125:P125)+SUM(P129:P130)+SUM(P134:P134)+SUM(P138:P139)+SUM(P143:P145)+SUM(P149:P149)+SUM(P153:P153)+SUM(P157:P158)+SUM(P162:P163)+SUM(P167:P167)+SUM(P171:P173)+SUM(P177:P177)+SUM(P181:P181)+SUM(P185:P187)+SUM(P191:P191)+SUM(P195:P195)+SUM(P199:P199)+SUM(P203:P203)+SUM(P207:P207)+SUM(P211:P211)+SUM(P215:P216)+SUM(P220:P220)+SUM(P224:P224)+SUM(P228:P228)+SUM(P232:P233)+SUM(P237:P237)+SUM(P241:P241)+SUM(P245:P245)+SUM(P249:P249)+SUM(P253:P254)+SUM(P258:P260)+SUM(P264:P264)+SUM(P268:P268)+SUM(P272:P272)+SUM(P276:P276)+SUM(P280:P281)+SUM(P285:P286)+SUM(P290:P290)+SUM(P294:P294)+SUM(P298:P298)+SUM(P302:P302)+SUM(P306:P306)+SUM(P310:P310)+SUM(P314:P315)+SUM(P319:P330)+SUM(P334:P334)+SUM(P338:P340)</f>
        <v/>
      </c>
      <c r="Q345" s="10">
        <f>SUM(Q6:Q6)+SUM(Q10:Q11)+SUM(Q15:Q17)+SUM(Q21:Q22)+SUM(Q26:Q32)+SUM(Q36:Q36)+SUM(Q40:Q41)+SUM(Q45:Q45)+SUM(Q49:Q49)+SUM(Q53:Q54)+SUM(Q58:Q58)+SUM(Q62:Q62)+SUM(Q66:Q67)+SUM(Q71:Q71)+SUM(Q75:Q75)+SUM(Q79:Q80)+SUM(Q84:Q84)+SUM(Q88:Q88)+SUM(Q92:Q93)+SUM(Q97:Q100)+SUM(Q104:Q104)+SUM(Q108:Q109)+SUM(Q113:Q113)+SUM(Q117:Q117)+SUM(Q121:Q121)+SUM(Q125:Q125)+SUM(Q129:Q130)+SUM(Q134:Q134)+SUM(Q138:Q139)+SUM(Q143:Q145)+SUM(Q149:Q149)+SUM(Q153:Q153)+SUM(Q157:Q158)+SUM(Q162:Q163)+SUM(Q167:Q167)+SUM(Q171:Q173)+SUM(Q177:Q177)+SUM(Q181:Q181)+SUM(Q185:Q187)+SUM(Q191:Q191)+SUM(Q195:Q195)+SUM(Q199:Q199)+SUM(Q203:Q203)+SUM(Q207:Q207)+SUM(Q211:Q211)+SUM(Q215:Q216)+SUM(Q220:Q220)+SUM(Q224:Q224)+SUM(Q228:Q228)+SUM(Q232:Q233)+SUM(Q237:Q237)+SUM(Q241:Q241)+SUM(Q245:Q245)+SUM(Q249:Q249)+SUM(Q253:Q254)+SUM(Q258:Q260)+SUM(Q264:Q264)+SUM(Q268:Q268)+SUM(Q272:Q272)+SUM(Q276:Q276)+SUM(Q280:Q281)+SUM(Q285:Q286)+SUM(Q290:Q290)+SUM(Q294:Q294)+SUM(Q298:Q298)+SUM(Q302:Q302)+SUM(Q306:Q306)+SUM(Q310:Q310)+SUM(Q314:Q315)+SUM(Q319:Q330)+SUM(Q334:Q334)+SUM(Q338:Q340)</f>
        <v/>
      </c>
      <c r="R345" s="10">
        <f>SUM(R6:R6)+SUM(R10:R11)+SUM(R15:R17)+SUM(R21:R22)+SUM(R26:R32)+SUM(R36:R36)+SUM(R40:R41)+SUM(R45:R45)+SUM(R49:R49)+SUM(R53:R54)+SUM(R58:R58)+SUM(R62:R62)+SUM(R66:R67)+SUM(R71:R71)+SUM(R75:R75)+SUM(R79:R80)+SUM(R84:R84)+SUM(R88:R88)+SUM(R92:R93)+SUM(R97:R100)+SUM(R104:R104)+SUM(R108:R109)+SUM(R113:R113)+SUM(R117:R117)+SUM(R121:R121)+SUM(R125:R125)+SUM(R129:R130)+SUM(R134:R134)+SUM(R138:R139)+SUM(R143:R145)+SUM(R149:R149)+SUM(R153:R153)+SUM(R157:R158)+SUM(R162:R163)+SUM(R167:R167)+SUM(R171:R173)+SUM(R177:R177)+SUM(R181:R181)+SUM(R185:R187)+SUM(R191:R191)+SUM(R195:R195)+SUM(R199:R199)+SUM(R203:R203)+SUM(R207:R207)+SUM(R211:R211)+SUM(R215:R216)+SUM(R220:R220)+SUM(R224:R224)+SUM(R228:R228)+SUM(R232:R233)+SUM(R237:R237)+SUM(R241:R241)+SUM(R245:R245)+SUM(R249:R249)+SUM(R253:R254)+SUM(R258:R260)+SUM(R264:R264)+SUM(R268:R268)+SUM(R272:R272)+SUM(R276:R276)+SUM(R280:R281)+SUM(R285:R286)+SUM(R290:R290)+SUM(R294:R294)+SUM(R298:R298)+SUM(R302:R302)+SUM(R306:R306)+SUM(R310:R310)+SUM(R314:R315)+SUM(R319:R330)+SUM(R334:R334)+SUM(R338:R340)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34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20" customWidth="1" min="3" max="3"/>
    <col width="9" customWidth="1" min="4" max="4"/>
    <col width="9" customWidth="1" min="5" max="5"/>
    <col width="7" customWidth="1" min="6" max="6"/>
    <col width="7" customWidth="1" min="7" max="7"/>
    <col width="8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12" customWidth="1" min="16" max="16"/>
    <col width="13" customWidth="1" min="17" max="17"/>
    <col width="14" customWidth="1" min="18" max="18"/>
  </cols>
  <sheetData>
    <row r="1">
      <c r="A1" s="1" t="inlineStr">
        <is>
          <t>HOT COST</t>
        </is>
      </c>
      <c r="C1" t="inlineStr">
        <is>
          <t>Tuesday 24 Oct 2017</t>
        </is>
      </c>
      <c r="F1" s="2" t="inlineStr">
        <is>
          <t>DAY #7</t>
        </is>
      </c>
    </row>
    <row r="2">
      <c r="A2" s="3" t="inlineStr">
        <is>
          <t>enter CALL, LUNCH, WRAP as decimal hours (e.g. 7.5) — everything right of WRAP computes</t>
        </is>
      </c>
    </row>
    <row r="4">
      <c r="A4" s="4" t="inlineStr">
        <is>
          <t>ACCT</t>
        </is>
      </c>
      <c r="B4" s="4" t="inlineStr">
        <is>
          <t>NAME</t>
        </is>
      </c>
      <c r="C4" s="4" t="inlineStr">
        <is>
          <t>POSITION</t>
        </is>
      </c>
      <c r="D4" s="4" t="inlineStr">
        <is>
          <t>UNION</t>
        </is>
      </c>
      <c r="E4" s="4" t="inlineStr">
        <is>
          <t>RATE</t>
        </is>
      </c>
      <c r="F4" s="4" t="inlineStr">
        <is>
          <t>CALL</t>
        </is>
      </c>
      <c r="G4" s="4" t="inlineStr">
        <is>
          <t>LUNCH</t>
        </is>
      </c>
      <c r="H4" s="4" t="inlineStr">
        <is>
          <t>LUNCH 2</t>
        </is>
      </c>
      <c r="I4" s="4" t="inlineStr">
        <is>
          <t>WRAP</t>
        </is>
      </c>
      <c r="J4" s="4" t="inlineStr">
        <is>
          <t>HRS</t>
        </is>
      </c>
      <c r="K4" s="4" t="inlineStr">
        <is>
          <t>MP'S</t>
        </is>
      </c>
      <c r="L4" s="4" t="inlineStr">
        <is>
          <t>ST</t>
        </is>
      </c>
      <c r="M4" s="4" t="inlineStr">
        <is>
          <t>1.5X</t>
        </is>
      </c>
      <c r="N4" s="4" t="inlineStr">
        <is>
          <t>2X</t>
        </is>
      </c>
      <c r="O4" s="4" t="inlineStr">
        <is>
          <t>3X</t>
        </is>
      </c>
      <c r="P4" s="4" t="inlineStr">
        <is>
          <t>TOTAL / DAY</t>
        </is>
      </c>
      <c r="Q4" s="4" t="inlineStr">
        <is>
          <t>BUDGET / DAY</t>
        </is>
      </c>
      <c r="R4" s="4" t="inlineStr">
        <is>
          <t>(OVER) / UNDER</t>
        </is>
      </c>
    </row>
    <row r="5">
      <c r="B5" s="2" t="inlineStr">
        <is>
          <t>LEAD#</t>
        </is>
      </c>
    </row>
    <row r="6">
      <c r="A6" s="5" t="inlineStr">
        <is>
          <t>1401</t>
        </is>
      </c>
      <c r="B6" s="5" t="inlineStr">
        <is>
          <t>Linda Cardellini</t>
        </is>
      </c>
      <c r="C6" s="5" t="inlineStr">
        <is>
          <t>"ANNA"</t>
        </is>
      </c>
      <c r="D6" s="5" t="inlineStr"/>
      <c r="E6" s="6" t="n">
        <v>1211.8</v>
      </c>
      <c r="F6" s="5" t="n"/>
      <c r="G6" s="5" t="n"/>
      <c r="H6" s="5" t="n"/>
      <c r="I6" s="5" t="n"/>
      <c r="J6" s="7">
        <f>IF(AND(N(F6)&gt;0,N(I6)&gt;0),I6-F6-IF(N(G6)&gt;0,0.5,0)-IF(N(H6)&gt;0,0.5,0),0)</f>
        <v/>
      </c>
      <c r="K6" s="5" t="n"/>
      <c r="L6" s="7">
        <f>MIN(J6,8.0)</f>
        <v/>
      </c>
      <c r="M6" s="7">
        <f>MAX(0,MIN(J6,12)-8.0)</f>
        <v/>
      </c>
      <c r="N6" s="7">
        <f>MAX(0,J6-12)</f>
        <v/>
      </c>
      <c r="O6" s="5" t="n"/>
      <c r="P6" s="6">
        <f>E6*(L6+M6*1.5+N6*2+O6*3+N(K6))</f>
        <v/>
      </c>
      <c r="Q6" s="6" t="n">
        <v>1211.8</v>
      </c>
      <c r="R6" s="6">
        <f>Q6-P6</f>
        <v/>
      </c>
    </row>
    <row r="7">
      <c r="P7" s="2" t="inlineStr">
        <is>
          <t>LEAD# LABOR</t>
        </is>
      </c>
      <c r="R7" s="8">
        <f>SUM(R6:R6)</f>
        <v/>
      </c>
    </row>
    <row r="9">
      <c r="B9" s="2" t="inlineStr">
        <is>
          <t>LEAD#2&amp;#</t>
        </is>
      </c>
    </row>
    <row r="10">
      <c r="A10" s="5" t="inlineStr">
        <is>
          <t>1402</t>
        </is>
      </c>
      <c r="B10" s="5" t="inlineStr">
        <is>
          <t>Roman Christou</t>
        </is>
      </c>
      <c r="C10" s="5" t="inlineStr">
        <is>
          <t>"CHRIS"(Minor)</t>
        </is>
      </c>
      <c r="D10" s="5" t="inlineStr"/>
      <c r="E10" s="6" t="n">
        <v>755.4</v>
      </c>
      <c r="F10" s="5" t="n"/>
      <c r="G10" s="5" t="n"/>
      <c r="H10" s="5" t="n"/>
      <c r="I10" s="5" t="n"/>
      <c r="J10" s="7">
        <f>IF(AND(N(F10)&gt;0,N(I10)&gt;0),I10-F10-IF(N(G10)&gt;0,0.5,0)-IF(N(H10)&gt;0,0.5,0),0)</f>
        <v/>
      </c>
      <c r="K10" s="5" t="n"/>
      <c r="L10" s="7">
        <f>MIN(J10,8.0)</f>
        <v/>
      </c>
      <c r="M10" s="7">
        <f>MAX(0,MIN(J10,12)-8.0)</f>
        <v/>
      </c>
      <c r="N10" s="7">
        <f>MAX(0,J10-12)</f>
        <v/>
      </c>
      <c r="O10" s="5" t="n"/>
      <c r="P10" s="6">
        <f>E10*(L10+M10*1.5+N10*2+O10*3+N(K10))</f>
        <v/>
      </c>
      <c r="Q10" s="6" t="n">
        <v>755.4</v>
      </c>
      <c r="R10" s="6">
        <f>Q10-P10</f>
        <v/>
      </c>
    </row>
    <row r="11">
      <c r="A11" s="5" t="inlineStr">
        <is>
          <t>1402</t>
        </is>
      </c>
      <c r="B11" s="5" t="inlineStr">
        <is>
          <t>Jaynee Lynee Kinchen</t>
        </is>
      </c>
      <c r="C11" s="5" t="inlineStr">
        <is>
          <t>"SAMANTHA"(Minor)</t>
        </is>
      </c>
      <c r="D11" s="5" t="inlineStr"/>
      <c r="E11" s="6" t="n">
        <v>755.4</v>
      </c>
      <c r="F11" s="5" t="n"/>
      <c r="G11" s="5" t="n"/>
      <c r="H11" s="5" t="n"/>
      <c r="I11" s="5" t="n"/>
      <c r="J11" s="7">
        <f>IF(AND(N(F11)&gt;0,N(I11)&gt;0),I11-F11-IF(N(G11)&gt;0,0.5,0)-IF(N(H11)&gt;0,0.5,0),0)</f>
        <v/>
      </c>
      <c r="K11" s="5" t="n"/>
      <c r="L11" s="7">
        <f>MIN(J11,8.0)</f>
        <v/>
      </c>
      <c r="M11" s="7">
        <f>MAX(0,MIN(J11,12)-8.0)</f>
        <v/>
      </c>
      <c r="N11" s="7">
        <f>MAX(0,J11-12)</f>
        <v/>
      </c>
      <c r="O11" s="5" t="n"/>
      <c r="P11" s="6">
        <f>E11*(L11+M11*1.5+N11*2+O11*3+N(K11))</f>
        <v/>
      </c>
      <c r="Q11" s="6" t="n">
        <v>755.4</v>
      </c>
      <c r="R11" s="6">
        <f>Q11-P11</f>
        <v/>
      </c>
    </row>
    <row r="12">
      <c r="P12" s="2" t="inlineStr">
        <is>
          <t>LEAD#2&amp;# LABOR</t>
        </is>
      </c>
      <c r="R12" s="8">
        <f>SUM(R10:R11)</f>
        <v/>
      </c>
    </row>
    <row r="14">
      <c r="B14" s="2" t="inlineStr">
        <is>
          <t>OTHERLEADCAST</t>
        </is>
      </c>
    </row>
    <row r="15">
      <c r="A15" s="5" t="inlineStr">
        <is>
          <t>1403</t>
        </is>
      </c>
      <c r="B15" s="5" t="inlineStr">
        <is>
          <t>Raymond Cruz</t>
        </is>
      </c>
      <c r="C15" s="5" t="inlineStr">
        <is>
          <t>"RAFAELOLVERA"</t>
        </is>
      </c>
      <c r="D15" s="5" t="inlineStr"/>
      <c r="E15" s="6" t="n">
        <v>1211.8</v>
      </c>
      <c r="F15" s="5" t="n"/>
      <c r="G15" s="5" t="n"/>
      <c r="H15" s="5" t="n"/>
      <c r="I15" s="5" t="n"/>
      <c r="J15" s="7">
        <f>IF(AND(N(F15)&gt;0,N(I15)&gt;0),I15-F15-IF(N(G15)&gt;0,0.5,0)-IF(N(H15)&gt;0,0.5,0),0)</f>
        <v/>
      </c>
      <c r="K15" s="5" t="n"/>
      <c r="L15" s="7">
        <f>MIN(J15,8.0)</f>
        <v/>
      </c>
      <c r="M15" s="7">
        <f>MAX(0,MIN(J15,12)-8.0)</f>
        <v/>
      </c>
      <c r="N15" s="7">
        <f>MAX(0,J15-12)</f>
        <v/>
      </c>
      <c r="O15" s="5" t="n"/>
      <c r="P15" s="6">
        <f>E15*(L15+M15*1.5+N15*2+O15*3+N(K15))</f>
        <v/>
      </c>
      <c r="Q15" s="6" t="n">
        <v>1211.8</v>
      </c>
      <c r="R15" s="6">
        <f>Q15-P15</f>
        <v/>
      </c>
    </row>
    <row r="16">
      <c r="A16" s="5" t="inlineStr">
        <is>
          <t>1403</t>
        </is>
      </c>
      <c r="B16" s="5" t="inlineStr">
        <is>
          <t>Marisol Ramirez</t>
        </is>
      </c>
      <c r="C16" s="5" t="inlineStr">
        <is>
          <t>"LALLORONA"</t>
        </is>
      </c>
      <c r="D16" s="5" t="inlineStr"/>
      <c r="E16" s="6" t="n">
        <v>1211.8</v>
      </c>
      <c r="F16" s="5" t="n"/>
      <c r="G16" s="5" t="n"/>
      <c r="H16" s="5" t="n"/>
      <c r="I16" s="5" t="n"/>
      <c r="J16" s="7">
        <f>IF(AND(N(F16)&gt;0,N(I16)&gt;0),I16-F16-IF(N(G16)&gt;0,0.5,0)-IF(N(H16)&gt;0,0.5,0),0)</f>
        <v/>
      </c>
      <c r="K16" s="5" t="n"/>
      <c r="L16" s="7">
        <f>MIN(J16,8.0)</f>
        <v/>
      </c>
      <c r="M16" s="7">
        <f>MAX(0,MIN(J16,12)-8.0)</f>
        <v/>
      </c>
      <c r="N16" s="7">
        <f>MAX(0,J16-12)</f>
        <v/>
      </c>
      <c r="O16" s="5" t="n"/>
      <c r="P16" s="6">
        <f>E16*(L16+M16*1.5+N16*2+O16*3+N(K16))</f>
        <v/>
      </c>
      <c r="Q16" s="6" t="n">
        <v>1211.8</v>
      </c>
      <c r="R16" s="6">
        <f>Q16-P16</f>
        <v/>
      </c>
    </row>
    <row r="17">
      <c r="A17" s="5" t="inlineStr">
        <is>
          <t>1403</t>
        </is>
      </c>
      <c r="B17" s="5" t="inlineStr">
        <is>
          <t>Patrica Velasquez</t>
        </is>
      </c>
      <c r="C17" s="5" t="inlineStr">
        <is>
          <t>"PATRICIA"</t>
        </is>
      </c>
      <c r="D17" s="5" t="inlineStr"/>
      <c r="E17" s="6" t="n">
        <v>1972</v>
      </c>
      <c r="F17" s="5" t="n"/>
      <c r="G17" s="5" t="n"/>
      <c r="H17" s="5" t="n"/>
      <c r="I17" s="5" t="n"/>
      <c r="J17" s="7">
        <f>IF(AND(N(F17)&gt;0,N(I17)&gt;0),I17-F17-IF(N(G17)&gt;0,0.5,0)-IF(N(H17)&gt;0,0.5,0),0)</f>
        <v/>
      </c>
      <c r="K17" s="5" t="n"/>
      <c r="L17" s="7">
        <f>MIN(J17,8.0)</f>
        <v/>
      </c>
      <c r="M17" s="7">
        <f>MAX(0,MIN(J17,12)-8.0)</f>
        <v/>
      </c>
      <c r="N17" s="7">
        <f>MAX(0,J17-12)</f>
        <v/>
      </c>
      <c r="O17" s="5" t="n"/>
      <c r="P17" s="6">
        <f>E17*(L17+M17*1.5+N17*2+O17*3+N(K17))</f>
        <v/>
      </c>
      <c r="Q17" s="6" t="n">
        <v>1972</v>
      </c>
      <c r="R17" s="6">
        <f>Q17-P17</f>
        <v/>
      </c>
    </row>
    <row r="18">
      <c r="P18" s="2" t="inlineStr">
        <is>
          <t>OTHERLEADCAST LABOR</t>
        </is>
      </c>
      <c r="R18" s="8">
        <f>SUM(R15:R17)</f>
        <v/>
      </c>
    </row>
    <row r="20">
      <c r="B20" s="2" t="inlineStr">
        <is>
          <t>SUPPORTINGCAST</t>
        </is>
      </c>
    </row>
    <row r="21">
      <c r="A21" s="5" t="inlineStr">
        <is>
          <t>1404</t>
        </is>
      </c>
      <c r="B21" s="5" t="inlineStr">
        <is>
          <t>Sean Patrick Thomas</t>
        </is>
      </c>
      <c r="C21" s="5" t="inlineStr">
        <is>
          <t>DETCOOPER</t>
        </is>
      </c>
      <c r="D21" s="5" t="inlineStr"/>
      <c r="E21" s="6" t="n">
        <v>1211.8</v>
      </c>
      <c r="F21" s="5" t="n"/>
      <c r="G21" s="5" t="n"/>
      <c r="H21" s="5" t="n"/>
      <c r="I21" s="5" t="n"/>
      <c r="J21" s="7">
        <f>IF(AND(N(F21)&gt;0,N(I21)&gt;0),I21-F21-IF(N(G21)&gt;0,0.5,0)-IF(N(H21)&gt;0,0.5,0),0)</f>
        <v/>
      </c>
      <c r="K21" s="5" t="n"/>
      <c r="L21" s="7">
        <f>MIN(J21,8.0)</f>
        <v/>
      </c>
      <c r="M21" s="7">
        <f>MAX(0,MIN(J21,12)-8.0)</f>
        <v/>
      </c>
      <c r="N21" s="7">
        <f>MAX(0,J21-12)</f>
        <v/>
      </c>
      <c r="O21" s="5" t="n"/>
      <c r="P21" s="6">
        <f>E21*(L21+M21*1.5+N21*2+O21*3+N(K21))</f>
        <v/>
      </c>
      <c r="Q21" s="6" t="n">
        <v>1211.8</v>
      </c>
      <c r="R21" s="6">
        <f>Q21-P21</f>
        <v/>
      </c>
    </row>
    <row r="22">
      <c r="A22" s="5" t="inlineStr">
        <is>
          <t>1404</t>
        </is>
      </c>
      <c r="B22" s="5" t="inlineStr">
        <is>
          <t>Tony Amendola</t>
        </is>
      </c>
      <c r="C22" s="5" t="inlineStr">
        <is>
          <t>"FATHERPEREZ"</t>
        </is>
      </c>
      <c r="D22" s="5" t="inlineStr"/>
      <c r="E22" s="6" t="n">
        <v>1972</v>
      </c>
      <c r="F22" s="5" t="n"/>
      <c r="G22" s="5" t="n"/>
      <c r="H22" s="5" t="n"/>
      <c r="I22" s="5" t="n"/>
      <c r="J22" s="7">
        <f>IF(AND(N(F22)&gt;0,N(I22)&gt;0),I22-F22-IF(N(G22)&gt;0,0.5,0)-IF(N(H22)&gt;0,0.5,0),0)</f>
        <v/>
      </c>
      <c r="K22" s="5" t="n"/>
      <c r="L22" s="7">
        <f>MIN(J22,8.0)</f>
        <v/>
      </c>
      <c r="M22" s="7">
        <f>MAX(0,MIN(J22,12)-8.0)</f>
        <v/>
      </c>
      <c r="N22" s="7">
        <f>MAX(0,J22-12)</f>
        <v/>
      </c>
      <c r="O22" s="5" t="n"/>
      <c r="P22" s="6">
        <f>E22*(L22+M22*1.5+N22*2+O22*3+N(K22))</f>
        <v/>
      </c>
      <c r="Q22" s="6" t="n">
        <v>1972</v>
      </c>
      <c r="R22" s="6">
        <f>Q22-P22</f>
        <v/>
      </c>
    </row>
    <row r="23">
      <c r="P23" s="2" t="inlineStr">
        <is>
          <t>SUPPORTINGCAST LABOR</t>
        </is>
      </c>
      <c r="R23" s="8">
        <f>SUM(R21:R22)</f>
        <v/>
      </c>
    </row>
    <row r="25">
      <c r="B25" s="2" t="inlineStr">
        <is>
          <t>DAYPLAYERS</t>
        </is>
      </c>
    </row>
    <row r="26">
      <c r="A26" s="5" t="inlineStr">
        <is>
          <t>1405</t>
        </is>
      </c>
      <c r="B26" s="5" t="inlineStr">
        <is>
          <t>Kristy Keng(Drop/Pickup)</t>
        </is>
      </c>
      <c r="C26" s="5" t="inlineStr">
        <is>
          <t>"DONNA"</t>
        </is>
      </c>
      <c r="D26" s="5" t="inlineStr"/>
      <c r="E26" s="6" t="n">
        <v>1972</v>
      </c>
      <c r="F26" s="5" t="n"/>
      <c r="G26" s="5" t="n"/>
      <c r="H26" s="5" t="n"/>
      <c r="I26" s="5" t="n"/>
      <c r="J26" s="7">
        <f>IF(AND(N(F26)&gt;0,N(I26)&gt;0),I26-F26-IF(N(G26)&gt;0,0.5,0)-IF(N(H26)&gt;0,0.5,0),0)</f>
        <v/>
      </c>
      <c r="K26" s="5" t="n"/>
      <c r="L26" s="7">
        <f>MIN(J26,8.0)</f>
        <v/>
      </c>
      <c r="M26" s="7">
        <f>MAX(0,MIN(J26,12)-8.0)</f>
        <v/>
      </c>
      <c r="N26" s="7">
        <f>MAX(0,J26-12)</f>
        <v/>
      </c>
      <c r="O26" s="5" t="n"/>
      <c r="P26" s="6">
        <f>E26*(L26+M26*1.5+N26*2+O26*3+N(K26))</f>
        <v/>
      </c>
      <c r="Q26" s="6" t="n">
        <v>1972</v>
      </c>
      <c r="R26" s="6">
        <f>Q26-P26</f>
        <v/>
      </c>
    </row>
    <row r="27">
      <c r="A27" s="5" t="inlineStr">
        <is>
          <t>1405</t>
        </is>
      </c>
      <c r="B27" s="5" t="inlineStr">
        <is>
          <t>Oliver Alexander</t>
        </is>
      </c>
      <c r="C27" s="5" t="inlineStr">
        <is>
          <t>"CARLOS"(Minor)</t>
        </is>
      </c>
      <c r="D27" s="5" t="inlineStr"/>
      <c r="E27" s="6" t="n">
        <v>1249</v>
      </c>
      <c r="F27" s="5" t="n"/>
      <c r="G27" s="5" t="n"/>
      <c r="H27" s="5" t="n"/>
      <c r="I27" s="5" t="n"/>
      <c r="J27" s="7">
        <f>IF(AND(N(F27)&gt;0,N(I27)&gt;0),I27-F27-IF(N(G27)&gt;0,0.5,0)-IF(N(H27)&gt;0,0.5,0),0)</f>
        <v/>
      </c>
      <c r="K27" s="5" t="n"/>
      <c r="L27" s="7">
        <f>MIN(J27,8.0)</f>
        <v/>
      </c>
      <c r="M27" s="7">
        <f>MAX(0,MIN(J27,12)-8.0)</f>
        <v/>
      </c>
      <c r="N27" s="7">
        <f>MAX(0,J27-12)</f>
        <v/>
      </c>
      <c r="O27" s="5" t="n"/>
      <c r="P27" s="6">
        <f>E27*(L27+M27*1.5+N27*2+O27*3+N(K27))</f>
        <v/>
      </c>
      <c r="Q27" s="6" t="n">
        <v>1249</v>
      </c>
      <c r="R27" s="6">
        <f>Q27-P27</f>
        <v/>
      </c>
    </row>
    <row r="28">
      <c r="A28" s="5" t="inlineStr">
        <is>
          <t>1405</t>
        </is>
      </c>
      <c r="B28" s="5" t="inlineStr">
        <is>
          <t>Adam Lewandowski</t>
        </is>
      </c>
      <c r="C28" s="5" t="inlineStr">
        <is>
          <t>"TOMAS"(Minor)</t>
        </is>
      </c>
      <c r="D28" s="5" t="inlineStr"/>
      <c r="E28" s="6" t="n">
        <v>1249</v>
      </c>
      <c r="F28" s="5" t="n"/>
      <c r="G28" s="5" t="n"/>
      <c r="H28" s="5" t="n"/>
      <c r="I28" s="5" t="n"/>
      <c r="J28" s="7">
        <f>IF(AND(N(F28)&gt;0,N(I28)&gt;0),I28-F28-IF(N(G28)&gt;0,0.5,0)-IF(N(H28)&gt;0,0.5,0),0)</f>
        <v/>
      </c>
      <c r="K28" s="5" t="n"/>
      <c r="L28" s="7">
        <f>MIN(J28,8.0)</f>
        <v/>
      </c>
      <c r="M28" s="7">
        <f>MAX(0,MIN(J28,12)-8.0)</f>
        <v/>
      </c>
      <c r="N28" s="7">
        <f>MAX(0,J28-12)</f>
        <v/>
      </c>
      <c r="O28" s="5" t="n"/>
      <c r="P28" s="6">
        <f>E28*(L28+M28*1.5+N28*2+O28*3+N(K28))</f>
        <v/>
      </c>
      <c r="Q28" s="6" t="n">
        <v>1249</v>
      </c>
      <c r="R28" s="6">
        <f>Q28-P28</f>
        <v/>
      </c>
    </row>
    <row r="29">
      <c r="A29" s="5" t="inlineStr">
        <is>
          <t>1405</t>
        </is>
      </c>
      <c r="B29" s="5" t="inlineStr">
        <is>
          <t>Paul Rodriquez Jr.</t>
        </is>
      </c>
      <c r="C29" s="5" t="inlineStr">
        <is>
          <t>"OFFICERCLARO"</t>
        </is>
      </c>
      <c r="D29" s="5" t="inlineStr"/>
      <c r="E29" s="6" t="n">
        <v>1972</v>
      </c>
      <c r="F29" s="5" t="n"/>
      <c r="G29" s="5" t="n"/>
      <c r="H29" s="5" t="n"/>
      <c r="I29" s="5" t="n"/>
      <c r="J29" s="7">
        <f>IF(AND(N(F29)&gt;0,N(I29)&gt;0),I29-F29-IF(N(G29)&gt;0,0.5,0)-IF(N(H29)&gt;0,0.5,0),0)</f>
        <v/>
      </c>
      <c r="K29" s="5" t="n"/>
      <c r="L29" s="7">
        <f>MIN(J29,8.0)</f>
        <v/>
      </c>
      <c r="M29" s="7">
        <f>MAX(0,MIN(J29,12)-8.0)</f>
        <v/>
      </c>
      <c r="N29" s="7">
        <f>MAX(0,J29-12)</f>
        <v/>
      </c>
      <c r="O29" s="5" t="n"/>
      <c r="P29" s="6">
        <f>E29*(L29+M29*1.5+N29*2+O29*3+N(K29))</f>
        <v/>
      </c>
      <c r="Q29" s="6" t="n">
        <v>1972</v>
      </c>
      <c r="R29" s="6">
        <f>Q29-P29</f>
        <v/>
      </c>
    </row>
    <row r="30">
      <c r="A30" s="5" t="inlineStr">
        <is>
          <t>1405</t>
        </is>
      </c>
      <c r="B30" s="5" t="inlineStr">
        <is>
          <t>Sophia Santi</t>
        </is>
      </c>
      <c r="C30" s="5" t="inlineStr">
        <is>
          <t>"FEMALECUSTOMER"</t>
        </is>
      </c>
      <c r="D30" s="5" t="inlineStr"/>
      <c r="E30" s="6" t="n">
        <v>1972</v>
      </c>
      <c r="F30" s="5" t="n"/>
      <c r="G30" s="5" t="n"/>
      <c r="H30" s="5" t="n"/>
      <c r="I30" s="5" t="n"/>
      <c r="J30" s="7">
        <f>IF(AND(N(F30)&gt;0,N(I30)&gt;0),I30-F30-IF(N(G30)&gt;0,0.5,0)-IF(N(H30)&gt;0,0.5,0),0)</f>
        <v/>
      </c>
      <c r="K30" s="5" t="n"/>
      <c r="L30" s="7">
        <f>MIN(J30,8.0)</f>
        <v/>
      </c>
      <c r="M30" s="7">
        <f>MAX(0,MIN(J30,12)-8.0)</f>
        <v/>
      </c>
      <c r="N30" s="7">
        <f>MAX(0,J30-12)</f>
        <v/>
      </c>
      <c r="O30" s="5" t="n"/>
      <c r="P30" s="6">
        <f>E30*(L30+M30*1.5+N30*2+O30*3+N(K30))</f>
        <v/>
      </c>
      <c r="Q30" s="6" t="n">
        <v>1972</v>
      </c>
      <c r="R30" s="6">
        <f>Q30-P30</f>
        <v/>
      </c>
    </row>
    <row r="31">
      <c r="A31" s="5" t="inlineStr">
        <is>
          <t>1405</t>
        </is>
      </c>
      <c r="B31" s="5" t="inlineStr">
        <is>
          <t>John Marshall Jones</t>
        </is>
      </c>
      <c r="C31" s="5" t="inlineStr">
        <is>
          <t>"MRHANKINS"</t>
        </is>
      </c>
      <c r="D31" s="5" t="inlineStr"/>
      <c r="E31" s="6" t="n">
        <v>1972</v>
      </c>
      <c r="F31" s="5" t="n"/>
      <c r="G31" s="5" t="n"/>
      <c r="H31" s="5" t="n"/>
      <c r="I31" s="5" t="n"/>
      <c r="J31" s="7">
        <f>IF(AND(N(F31)&gt;0,N(I31)&gt;0),I31-F31-IF(N(G31)&gt;0,0.5,0)-IF(N(H31)&gt;0,0.5,0),0)</f>
        <v/>
      </c>
      <c r="K31" s="5" t="n"/>
      <c r="L31" s="7">
        <f>MIN(J31,8.0)</f>
        <v/>
      </c>
      <c r="M31" s="7">
        <f>MAX(0,MIN(J31,12)-8.0)</f>
        <v/>
      </c>
      <c r="N31" s="7">
        <f>MAX(0,J31-12)</f>
        <v/>
      </c>
      <c r="O31" s="5" t="n"/>
      <c r="P31" s="6">
        <f>E31*(L31+M31*1.5+N31*2+O31*3+N(K31))</f>
        <v/>
      </c>
      <c r="Q31" s="6" t="n">
        <v>1972</v>
      </c>
      <c r="R31" s="6">
        <f>Q31-P31</f>
        <v/>
      </c>
    </row>
    <row r="32">
      <c r="A32" s="5" t="inlineStr">
        <is>
          <t>1405</t>
        </is>
      </c>
      <c r="B32" s="5" t="inlineStr">
        <is>
          <t>Madeleine Mcgraw</t>
        </is>
      </c>
      <c r="C32" s="5" t="inlineStr">
        <is>
          <t>"APRIL"(Minor)</t>
        </is>
      </c>
      <c r="D32" s="5" t="inlineStr"/>
      <c r="E32" s="6" t="n">
        <v>1249</v>
      </c>
      <c r="F32" s="5" t="n"/>
      <c r="G32" s="5" t="n"/>
      <c r="H32" s="5" t="n"/>
      <c r="I32" s="5" t="n"/>
      <c r="J32" s="7">
        <f>IF(AND(N(F32)&gt;0,N(I32)&gt;0),I32-F32-IF(N(G32)&gt;0,0.5,0)-IF(N(H32)&gt;0,0.5,0),0)</f>
        <v/>
      </c>
      <c r="K32" s="5" t="n"/>
      <c r="L32" s="7">
        <f>MIN(J32,8.0)</f>
        <v/>
      </c>
      <c r="M32" s="7">
        <f>MAX(0,MIN(J32,12)-8.0)</f>
        <v/>
      </c>
      <c r="N32" s="7">
        <f>MAX(0,J32-12)</f>
        <v/>
      </c>
      <c r="O32" s="5" t="n"/>
      <c r="P32" s="6">
        <f>E32*(L32+M32*1.5+N32*2+O32*3+N(K32))</f>
        <v/>
      </c>
      <c r="Q32" s="6" t="n">
        <v>1249</v>
      </c>
      <c r="R32" s="6">
        <f>Q32-P32</f>
        <v/>
      </c>
    </row>
    <row r="33">
      <c r="P33" s="2" t="inlineStr">
        <is>
          <t>DAYPLAYERS LABOR</t>
        </is>
      </c>
      <c r="R33" s="8">
        <f>SUM(R26:R32)</f>
        <v/>
      </c>
    </row>
    <row r="35">
      <c r="B35" s="2" t="inlineStr">
        <is>
          <t>STUNTCOORD</t>
        </is>
      </c>
    </row>
    <row r="36">
      <c r="A36" s="5" t="inlineStr">
        <is>
          <t>1406</t>
        </is>
      </c>
      <c r="B36" s="5" t="inlineStr">
        <is>
          <t>Rob King</t>
        </is>
      </c>
      <c r="C36" s="5" t="inlineStr">
        <is>
          <t>STUNTCOORDINATOR</t>
        </is>
      </c>
      <c r="D36" s="5" t="inlineStr"/>
      <c r="E36" s="6" t="n">
        <v>1173</v>
      </c>
      <c r="F36" s="5" t="n"/>
      <c r="G36" s="5" t="n"/>
      <c r="H36" s="5" t="n"/>
      <c r="I36" s="5" t="n"/>
      <c r="J36" s="7">
        <f>IF(AND(N(F36)&gt;0,N(I36)&gt;0),I36-F36-IF(N(G36)&gt;0,0.5,0)-IF(N(H36)&gt;0,0.5,0),0)</f>
        <v/>
      </c>
      <c r="K36" s="5" t="n"/>
      <c r="L36" s="7">
        <f>MIN(J36,8.0)</f>
        <v/>
      </c>
      <c r="M36" s="7">
        <f>MAX(0,MIN(J36,12)-8.0)</f>
        <v/>
      </c>
      <c r="N36" s="7">
        <f>MAX(0,J36-12)</f>
        <v/>
      </c>
      <c r="O36" s="5" t="n"/>
      <c r="P36" s="6">
        <f>E36*(L36+M36*1.5+N36*2+O36*3+N(K36))</f>
        <v/>
      </c>
      <c r="Q36" s="6" t="n">
        <v>1173</v>
      </c>
      <c r="R36" s="6">
        <f>Q36-P36</f>
        <v/>
      </c>
    </row>
    <row r="37">
      <c r="P37" s="2" t="inlineStr">
        <is>
          <t>STUNTCOORD LABOR</t>
        </is>
      </c>
      <c r="R37" s="8">
        <f>SUM(R36:R36)</f>
        <v/>
      </c>
    </row>
    <row r="39">
      <c r="B39" s="2" t="inlineStr">
        <is>
          <t>TEACHER/WELFAREWORKER</t>
        </is>
      </c>
    </row>
    <row r="40">
      <c r="A40" s="5" t="inlineStr">
        <is>
          <t>1412</t>
        </is>
      </c>
      <c r="B40" s="5" t="inlineStr"/>
      <c r="C40" s="5" t="inlineStr">
        <is>
          <t>WELFAREWORKER</t>
        </is>
      </c>
      <c r="D40" s="5" t="inlineStr">
        <is>
          <t>Local884</t>
        </is>
      </c>
      <c r="E40" s="6" t="n">
        <v>25.5</v>
      </c>
      <c r="F40" s="5" t="n"/>
      <c r="G40" s="5" t="n"/>
      <c r="H40" s="5" t="n"/>
      <c r="I40" s="5" t="n"/>
      <c r="J40" s="7">
        <f>IF(AND(N(F40)&gt;0,N(I40)&gt;0),I40-F40-IF(N(G40)&gt;0,0.5,0)-IF(N(H40)&gt;0,0.5,0),0)</f>
        <v/>
      </c>
      <c r="K40" s="5" t="n"/>
      <c r="L40" s="7">
        <f>MIN(J40,8.0)</f>
        <v/>
      </c>
      <c r="M40" s="7">
        <f>MAX(0,MIN(J40,12)-8.0)</f>
        <v/>
      </c>
      <c r="N40" s="7">
        <f>MAX(0,J40-12)</f>
        <v/>
      </c>
      <c r="O40" s="5" t="n"/>
      <c r="P40" s="6">
        <f>E40*(L40+M40*1.5+N40*2+O40*3+N(K40))</f>
        <v/>
      </c>
      <c r="Q40" s="6" t="n">
        <v>280.5</v>
      </c>
      <c r="R40" s="6">
        <f>Q40-P40</f>
        <v/>
      </c>
    </row>
    <row r="41">
      <c r="A41" s="5" t="inlineStr">
        <is>
          <t>1412</t>
        </is>
      </c>
      <c r="B41" s="5" t="inlineStr"/>
      <c r="C41" s="5" t="inlineStr">
        <is>
          <t>ADDLWELFAREWORKER</t>
        </is>
      </c>
      <c r="D41" s="5" t="inlineStr">
        <is>
          <t>Local884</t>
        </is>
      </c>
      <c r="E41" s="6" t="n">
        <v>25.5</v>
      </c>
      <c r="F41" s="5" t="n"/>
      <c r="G41" s="5" t="n"/>
      <c r="H41" s="5" t="n"/>
      <c r="I41" s="5" t="n"/>
      <c r="J41" s="7">
        <f>IF(AND(N(F41)&gt;0,N(I41)&gt;0),I41-F41-IF(N(G41)&gt;0,0.5,0)-IF(N(H41)&gt;0,0.5,0),0)</f>
        <v/>
      </c>
      <c r="K41" s="5" t="n"/>
      <c r="L41" s="7">
        <f>MIN(J41,8.0)</f>
        <v/>
      </c>
      <c r="M41" s="7">
        <f>MAX(0,MIN(J41,12)-8.0)</f>
        <v/>
      </c>
      <c r="N41" s="7">
        <f>MAX(0,J41-12)</f>
        <v/>
      </c>
      <c r="O41" s="5" t="n"/>
      <c r="P41" s="6">
        <f>E41*(L41+M41*1.5+N41*2+O41*3+N(K41))</f>
        <v/>
      </c>
      <c r="Q41" s="6" t="n">
        <v>280.5</v>
      </c>
      <c r="R41" s="6">
        <f>Q41-P41</f>
        <v/>
      </c>
    </row>
    <row r="42">
      <c r="P42" s="2" t="inlineStr">
        <is>
          <t>TEACHER/WELFAREWORKER LABOR</t>
        </is>
      </c>
      <c r="R42" s="8">
        <f>SUM(R40:R41)</f>
        <v/>
      </c>
    </row>
    <row r="44">
      <c r="B44" s="2" t="inlineStr">
        <is>
          <t>CASTINGDIRECTORS</t>
        </is>
      </c>
    </row>
    <row r="45">
      <c r="A45" s="5" t="inlineStr">
        <is>
          <t>1413</t>
        </is>
      </c>
      <c r="B45" s="5" t="inlineStr">
        <is>
          <t>Rich Delia</t>
        </is>
      </c>
      <c r="C45" s="5" t="inlineStr">
        <is>
          <t>CASTINGDIRECTOR</t>
        </is>
      </c>
      <c r="D45" s="5" t="inlineStr"/>
      <c r="E45" s="6" t="n">
        <v>600</v>
      </c>
      <c r="F45" s="5" t="n"/>
      <c r="G45" s="5" t="n"/>
      <c r="H45" s="5" t="n"/>
      <c r="I45" s="5" t="n"/>
      <c r="J45" s="7">
        <f>IF(AND(N(F45)&gt;0,N(I45)&gt;0),I45-F45-IF(N(G45)&gt;0,0.5,0)-IF(N(H45)&gt;0,0.5,0),0)</f>
        <v/>
      </c>
      <c r="K45" s="5" t="n"/>
      <c r="L45" s="7">
        <f>MIN(J45,8.0)</f>
        <v/>
      </c>
      <c r="M45" s="7">
        <f>MAX(0,MIN(J45,12)-8.0)</f>
        <v/>
      </c>
      <c r="N45" s="7">
        <f>MAX(0,J45-12)</f>
        <v/>
      </c>
      <c r="O45" s="5" t="n"/>
      <c r="P45" s="6">
        <f>E45*(L45+M45*1.5+N45*2+O45*3+N(K45))</f>
        <v/>
      </c>
      <c r="Q45" s="5" t="n"/>
      <c r="R45" s="6">
        <f>Q45-P45</f>
        <v/>
      </c>
    </row>
    <row r="46">
      <c r="P46" s="2" t="inlineStr">
        <is>
          <t>CASTINGDIRECTORS LABOR</t>
        </is>
      </c>
      <c r="R46" s="8">
        <f>SUM(R45:R45)</f>
        <v/>
      </c>
    </row>
    <row r="48">
      <c r="B48" s="2" t="inlineStr">
        <is>
          <t>CASTINGASSOCIATES/ASSISTANTS</t>
        </is>
      </c>
    </row>
    <row r="49">
      <c r="A49" s="5" t="inlineStr">
        <is>
          <t>1414</t>
        </is>
      </c>
      <c r="B49" s="5" t="inlineStr">
        <is>
          <t>Adam Richards</t>
        </is>
      </c>
      <c r="C49" s="5" t="inlineStr">
        <is>
          <t>CASTINGASSOCIATE</t>
        </is>
      </c>
      <c r="D49" s="5" t="inlineStr"/>
      <c r="E49" s="6" t="n">
        <v>200</v>
      </c>
      <c r="F49" s="5" t="n"/>
      <c r="G49" s="5" t="n"/>
      <c r="H49" s="5" t="n"/>
      <c r="I49" s="5" t="n"/>
      <c r="J49" s="7">
        <f>IF(AND(N(F49)&gt;0,N(I49)&gt;0),I49-F49-IF(N(G49)&gt;0,0.5,0)-IF(N(H49)&gt;0,0.5,0),0)</f>
        <v/>
      </c>
      <c r="K49" s="5" t="n"/>
      <c r="L49" s="7">
        <f>MIN(J49,8.0)</f>
        <v/>
      </c>
      <c r="M49" s="7">
        <f>MAX(0,MIN(J49,12)-8.0)</f>
        <v/>
      </c>
      <c r="N49" s="7">
        <f>MAX(0,J49-12)</f>
        <v/>
      </c>
      <c r="O49" s="5" t="n"/>
      <c r="P49" s="6">
        <f>E49*(L49+M49*1.5+N49*2+O49*3+N(K49))</f>
        <v/>
      </c>
      <c r="Q49" s="5" t="n"/>
      <c r="R49" s="6">
        <f>Q49-P49</f>
        <v/>
      </c>
    </row>
    <row r="50">
      <c r="P50" s="2" t="inlineStr">
        <is>
          <t>CASTINGASSOCIATES/ASSISTANTS LABOR</t>
        </is>
      </c>
      <c r="R50" s="8">
        <f>SUM(R49:R49)</f>
        <v/>
      </c>
    </row>
    <row r="52">
      <c r="B52" s="2" t="inlineStr">
        <is>
          <t>CASTDRIVERS/VEHICLES</t>
        </is>
      </c>
    </row>
    <row r="53">
      <c r="A53" s="5" t="inlineStr">
        <is>
          <t>1455</t>
        </is>
      </c>
      <c r="B53" s="5" t="inlineStr"/>
      <c r="C53" s="5" t="inlineStr">
        <is>
          <t>CAST 3-RMDRIVER</t>
        </is>
      </c>
      <c r="D53" s="5" t="inlineStr">
        <is>
          <t>Local399</t>
        </is>
      </c>
      <c r="E53" s="6" t="n">
        <v>32.36</v>
      </c>
      <c r="F53" s="5" t="n"/>
      <c r="G53" s="5" t="n"/>
      <c r="H53" s="5" t="n"/>
      <c r="I53" s="5" t="n"/>
      <c r="J53" s="7">
        <f>IF(AND(N(F53)&gt;0,N(I53)&gt;0),I53-F53-IF(N(G53)&gt;0,0.5,0)-IF(N(H53)&gt;0,0.5,0),0)</f>
        <v/>
      </c>
      <c r="K53" s="5" t="n"/>
      <c r="L53" s="7">
        <f>MIN(J53,8.0)</f>
        <v/>
      </c>
      <c r="M53" s="7">
        <f>MAX(0,MIN(J53,12)-8.0)</f>
        <v/>
      </c>
      <c r="N53" s="7">
        <f>MAX(0,J53-12)</f>
        <v/>
      </c>
      <c r="O53" s="5" t="n"/>
      <c r="P53" s="6">
        <f>E53*(L53+M53*1.5+N53*2+O53*3+N(K53))</f>
        <v/>
      </c>
      <c r="Q53" s="6" t="n">
        <v>501.58</v>
      </c>
      <c r="R53" s="6">
        <f>Q53-P53</f>
        <v/>
      </c>
    </row>
    <row r="54">
      <c r="A54" s="5" t="inlineStr">
        <is>
          <t>1455</t>
        </is>
      </c>
      <c r="B54" s="5" t="inlineStr"/>
      <c r="C54" s="5" t="inlineStr">
        <is>
          <t>CASTMINIVANDRIVER</t>
        </is>
      </c>
      <c r="D54" s="5" t="inlineStr">
        <is>
          <t>Local399</t>
        </is>
      </c>
      <c r="E54" s="6" t="n">
        <v>32.36</v>
      </c>
      <c r="F54" s="5" t="n"/>
      <c r="G54" s="5" t="n"/>
      <c r="H54" s="5" t="n"/>
      <c r="I54" s="5" t="n"/>
      <c r="J54" s="7">
        <f>IF(AND(N(F54)&gt;0,N(I54)&gt;0),I54-F54-IF(N(G54)&gt;0,0.5,0)-IF(N(H54)&gt;0,0.5,0),0)</f>
        <v/>
      </c>
      <c r="K54" s="5" t="n"/>
      <c r="L54" s="7">
        <f>MIN(J54,8.0)</f>
        <v/>
      </c>
      <c r="M54" s="7">
        <f>MAX(0,MIN(J54,12)-8.0)</f>
        <v/>
      </c>
      <c r="N54" s="7">
        <f>MAX(0,J54-12)</f>
        <v/>
      </c>
      <c r="O54" s="5" t="n"/>
      <c r="P54" s="6">
        <f>E54*(L54+M54*1.5+N54*2+O54*3+N(K54))</f>
        <v/>
      </c>
      <c r="Q54" s="6" t="n">
        <v>501.58</v>
      </c>
      <c r="R54" s="6">
        <f>Q54-P54</f>
        <v/>
      </c>
    </row>
    <row r="55">
      <c r="P55" s="2" t="inlineStr">
        <is>
          <t>CASTDRIVERS/VEHICLES LABOR</t>
        </is>
      </c>
      <c r="R55" s="8">
        <f>SUM(R53:R54)</f>
        <v/>
      </c>
    </row>
    <row r="57">
      <c r="B57" s="2" t="inlineStr">
        <is>
          <t>PRODUCTIONMANAGER</t>
        </is>
      </c>
    </row>
    <row r="58">
      <c r="A58" s="5" t="inlineStr">
        <is>
          <t>2001</t>
        </is>
      </c>
      <c r="B58" s="5" t="inlineStr">
        <is>
          <t>Carrie Morrow</t>
        </is>
      </c>
      <c r="C58" s="5" t="inlineStr">
        <is>
          <t>UPM</t>
        </is>
      </c>
      <c r="D58" s="5" t="inlineStr">
        <is>
          <t>DGA</t>
        </is>
      </c>
      <c r="E58" s="6" t="n">
        <v>1063.6</v>
      </c>
      <c r="F58" s="5" t="n"/>
      <c r="G58" s="5" t="n"/>
      <c r="H58" s="5" t="n"/>
      <c r="I58" s="5" t="n"/>
      <c r="J58" s="7">
        <f>IF(AND(N(F58)&gt;0,N(I58)&gt;0),I58-F58-IF(N(G58)&gt;0,0.5,0)-IF(N(H58)&gt;0,0.5,0),0)</f>
        <v/>
      </c>
      <c r="K58" s="5" t="n"/>
      <c r="L58" s="7">
        <f>MIN(J58,8.0)</f>
        <v/>
      </c>
      <c r="M58" s="7">
        <f>MAX(0,MIN(J58,12)-8.0)</f>
        <v/>
      </c>
      <c r="N58" s="7">
        <f>MAX(0,J58-12)</f>
        <v/>
      </c>
      <c r="O58" s="5" t="n"/>
      <c r="P58" s="6">
        <f>E58*(L58+M58*1.5+N58*2+O58*3+N(K58))</f>
        <v/>
      </c>
      <c r="Q58" s="6" t="n">
        <v>1063.6</v>
      </c>
      <c r="R58" s="6">
        <f>Q58-P58</f>
        <v/>
      </c>
    </row>
    <row r="59">
      <c r="P59" s="2" t="inlineStr">
        <is>
          <t>PRODUCTIONMANAGER LABOR</t>
        </is>
      </c>
      <c r="R59" s="8">
        <f>SUM(R58:R58)</f>
        <v/>
      </c>
    </row>
    <row r="61">
      <c r="B61" s="2" t="inlineStr">
        <is>
          <t>1STASSTDIRECTOR</t>
        </is>
      </c>
    </row>
    <row r="62">
      <c r="A62" s="5" t="inlineStr">
        <is>
          <t>2002</t>
        </is>
      </c>
      <c r="B62" s="5" t="inlineStr">
        <is>
          <t>James Moran</t>
        </is>
      </c>
      <c r="C62" s="5" t="inlineStr">
        <is>
          <t>1STASSTDIRECTOR</t>
        </is>
      </c>
      <c r="D62" s="5" t="inlineStr">
        <is>
          <t>DGA</t>
        </is>
      </c>
      <c r="E62" s="6" t="n">
        <v>985.6</v>
      </c>
      <c r="F62" s="5" t="n"/>
      <c r="G62" s="5" t="n"/>
      <c r="H62" s="5" t="n"/>
      <c r="I62" s="5" t="n"/>
      <c r="J62" s="7">
        <f>IF(AND(N(F62)&gt;0,N(I62)&gt;0),I62-F62-IF(N(G62)&gt;0,0.5,0)-IF(N(H62)&gt;0,0.5,0),0)</f>
        <v/>
      </c>
      <c r="K62" s="5" t="n"/>
      <c r="L62" s="7">
        <f>MIN(J62,8.0)</f>
        <v/>
      </c>
      <c r="M62" s="7">
        <f>MAX(0,MIN(J62,12)-8.0)</f>
        <v/>
      </c>
      <c r="N62" s="7">
        <f>MAX(0,J62-12)</f>
        <v/>
      </c>
      <c r="O62" s="5" t="n"/>
      <c r="P62" s="6">
        <f>E62*(L62+M62*1.5+N62*2+O62*3+N(K62))</f>
        <v/>
      </c>
      <c r="Q62" s="6" t="n">
        <v>985.6</v>
      </c>
      <c r="R62" s="6">
        <f>Q62-P62</f>
        <v/>
      </c>
    </row>
    <row r="63">
      <c r="P63" s="2" t="inlineStr">
        <is>
          <t>1STASSTDIRECTOR LABOR</t>
        </is>
      </c>
      <c r="R63" s="8">
        <f>SUM(R62:R62)</f>
        <v/>
      </c>
    </row>
    <row r="65">
      <c r="B65" s="2" t="inlineStr">
        <is>
          <t>2NDASSTDIRECTORS</t>
        </is>
      </c>
    </row>
    <row r="66">
      <c r="A66" s="5" t="inlineStr">
        <is>
          <t>2003</t>
        </is>
      </c>
      <c r="B66" s="5" t="inlineStr">
        <is>
          <t>Mark Newland</t>
        </is>
      </c>
      <c r="C66" s="5" t="inlineStr">
        <is>
          <t>KEY 2NDA. D.</t>
        </is>
      </c>
      <c r="D66" s="5" t="inlineStr">
        <is>
          <t>DGA</t>
        </is>
      </c>
      <c r="E66" s="6" t="n">
        <v>674.6</v>
      </c>
      <c r="F66" s="5" t="n"/>
      <c r="G66" s="5" t="n"/>
      <c r="H66" s="5" t="n"/>
      <c r="I66" s="5" t="n"/>
      <c r="J66" s="7">
        <f>IF(AND(N(F66)&gt;0,N(I66)&gt;0),I66-F66-IF(N(G66)&gt;0,0.5,0)-IF(N(H66)&gt;0,0.5,0),0)</f>
        <v/>
      </c>
      <c r="K66" s="5" t="n"/>
      <c r="L66" s="7">
        <f>MIN(J66,8.0)</f>
        <v/>
      </c>
      <c r="M66" s="7">
        <f>MAX(0,MIN(J66,12)-8.0)</f>
        <v/>
      </c>
      <c r="N66" s="7">
        <f>MAX(0,J66-12)</f>
        <v/>
      </c>
      <c r="O66" s="5" t="n"/>
      <c r="P66" s="6">
        <f>E66*(L66+M66*1.5+N66*2+O66*3+N(K66))</f>
        <v/>
      </c>
      <c r="Q66" s="6" t="n">
        <v>674.6</v>
      </c>
      <c r="R66" s="6">
        <f>Q66-P66</f>
        <v/>
      </c>
    </row>
    <row r="67">
      <c r="A67" s="5" t="inlineStr">
        <is>
          <t>2003</t>
        </is>
      </c>
      <c r="B67" s="5" t="inlineStr"/>
      <c r="C67" s="5" t="inlineStr">
        <is>
          <t>2ND 2NDA. D.</t>
        </is>
      </c>
      <c r="D67" s="5" t="inlineStr">
        <is>
          <t>DGA</t>
        </is>
      </c>
      <c r="E67" s="6" t="n">
        <v>526</v>
      </c>
      <c r="F67" s="5" t="n"/>
      <c r="G67" s="5" t="n"/>
      <c r="H67" s="5" t="n"/>
      <c r="I67" s="5" t="n"/>
      <c r="J67" s="7">
        <f>IF(AND(N(F67)&gt;0,N(I67)&gt;0),I67-F67-IF(N(G67)&gt;0,0.5,0)-IF(N(H67)&gt;0,0.5,0),0)</f>
        <v/>
      </c>
      <c r="K67" s="5" t="n"/>
      <c r="L67" s="7">
        <f>MIN(J67,8.0)</f>
        <v/>
      </c>
      <c r="M67" s="7">
        <f>MAX(0,MIN(J67,12)-8.0)</f>
        <v/>
      </c>
      <c r="N67" s="7">
        <f>MAX(0,J67-12)</f>
        <v/>
      </c>
      <c r="O67" s="5" t="n"/>
      <c r="P67" s="6">
        <f>E67*(L67+M67*1.5+N67*2+O67*3+N(K67))</f>
        <v/>
      </c>
      <c r="Q67" s="6" t="n">
        <v>526</v>
      </c>
      <c r="R67" s="6">
        <f>Q67-P67</f>
        <v/>
      </c>
    </row>
    <row r="68">
      <c r="P68" s="2" t="inlineStr">
        <is>
          <t>2NDASSTDIRECTORS LABOR</t>
        </is>
      </c>
      <c r="R68" s="8">
        <f>SUM(R66:R67)</f>
        <v/>
      </c>
    </row>
    <row r="70">
      <c r="B70" s="2" t="inlineStr">
        <is>
          <t>SCRIPTSUPERVISOR</t>
        </is>
      </c>
    </row>
    <row r="71">
      <c r="A71" s="5" t="inlineStr">
        <is>
          <t>2005</t>
        </is>
      </c>
      <c r="B71" s="5" t="inlineStr">
        <is>
          <t>Renata Amador</t>
        </is>
      </c>
      <c r="C71" s="5" t="inlineStr">
        <is>
          <t>SCRIPTSUPERVISOR</t>
        </is>
      </c>
      <c r="D71" s="5" t="inlineStr">
        <is>
          <t>Local871</t>
        </is>
      </c>
      <c r="E71" s="6" t="n">
        <v>25.5</v>
      </c>
      <c r="F71" s="5" t="n"/>
      <c r="G71" s="5" t="n"/>
      <c r="H71" s="5" t="n"/>
      <c r="I71" s="5" t="n"/>
      <c r="J71" s="7">
        <f>IF(AND(N(F71)&gt;0,N(I71)&gt;0),I71-F71-IF(N(G71)&gt;0,0.5,0)-IF(N(H71)&gt;0,0.5,0),0)</f>
        <v/>
      </c>
      <c r="K71" s="5" t="n"/>
      <c r="L71" s="7">
        <f>MIN(J71,10.0)</f>
        <v/>
      </c>
      <c r="M71" s="7">
        <f>MAX(0,MIN(J71,12)-10.0)</f>
        <v/>
      </c>
      <c r="N71" s="7">
        <f>MAX(0,J71-12)</f>
        <v/>
      </c>
      <c r="O71" s="5" t="n"/>
      <c r="P71" s="6">
        <f>E71*(L71+M71*1.5+N71*2+O71*3+N(K71))</f>
        <v/>
      </c>
      <c r="Q71" s="6" t="n">
        <v>439.87</v>
      </c>
      <c r="R71" s="6">
        <f>Q71-P71</f>
        <v/>
      </c>
    </row>
    <row r="72">
      <c r="P72" s="2" t="inlineStr">
        <is>
          <t>SCRIPTSUPERVISOR LABOR</t>
        </is>
      </c>
      <c r="R72" s="8">
        <f>SUM(R71:R71)</f>
        <v/>
      </c>
    </row>
    <row r="74">
      <c r="B74" s="2" t="inlineStr">
        <is>
          <t>LOCATIONMANAGERS</t>
        </is>
      </c>
    </row>
    <row r="75">
      <c r="A75" s="5" t="inlineStr">
        <is>
          <t>2007</t>
        </is>
      </c>
      <c r="B75" s="5" t="inlineStr">
        <is>
          <t>Stacey Brashear-Rodriquez</t>
        </is>
      </c>
      <c r="C75" s="5" t="inlineStr">
        <is>
          <t>LOCATIONMANAGER</t>
        </is>
      </c>
      <c r="D75" s="5" t="inlineStr">
        <is>
          <t>Local399</t>
        </is>
      </c>
      <c r="E75" s="6" t="n">
        <v>557.6</v>
      </c>
      <c r="F75" s="5" t="n"/>
      <c r="G75" s="5" t="n"/>
      <c r="H75" s="5" t="n"/>
      <c r="I75" s="5" t="n"/>
      <c r="J75" s="7">
        <f>IF(AND(N(F75)&gt;0,N(I75)&gt;0),I75-F75-IF(N(G75)&gt;0,0.5,0)-IF(N(H75)&gt;0,0.5,0),0)</f>
        <v/>
      </c>
      <c r="K75" s="5" t="n"/>
      <c r="L75" s="7">
        <f>MIN(J75,8.0)</f>
        <v/>
      </c>
      <c r="M75" s="7">
        <f>MAX(0,MIN(J75,12)-8.0)</f>
        <v/>
      </c>
      <c r="N75" s="7">
        <f>MAX(0,J75-12)</f>
        <v/>
      </c>
      <c r="O75" s="5" t="n"/>
      <c r="P75" s="6">
        <f>E75*(L75+M75*1.5+N75*2+O75*3+N(K75))</f>
        <v/>
      </c>
      <c r="Q75" s="6" t="n">
        <v>557.6</v>
      </c>
      <c r="R75" s="6">
        <f>Q75-P75</f>
        <v/>
      </c>
    </row>
    <row r="76">
      <c r="P76" s="2" t="inlineStr">
        <is>
          <t>LOCATIONMANAGERS LABOR</t>
        </is>
      </c>
      <c r="R76" s="8">
        <f>SUM(R75:R75)</f>
        <v/>
      </c>
    </row>
    <row r="78">
      <c r="B78" s="2" t="inlineStr">
        <is>
          <t>ASSISTANTLOCATIONMANAGERS</t>
        </is>
      </c>
    </row>
    <row r="79">
      <c r="A79" s="5" t="inlineStr">
        <is>
          <t>2008</t>
        </is>
      </c>
      <c r="B79" s="5" t="inlineStr">
        <is>
          <t>Rich Heichel</t>
        </is>
      </c>
      <c r="C79" s="5" t="inlineStr">
        <is>
          <t>KEYASSTLOCATIONMGR#1</t>
        </is>
      </c>
      <c r="D79" s="5" t="inlineStr">
        <is>
          <t>Local399</t>
        </is>
      </c>
      <c r="E79" s="6" t="n">
        <v>334.2</v>
      </c>
      <c r="F79" s="5" t="n"/>
      <c r="G79" s="5" t="n"/>
      <c r="H79" s="5" t="n"/>
      <c r="I79" s="5" t="n"/>
      <c r="J79" s="7">
        <f>IF(AND(N(F79)&gt;0,N(I79)&gt;0),I79-F79-IF(N(G79)&gt;0,0.5,0)-IF(N(H79)&gt;0,0.5,0),0)</f>
        <v/>
      </c>
      <c r="K79" s="5" t="n"/>
      <c r="L79" s="7">
        <f>MIN(J79,8.0)</f>
        <v/>
      </c>
      <c r="M79" s="7">
        <f>MAX(0,MIN(J79,12)-8.0)</f>
        <v/>
      </c>
      <c r="N79" s="7">
        <f>MAX(0,J79-12)</f>
        <v/>
      </c>
      <c r="O79" s="5" t="n"/>
      <c r="P79" s="6">
        <f>E79*(L79+M79*1.5+N79*2+O79*3+N(K79))</f>
        <v/>
      </c>
      <c r="Q79" s="6" t="n">
        <v>334.2</v>
      </c>
      <c r="R79" s="6">
        <f>Q79-P79</f>
        <v/>
      </c>
    </row>
    <row r="80">
      <c r="A80" s="5" t="inlineStr">
        <is>
          <t>2008</t>
        </is>
      </c>
      <c r="B80" s="5" t="inlineStr">
        <is>
          <t>Jason Mc Cauley</t>
        </is>
      </c>
      <c r="C80" s="5" t="inlineStr">
        <is>
          <t>LOCATIONASST</t>
        </is>
      </c>
      <c r="D80" s="5" t="inlineStr">
        <is>
          <t>Local399</t>
        </is>
      </c>
      <c r="E80" s="6" t="n">
        <v>229</v>
      </c>
      <c r="F80" s="5" t="n"/>
      <c r="G80" s="5" t="n"/>
      <c r="H80" s="5" t="n"/>
      <c r="I80" s="5" t="n"/>
      <c r="J80" s="7">
        <f>IF(AND(N(F80)&gt;0,N(I80)&gt;0),I80-F80-IF(N(G80)&gt;0,0.5,0)-IF(N(H80)&gt;0,0.5,0),0)</f>
        <v/>
      </c>
      <c r="K80" s="5" t="n"/>
      <c r="L80" s="7">
        <f>MIN(J80,8.0)</f>
        <v/>
      </c>
      <c r="M80" s="7">
        <f>MAX(0,MIN(J80,12)-8.0)</f>
        <v/>
      </c>
      <c r="N80" s="7">
        <f>MAX(0,J80-12)</f>
        <v/>
      </c>
      <c r="O80" s="5" t="n"/>
      <c r="P80" s="6">
        <f>E80*(L80+M80*1.5+N80*2+O80*3+N(K80))</f>
        <v/>
      </c>
      <c r="Q80" s="6" t="n">
        <v>229</v>
      </c>
      <c r="R80" s="6">
        <f>Q80-P80</f>
        <v/>
      </c>
    </row>
    <row r="81">
      <c r="P81" s="2" t="inlineStr">
        <is>
          <t>ASSISTANTLOCATIONMANAGERS LABOR</t>
        </is>
      </c>
      <c r="R81" s="8">
        <f>SUM(R79:R80)</f>
        <v/>
      </c>
    </row>
    <row r="83">
      <c r="B83" s="2" t="inlineStr">
        <is>
          <t>PRODUCTIONCOORDINATOR</t>
        </is>
      </c>
    </row>
    <row r="84">
      <c r="A84" s="5" t="inlineStr">
        <is>
          <t>2009</t>
        </is>
      </c>
      <c r="B84" s="5" t="inlineStr">
        <is>
          <t>Ali Griffith</t>
        </is>
      </c>
      <c r="C84" s="5" t="inlineStr">
        <is>
          <t>PRODUCTIONOFCCOORD</t>
        </is>
      </c>
      <c r="D84" s="5" t="inlineStr"/>
      <c r="E84" s="6" t="n">
        <v>360</v>
      </c>
      <c r="F84" s="5" t="n"/>
      <c r="G84" s="5" t="n"/>
      <c r="H84" s="5" t="n"/>
      <c r="I84" s="5" t="n"/>
      <c r="J84" s="7">
        <f>IF(AND(N(F84)&gt;0,N(I84)&gt;0),I84-F84-IF(N(G84)&gt;0,0.5,0)-IF(N(H84)&gt;0,0.5,0),0)</f>
        <v/>
      </c>
      <c r="K84" s="5" t="n"/>
      <c r="L84" s="7">
        <f>MIN(J84,8.0)</f>
        <v/>
      </c>
      <c r="M84" s="7">
        <f>MAX(0,MIN(J84,12)-8.0)</f>
        <v/>
      </c>
      <c r="N84" s="7">
        <f>MAX(0,J84-12)</f>
        <v/>
      </c>
      <c r="O84" s="5" t="n"/>
      <c r="P84" s="6">
        <f>E84*(L84+M84*1.5+N84*2+O84*3+N(K84))</f>
        <v/>
      </c>
      <c r="Q84" s="6" t="n">
        <v>360</v>
      </c>
      <c r="R84" s="6">
        <f>Q84-P84</f>
        <v/>
      </c>
    </row>
    <row r="85">
      <c r="P85" s="2" t="inlineStr">
        <is>
          <t>PRODUCTIONCOORDINATOR LABOR</t>
        </is>
      </c>
      <c r="R85" s="8">
        <f>SUM(R84:R84)</f>
        <v/>
      </c>
    </row>
    <row r="87">
      <c r="B87" s="2" t="inlineStr">
        <is>
          <t>ASSTPRODUCTIONCOORDINATOR</t>
        </is>
      </c>
    </row>
    <row r="88">
      <c r="A88" s="5" t="inlineStr">
        <is>
          <t>2010</t>
        </is>
      </c>
      <c r="B88" s="5" t="inlineStr">
        <is>
          <t>Holly Dellocono</t>
        </is>
      </c>
      <c r="C88" s="5" t="inlineStr">
        <is>
          <t>APOC</t>
        </is>
      </c>
      <c r="D88" s="5" t="inlineStr">
        <is>
          <t>Local871</t>
        </is>
      </c>
      <c r="E88" s="6" t="n">
        <v>20.57</v>
      </c>
      <c r="F88" s="5" t="n"/>
      <c r="G88" s="5" t="n"/>
      <c r="H88" s="5" t="n"/>
      <c r="I88" s="5" t="n"/>
      <c r="J88" s="7">
        <f>IF(AND(N(F88)&gt;0,N(I88)&gt;0),I88-F88-IF(N(G88)&gt;0,0.5,0)-IF(N(H88)&gt;0,0.5,0),0)</f>
        <v/>
      </c>
      <c r="K88" s="5" t="n"/>
      <c r="L88" s="7">
        <f>MIN(J88,10.0)</f>
        <v/>
      </c>
      <c r="M88" s="7">
        <f>MAX(0,MIN(J88,12)-10.0)</f>
        <v/>
      </c>
      <c r="N88" s="7">
        <f>MAX(0,J88-12)</f>
        <v/>
      </c>
      <c r="O88" s="5" t="n"/>
      <c r="P88" s="6">
        <f>E88*(L88+M88*1.5+N88*2+O88*3+N(K88))</f>
        <v/>
      </c>
      <c r="Q88" s="6" t="n">
        <v>287.98</v>
      </c>
      <c r="R88" s="6">
        <f>Q88-P88</f>
        <v/>
      </c>
    </row>
    <row r="89">
      <c r="P89" s="2" t="inlineStr">
        <is>
          <t>ASSTPRODUCTIONCOORDINATOR LABOR</t>
        </is>
      </c>
      <c r="R89" s="8">
        <f>SUM(R88:R88)</f>
        <v/>
      </c>
    </row>
    <row r="91">
      <c r="B91" s="2" t="inlineStr">
        <is>
          <t>OFFICESTAFFASSISTANTS</t>
        </is>
      </c>
    </row>
    <row r="92">
      <c r="A92" s="5" t="inlineStr">
        <is>
          <t>2011</t>
        </is>
      </c>
      <c r="B92" s="5" t="inlineStr">
        <is>
          <t>John Humber</t>
        </is>
      </c>
      <c r="C92" s="5" t="inlineStr">
        <is>
          <t>OFFICEPA#1</t>
        </is>
      </c>
      <c r="D92" s="5" t="inlineStr"/>
      <c r="E92" s="6" t="n">
        <v>22.5</v>
      </c>
      <c r="F92" s="5" t="n"/>
      <c r="G92" s="5" t="n"/>
      <c r="H92" s="5" t="n"/>
      <c r="I92" s="5" t="n"/>
      <c r="J92" s="7">
        <f>IF(AND(N(F92)&gt;0,N(I92)&gt;0),I92-F92-IF(N(G92)&gt;0,0.5,0)-IF(N(H92)&gt;0,0.5,0),0)</f>
        <v/>
      </c>
      <c r="K92" s="5" t="n"/>
      <c r="L92" s="7">
        <f>MIN(J92,8.0)</f>
        <v/>
      </c>
      <c r="M92" s="7">
        <f>MAX(0,MIN(J92,12)-8.0)</f>
        <v/>
      </c>
      <c r="N92" s="7">
        <f>MAX(0,J92-12)</f>
        <v/>
      </c>
      <c r="O92" s="5" t="n"/>
      <c r="P92" s="6">
        <f>E92*(L92+M92*1.5+N92*2+O92*3+N(K92))</f>
        <v/>
      </c>
      <c r="Q92" s="6" t="n">
        <v>168</v>
      </c>
      <c r="R92" s="6">
        <f>Q92-P92</f>
        <v/>
      </c>
    </row>
    <row r="93">
      <c r="A93" s="5" t="inlineStr">
        <is>
          <t>2011</t>
        </is>
      </c>
      <c r="B93" s="5" t="inlineStr">
        <is>
          <t>Sarah Semenas</t>
        </is>
      </c>
      <c r="C93" s="5" t="inlineStr">
        <is>
          <t>OFFICEPA#2</t>
        </is>
      </c>
      <c r="D93" s="5" t="inlineStr"/>
      <c r="E93" s="6" t="n">
        <v>22.5</v>
      </c>
      <c r="F93" s="5" t="n"/>
      <c r="G93" s="5" t="n"/>
      <c r="H93" s="5" t="n"/>
      <c r="I93" s="5" t="n"/>
      <c r="J93" s="7">
        <f>IF(AND(N(F93)&gt;0,N(I93)&gt;0),I93-F93-IF(N(G93)&gt;0,0.5,0)-IF(N(H93)&gt;0,0.5,0),0)</f>
        <v/>
      </c>
      <c r="K93" s="5" t="n"/>
      <c r="L93" s="7">
        <f>MIN(J93,8.0)</f>
        <v/>
      </c>
      <c r="M93" s="7">
        <f>MAX(0,MIN(J93,12)-8.0)</f>
        <v/>
      </c>
      <c r="N93" s="7">
        <f>MAX(0,J93-12)</f>
        <v/>
      </c>
      <c r="O93" s="5" t="n"/>
      <c r="P93" s="6">
        <f>E93*(L93+M93*1.5+N93*2+O93*3+N(K93))</f>
        <v/>
      </c>
      <c r="Q93" s="6" t="n">
        <v>168</v>
      </c>
      <c r="R93" s="6">
        <f>Q93-P93</f>
        <v/>
      </c>
    </row>
    <row r="94">
      <c r="P94" s="2" t="inlineStr">
        <is>
          <t>OFFICESTAFFASSISTANTS LABOR</t>
        </is>
      </c>
      <c r="R94" s="8">
        <f>SUM(R92:R93)</f>
        <v/>
      </c>
    </row>
    <row r="96">
      <c r="B96" s="2" t="inlineStr">
        <is>
          <t>SETSTAFFASSISTANTS</t>
        </is>
      </c>
    </row>
    <row r="97">
      <c r="A97" s="5" t="inlineStr">
        <is>
          <t>2012</t>
        </is>
      </c>
      <c r="B97" s="5" t="inlineStr">
        <is>
          <t>Paula Henry</t>
        </is>
      </c>
      <c r="C97" s="5" t="inlineStr">
        <is>
          <t>KEYSETPA</t>
        </is>
      </c>
      <c r="D97" s="5" t="inlineStr"/>
      <c r="E97" s="6" t="n">
        <v>12</v>
      </c>
      <c r="F97" s="5" t="n"/>
      <c r="G97" s="5" t="n"/>
      <c r="H97" s="5" t="n"/>
      <c r="I97" s="5" t="n"/>
      <c r="J97" s="7">
        <f>IF(AND(N(F97)&gt;0,N(I97)&gt;0),I97-F97-IF(N(G97)&gt;0,0.5,0)-IF(N(H97)&gt;0,0.5,0),0)</f>
        <v/>
      </c>
      <c r="K97" s="5" t="n"/>
      <c r="L97" s="7">
        <f>MIN(J97,8.0)</f>
        <v/>
      </c>
      <c r="M97" s="7">
        <f>MAX(0,MIN(J97,12)-8.0)</f>
        <v/>
      </c>
      <c r="N97" s="7">
        <f>MAX(0,J97-12)</f>
        <v/>
      </c>
      <c r="O97" s="5" t="n"/>
      <c r="P97" s="6">
        <f>E97*(L97+M97*1.5+N97*2+O97*3+N(K97))</f>
        <v/>
      </c>
      <c r="Q97" s="6" t="n">
        <v>216</v>
      </c>
      <c r="R97" s="6">
        <f>Q97-P97</f>
        <v/>
      </c>
    </row>
    <row r="98">
      <c r="A98" s="5" t="inlineStr">
        <is>
          <t>2012</t>
        </is>
      </c>
      <c r="B98" s="5" t="inlineStr"/>
      <c r="C98" s="5" t="inlineStr">
        <is>
          <t>SETPA#2</t>
        </is>
      </c>
      <c r="D98" s="5" t="inlineStr"/>
      <c r="E98" s="6" t="n">
        <v>12</v>
      </c>
      <c r="F98" s="5" t="n"/>
      <c r="G98" s="5" t="n"/>
      <c r="H98" s="5" t="n"/>
      <c r="I98" s="5" t="n"/>
      <c r="J98" s="7">
        <f>IF(AND(N(F98)&gt;0,N(I98)&gt;0),I98-F98-IF(N(G98)&gt;0,0.5,0)-IF(N(H98)&gt;0,0.5,0),0)</f>
        <v/>
      </c>
      <c r="K98" s="5" t="n"/>
      <c r="L98" s="7">
        <f>MIN(J98,8.0)</f>
        <v/>
      </c>
      <c r="M98" s="7">
        <f>MAX(0,MIN(J98,12)-8.0)</f>
        <v/>
      </c>
      <c r="N98" s="7">
        <f>MAX(0,J98-12)</f>
        <v/>
      </c>
      <c r="O98" s="5" t="n"/>
      <c r="P98" s="6">
        <f>E98*(L98+M98*1.5+N98*2+O98*3+N(K98))</f>
        <v/>
      </c>
      <c r="Q98" s="6" t="n">
        <v>216</v>
      </c>
      <c r="R98" s="6">
        <f>Q98-P98</f>
        <v/>
      </c>
    </row>
    <row r="99">
      <c r="A99" s="5" t="inlineStr">
        <is>
          <t>2012</t>
        </is>
      </c>
      <c r="B99" s="5" t="inlineStr"/>
      <c r="C99" s="5" t="inlineStr">
        <is>
          <t>SETPA#3</t>
        </is>
      </c>
      <c r="D99" s="5" t="inlineStr"/>
      <c r="E99" s="6" t="n">
        <v>12</v>
      </c>
      <c r="F99" s="5" t="n"/>
      <c r="G99" s="5" t="n"/>
      <c r="H99" s="5" t="n"/>
      <c r="I99" s="5" t="n"/>
      <c r="J99" s="7">
        <f>IF(AND(N(F99)&gt;0,N(I99)&gt;0),I99-F99-IF(N(G99)&gt;0,0.5,0)-IF(N(H99)&gt;0,0.5,0),0)</f>
        <v/>
      </c>
      <c r="K99" s="5" t="n"/>
      <c r="L99" s="7">
        <f>MIN(J99,8.0)</f>
        <v/>
      </c>
      <c r="M99" s="7">
        <f>MAX(0,MIN(J99,12)-8.0)</f>
        <v/>
      </c>
      <c r="N99" s="7">
        <f>MAX(0,J99-12)</f>
        <v/>
      </c>
      <c r="O99" s="5" t="n"/>
      <c r="P99" s="6">
        <f>E99*(L99+M99*1.5+N99*2+O99*3+N(K99))</f>
        <v/>
      </c>
      <c r="Q99" s="6" t="n">
        <v>216</v>
      </c>
      <c r="R99" s="6">
        <f>Q99-P99</f>
        <v/>
      </c>
    </row>
    <row r="100">
      <c r="A100" s="5" t="inlineStr">
        <is>
          <t>2012</t>
        </is>
      </c>
      <c r="B100" s="5" t="inlineStr"/>
      <c r="C100" s="5" t="inlineStr">
        <is>
          <t>SETPA#4</t>
        </is>
      </c>
      <c r="D100" s="5" t="inlineStr"/>
      <c r="E100" s="6" t="n">
        <v>12</v>
      </c>
      <c r="F100" s="5" t="n"/>
      <c r="G100" s="5" t="n"/>
      <c r="H100" s="5" t="n"/>
      <c r="I100" s="5" t="n"/>
      <c r="J100" s="7">
        <f>IF(AND(N(F100)&gt;0,N(I100)&gt;0),I100-F100-IF(N(G100)&gt;0,0.5,0)-IF(N(H100)&gt;0,0.5,0),0)</f>
        <v/>
      </c>
      <c r="K100" s="5" t="n"/>
      <c r="L100" s="7">
        <f>MIN(J100,8.0)</f>
        <v/>
      </c>
      <c r="M100" s="7">
        <f>MAX(0,MIN(J100,12)-8.0)</f>
        <v/>
      </c>
      <c r="N100" s="7">
        <f>MAX(0,J100-12)</f>
        <v/>
      </c>
      <c r="O100" s="5" t="n"/>
      <c r="P100" s="6">
        <f>E100*(L100+M100*1.5+N100*2+O100*3+N(K100))</f>
        <v/>
      </c>
      <c r="Q100" s="6" t="n">
        <v>216</v>
      </c>
      <c r="R100" s="6">
        <f>Q100-P100</f>
        <v/>
      </c>
    </row>
    <row r="101">
      <c r="P101" s="2" t="inlineStr">
        <is>
          <t>SETSTAFFASSISTANTS LABOR</t>
        </is>
      </c>
      <c r="R101" s="8">
        <f>SUM(R97:R100)</f>
        <v/>
      </c>
    </row>
    <row r="103">
      <c r="B103" s="2" t="inlineStr">
        <is>
          <t>PRODUCTIONACCOUNTANT</t>
        </is>
      </c>
    </row>
    <row r="104">
      <c r="A104" s="5" t="inlineStr">
        <is>
          <t>2013</t>
        </is>
      </c>
      <c r="B104" s="5" t="inlineStr">
        <is>
          <t>Joel Tokarsky</t>
        </is>
      </c>
      <c r="C104" s="5" t="inlineStr">
        <is>
          <t>PRODUCTIONACCOUNTANT</t>
        </is>
      </c>
      <c r="D104" s="5" t="inlineStr">
        <is>
          <t>Local871</t>
        </is>
      </c>
      <c r="E104" s="6" t="n">
        <v>740</v>
      </c>
      <c r="F104" s="5" t="n"/>
      <c r="G104" s="5" t="n"/>
      <c r="H104" s="5" t="n"/>
      <c r="I104" s="5" t="n"/>
      <c r="J104" s="7">
        <f>IF(AND(N(F104)&gt;0,N(I104)&gt;0),I104-F104-IF(N(G104)&gt;0,0.5,0)-IF(N(H104)&gt;0,0.5,0),0)</f>
        <v/>
      </c>
      <c r="K104" s="5" t="n"/>
      <c r="L104" s="7">
        <f>MIN(J104,10.0)</f>
        <v/>
      </c>
      <c r="M104" s="7">
        <f>MAX(0,MIN(J104,12)-10.0)</f>
        <v/>
      </c>
      <c r="N104" s="7">
        <f>MAX(0,J104-12)</f>
        <v/>
      </c>
      <c r="O104" s="5" t="n"/>
      <c r="P104" s="6">
        <f>E104*(L104+M104*1.5+N104*2+O104*3+N(K104))</f>
        <v/>
      </c>
      <c r="Q104" s="6" t="n">
        <v>740</v>
      </c>
      <c r="R104" s="6">
        <f>Q104-P104</f>
        <v/>
      </c>
    </row>
    <row r="105">
      <c r="P105" s="2" t="inlineStr">
        <is>
          <t>PRODUCTIONACCOUNTANT LABOR</t>
        </is>
      </c>
      <c r="R105" s="8">
        <f>SUM(R104:R104)</f>
        <v/>
      </c>
    </row>
    <row r="107">
      <c r="B107" s="2" t="inlineStr">
        <is>
          <t>ASSTPRODUCTIONACCOUNTANTS</t>
        </is>
      </c>
    </row>
    <row r="108">
      <c r="A108" s="5" t="inlineStr">
        <is>
          <t>2014</t>
        </is>
      </c>
      <c r="B108" s="5" t="inlineStr">
        <is>
          <t>Co-Co Aiello</t>
        </is>
      </c>
      <c r="C108" s="5" t="inlineStr">
        <is>
          <t>1STASSTACCT</t>
        </is>
      </c>
      <c r="D108" s="5" t="inlineStr">
        <is>
          <t>Local871</t>
        </is>
      </c>
      <c r="E108" s="6" t="n">
        <v>480</v>
      </c>
      <c r="F108" s="5" t="n"/>
      <c r="G108" s="5" t="n"/>
      <c r="H108" s="5" t="n"/>
      <c r="I108" s="5" t="n"/>
      <c r="J108" s="7">
        <f>IF(AND(N(F108)&gt;0,N(I108)&gt;0),I108-F108-IF(N(G108)&gt;0,0.5,0)-IF(N(H108)&gt;0,0.5,0),0)</f>
        <v/>
      </c>
      <c r="K108" s="5" t="n"/>
      <c r="L108" s="7">
        <f>MIN(J108,10.0)</f>
        <v/>
      </c>
      <c r="M108" s="7">
        <f>MAX(0,MIN(J108,12)-10.0)</f>
        <v/>
      </c>
      <c r="N108" s="7">
        <f>MAX(0,J108-12)</f>
        <v/>
      </c>
      <c r="O108" s="5" t="n"/>
      <c r="P108" s="6">
        <f>E108*(L108+M108*1.5+N108*2+O108*3+N(K108))</f>
        <v/>
      </c>
      <c r="Q108" s="6" t="n">
        <v>480</v>
      </c>
      <c r="R108" s="6">
        <f>Q108-P108</f>
        <v/>
      </c>
    </row>
    <row r="109">
      <c r="A109" s="5" t="inlineStr">
        <is>
          <t>2014</t>
        </is>
      </c>
      <c r="B109" s="5" t="inlineStr">
        <is>
          <t>Steve Goldstein</t>
        </is>
      </c>
      <c r="C109" s="5" t="inlineStr">
        <is>
          <t>PAYROLLACCT</t>
        </is>
      </c>
      <c r="D109" s="5" t="inlineStr">
        <is>
          <t>Local871</t>
        </is>
      </c>
      <c r="E109" s="6" t="n">
        <v>420</v>
      </c>
      <c r="F109" s="5" t="n"/>
      <c r="G109" s="5" t="n"/>
      <c r="H109" s="5" t="n"/>
      <c r="I109" s="5" t="n"/>
      <c r="J109" s="7">
        <f>IF(AND(N(F109)&gt;0,N(I109)&gt;0),I109-F109-IF(N(G109)&gt;0,0.5,0)-IF(N(H109)&gt;0,0.5,0),0)</f>
        <v/>
      </c>
      <c r="K109" s="5" t="n"/>
      <c r="L109" s="7">
        <f>MIN(J109,10.0)</f>
        <v/>
      </c>
      <c r="M109" s="7">
        <f>MAX(0,MIN(J109,12)-10.0)</f>
        <v/>
      </c>
      <c r="N109" s="7">
        <f>MAX(0,J109-12)</f>
        <v/>
      </c>
      <c r="O109" s="5" t="n"/>
      <c r="P109" s="6">
        <f>E109*(L109+M109*1.5+N109*2+O109*3+N(K109))</f>
        <v/>
      </c>
      <c r="Q109" s="6" t="n">
        <v>420</v>
      </c>
      <c r="R109" s="6">
        <f>Q109-P109</f>
        <v/>
      </c>
    </row>
    <row r="110">
      <c r="P110" s="2" t="inlineStr">
        <is>
          <t>ASSTPRODUCTIONACCOUNTANTS LABOR</t>
        </is>
      </c>
      <c r="R110" s="8">
        <f>SUM(R108:R109)</f>
        <v/>
      </c>
    </row>
    <row r="112">
      <c r="B112" s="2" t="inlineStr">
        <is>
          <t>CONSTRUCTIONCOORDINATOR</t>
        </is>
      </c>
    </row>
    <row r="113">
      <c r="A113" s="5" t="inlineStr">
        <is>
          <t>2302</t>
        </is>
      </c>
      <c r="B113" s="5" t="inlineStr">
        <is>
          <t>Drew Rebelin</t>
        </is>
      </c>
      <c r="C113" s="5" t="inlineStr">
        <is>
          <t>CONSTCOORDINATOR</t>
        </is>
      </c>
      <c r="D113" s="5" t="inlineStr">
        <is>
          <t>Local44</t>
        </is>
      </c>
      <c r="E113" s="6" t="n">
        <v>400</v>
      </c>
      <c r="F113" s="5" t="n"/>
      <c r="G113" s="5" t="n"/>
      <c r="H113" s="5" t="n"/>
      <c r="I113" s="5" t="n"/>
      <c r="J113" s="7">
        <f>IF(AND(N(F113)&gt;0,N(I113)&gt;0),I113-F113-IF(N(G113)&gt;0,0.5,0)-IF(N(H113)&gt;0,0.5,0),0)</f>
        <v/>
      </c>
      <c r="K113" s="5" t="n"/>
      <c r="L113" s="7">
        <f>MIN(J113,10.0)</f>
        <v/>
      </c>
      <c r="M113" s="7">
        <f>MAX(0,MIN(J113,12)-10.0)</f>
        <v/>
      </c>
      <c r="N113" s="7">
        <f>MAX(0,J113-12)</f>
        <v/>
      </c>
      <c r="O113" s="5" t="n"/>
      <c r="P113" s="6">
        <f>E113*(L113+M113*1.5+N113*2+O113*3+N(K113))</f>
        <v/>
      </c>
      <c r="Q113" s="5" t="n"/>
      <c r="R113" s="6">
        <f>Q113-P113</f>
        <v/>
      </c>
    </row>
    <row r="114">
      <c r="P114" s="2" t="inlineStr">
        <is>
          <t>CONSTRUCTIONCOORDINATOR LABOR</t>
        </is>
      </c>
      <c r="R114" s="8">
        <f>SUM(R113:R113)</f>
        <v/>
      </c>
    </row>
    <row r="116">
      <c r="B116" s="2" t="inlineStr">
        <is>
          <t>PAINTFOREMAN</t>
        </is>
      </c>
    </row>
    <row r="117">
      <c r="A117" s="5" t="inlineStr">
        <is>
          <t>2304</t>
        </is>
      </c>
      <c r="B117" s="5" t="inlineStr">
        <is>
          <t>Kristeen Reimnitz</t>
        </is>
      </c>
      <c r="C117" s="5" t="inlineStr">
        <is>
          <t>PAINTER</t>
        </is>
      </c>
      <c r="D117" s="5" t="inlineStr">
        <is>
          <t>Local729</t>
        </is>
      </c>
      <c r="E117" s="6" t="n">
        <v>23.04</v>
      </c>
      <c r="F117" s="5" t="n"/>
      <c r="G117" s="5" t="n"/>
      <c r="H117" s="5" t="n"/>
      <c r="I117" s="5" t="n"/>
      <c r="J117" s="7">
        <f>IF(AND(N(F117)&gt;0,N(I117)&gt;0),I117-F117-IF(N(G117)&gt;0,0.5,0)-IF(N(H117)&gt;0,0.5,0),0)</f>
        <v/>
      </c>
      <c r="K117" s="5" t="n"/>
      <c r="L117" s="7">
        <f>MIN(J117,10.0)</f>
        <v/>
      </c>
      <c r="M117" s="7">
        <f>MAX(0,MIN(J117,12)-10.0)</f>
        <v/>
      </c>
      <c r="N117" s="7">
        <f>MAX(0,J117-12)</f>
        <v/>
      </c>
      <c r="O117" s="5" t="n"/>
      <c r="P117" s="6">
        <f>E117*(L117+M117*1.5+N117*2+O117*3+N(K117))</f>
        <v/>
      </c>
      <c r="Q117" s="5" t="n"/>
      <c r="R117" s="6">
        <f>Q117-P117</f>
        <v/>
      </c>
    </row>
    <row r="118">
      <c r="P118" s="2" t="inlineStr">
        <is>
          <t>PAINTFOREMAN LABOR</t>
        </is>
      </c>
      <c r="R118" s="8">
        <f>SUM(R117:R117)</f>
        <v/>
      </c>
    </row>
    <row r="120">
      <c r="B120" s="2" t="inlineStr">
        <is>
          <t>FIRSTAIDLABOR</t>
        </is>
      </c>
    </row>
    <row r="121">
      <c r="A121" s="5" t="inlineStr">
        <is>
          <t>2310</t>
        </is>
      </c>
      <c r="B121" s="5" t="inlineStr"/>
      <c r="C121" s="5" t="inlineStr">
        <is>
          <t>CONSTRUCTIONMEDIC</t>
        </is>
      </c>
      <c r="D121" s="5" t="inlineStr">
        <is>
          <t>Local80</t>
        </is>
      </c>
      <c r="E121" s="6" t="n">
        <v>23.04</v>
      </c>
      <c r="F121" s="5" t="n"/>
      <c r="G121" s="5" t="n"/>
      <c r="H121" s="5" t="n"/>
      <c r="I121" s="5" t="n"/>
      <c r="J121" s="7">
        <f>IF(AND(N(F121)&gt;0,N(I121)&gt;0),I121-F121-IF(N(G121)&gt;0,0.5,0)-IF(N(H121)&gt;0,0.5,0),0)</f>
        <v/>
      </c>
      <c r="K121" s="5" t="n"/>
      <c r="L121" s="7">
        <f>MIN(J121,10.0)</f>
        <v/>
      </c>
      <c r="M121" s="7">
        <f>MAX(0,MIN(J121,12)-10.0)</f>
        <v/>
      </c>
      <c r="N121" s="7">
        <f>MAX(0,J121-12)</f>
        <v/>
      </c>
      <c r="O121" s="5" t="n"/>
      <c r="P121" s="6">
        <f>E121*(L121+M121*1.5+N121*2+O121*3+N(K121))</f>
        <v/>
      </c>
      <c r="Q121" s="5" t="n"/>
      <c r="R121" s="6">
        <f>Q121-P121</f>
        <v/>
      </c>
    </row>
    <row r="122">
      <c r="P122" s="2" t="inlineStr">
        <is>
          <t>FIRSTAIDLABOR LABOR</t>
        </is>
      </c>
      <c r="R122" s="8">
        <f>SUM(R121:R121)</f>
        <v/>
      </c>
    </row>
    <row r="124">
      <c r="B124" s="2" t="inlineStr">
        <is>
          <t>KEYGRIP</t>
        </is>
      </c>
    </row>
    <row r="125">
      <c r="A125" s="5" t="inlineStr">
        <is>
          <t>2501</t>
        </is>
      </c>
      <c r="B125" s="5" t="inlineStr">
        <is>
          <t>Pat O'Mara</t>
        </is>
      </c>
      <c r="C125" s="5" t="inlineStr">
        <is>
          <t>KEYGRIP</t>
        </is>
      </c>
      <c r="D125" s="5" t="inlineStr">
        <is>
          <t>Local80</t>
        </is>
      </c>
      <c r="E125" s="6" t="n">
        <v>25.5</v>
      </c>
      <c r="F125" s="5" t="n"/>
      <c r="G125" s="5" t="n"/>
      <c r="H125" s="5" t="n"/>
      <c r="I125" s="5" t="n"/>
      <c r="J125" s="7">
        <f>IF(AND(N(F125)&gt;0,N(I125)&gt;0),I125-F125-IF(N(G125)&gt;0,0.5,0)-IF(N(H125)&gt;0,0.5,0),0)</f>
        <v/>
      </c>
      <c r="K125" s="5" t="n"/>
      <c r="L125" s="7">
        <f>MIN(J125,10.0)</f>
        <v/>
      </c>
      <c r="M125" s="7">
        <f>MAX(0,MIN(J125,12)-10.0)</f>
        <v/>
      </c>
      <c r="N125" s="7">
        <f>MAX(0,J125-12)</f>
        <v/>
      </c>
      <c r="O125" s="5" t="n"/>
      <c r="P125" s="6">
        <f>E125*(L125+M125*1.5+N125*2+O125*3+N(K125))</f>
        <v/>
      </c>
      <c r="Q125" s="6" t="n">
        <v>395.25</v>
      </c>
      <c r="R125" s="6">
        <f>Q125-P125</f>
        <v/>
      </c>
    </row>
    <row r="126">
      <c r="P126" s="2" t="inlineStr">
        <is>
          <t>KEYGRIP LABOR</t>
        </is>
      </c>
      <c r="R126" s="8">
        <f>SUM(R125:R125)</f>
        <v/>
      </c>
    </row>
    <row r="128">
      <c r="B128" s="2" t="inlineStr">
        <is>
          <t>BESTBOYGRIP</t>
        </is>
      </c>
    </row>
    <row r="129">
      <c r="A129" s="5" t="inlineStr">
        <is>
          <t>2502</t>
        </is>
      </c>
      <c r="B129" s="5" t="inlineStr">
        <is>
          <t>Aaron Fairley</t>
        </is>
      </c>
      <c r="C129" s="5" t="inlineStr">
        <is>
          <t>BESTBOYGRIP</t>
        </is>
      </c>
      <c r="D129" s="5" t="inlineStr">
        <is>
          <t>Local80</t>
        </is>
      </c>
      <c r="E129" s="6" t="n">
        <v>23.04</v>
      </c>
      <c r="F129" s="5" t="n"/>
      <c r="G129" s="5" t="n"/>
      <c r="H129" s="5" t="n"/>
      <c r="I129" s="5" t="n"/>
      <c r="J129" s="7">
        <f>IF(AND(N(F129)&gt;0,N(I129)&gt;0),I129-F129-IF(N(G129)&gt;0,0.5,0)-IF(N(H129)&gt;0,0.5,0),0)</f>
        <v/>
      </c>
      <c r="K129" s="5" t="n"/>
      <c r="L129" s="7">
        <f>MIN(J129,10.0)</f>
        <v/>
      </c>
      <c r="M129" s="7">
        <f>MAX(0,MIN(J129,12)-10.0)</f>
        <v/>
      </c>
      <c r="N129" s="7">
        <f>MAX(0,J129-12)</f>
        <v/>
      </c>
      <c r="O129" s="5" t="n"/>
      <c r="P129" s="6">
        <f>E129*(L129+M129*1.5+N129*2+O129*3+N(K129))</f>
        <v/>
      </c>
      <c r="Q129" s="6" t="n">
        <v>357.12</v>
      </c>
      <c r="R129" s="6">
        <f>Q129-P129</f>
        <v/>
      </c>
    </row>
    <row r="130">
      <c r="A130" s="5" t="inlineStr">
        <is>
          <t>2502</t>
        </is>
      </c>
      <c r="B130" s="5" t="inlineStr"/>
      <c r="C130" s="5" t="inlineStr">
        <is>
          <t>STUDIOBESTBOYGRIP</t>
        </is>
      </c>
      <c r="D130" s="5" t="inlineStr">
        <is>
          <t>Local80</t>
        </is>
      </c>
      <c r="E130" s="6" t="n">
        <v>43.05</v>
      </c>
      <c r="F130" s="5" t="n"/>
      <c r="G130" s="5" t="n"/>
      <c r="H130" s="5" t="n"/>
      <c r="I130" s="5" t="n"/>
      <c r="J130" s="7">
        <f>IF(AND(N(F130)&gt;0,N(I130)&gt;0),I130-F130-IF(N(G130)&gt;0,0.5,0)-IF(N(H130)&gt;0,0.5,0),0)</f>
        <v/>
      </c>
      <c r="K130" s="5" t="n"/>
      <c r="L130" s="7">
        <f>MIN(J130,10.0)</f>
        <v/>
      </c>
      <c r="M130" s="7">
        <f>MAX(0,MIN(J130,12)-10.0)</f>
        <v/>
      </c>
      <c r="N130" s="7">
        <f>MAX(0,J130-12)</f>
        <v/>
      </c>
      <c r="O130" s="5" t="n"/>
      <c r="P130" s="6">
        <f>E130*(L130+M130*1.5+N130*2+O130*3+N(K130))</f>
        <v/>
      </c>
      <c r="Q130" s="6" t="n">
        <v>667.27</v>
      </c>
      <c r="R130" s="6">
        <f>Q130-P130</f>
        <v/>
      </c>
    </row>
    <row r="131">
      <c r="P131" s="2" t="inlineStr">
        <is>
          <t>BESTBOYGRIP LABOR</t>
        </is>
      </c>
      <c r="R131" s="8">
        <f>SUM(R129:R130)</f>
        <v/>
      </c>
    </row>
    <row r="133">
      <c r="B133" s="2" t="inlineStr">
        <is>
          <t>DOLLYGRIP</t>
        </is>
      </c>
    </row>
    <row r="134">
      <c r="A134" s="5" t="inlineStr">
        <is>
          <t>2503</t>
        </is>
      </c>
      <c r="B134" s="5" t="inlineStr">
        <is>
          <t>Peter Weidenfeller</t>
        </is>
      </c>
      <c r="C134" s="5" t="inlineStr">
        <is>
          <t>"A"DOLLYGRIP</t>
        </is>
      </c>
      <c r="D134" s="5" t="inlineStr">
        <is>
          <t>Local80</t>
        </is>
      </c>
      <c r="E134" s="6" t="n">
        <v>23.04</v>
      </c>
      <c r="F134" s="5" t="n"/>
      <c r="G134" s="5" t="n"/>
      <c r="H134" s="5" t="n"/>
      <c r="I134" s="5" t="n"/>
      <c r="J134" s="7">
        <f>IF(AND(N(F134)&gt;0,N(I134)&gt;0),I134-F134-IF(N(G134)&gt;0,0.5,0)-IF(N(H134)&gt;0,0.5,0),0)</f>
        <v/>
      </c>
      <c r="K134" s="5" t="n"/>
      <c r="L134" s="7">
        <f>MIN(J134,10.0)</f>
        <v/>
      </c>
      <c r="M134" s="7">
        <f>MAX(0,MIN(J134,12)-10.0)</f>
        <v/>
      </c>
      <c r="N134" s="7">
        <f>MAX(0,J134-12)</f>
        <v/>
      </c>
      <c r="O134" s="5" t="n"/>
      <c r="P134" s="6">
        <f>E134*(L134+M134*1.5+N134*2+O134*3+N(K134))</f>
        <v/>
      </c>
      <c r="Q134" s="6" t="n">
        <v>357.12</v>
      </c>
      <c r="R134" s="6">
        <f>Q134-P134</f>
        <v/>
      </c>
    </row>
    <row r="135">
      <c r="P135" s="2" t="inlineStr">
        <is>
          <t>DOLLYGRIP LABOR</t>
        </is>
      </c>
      <c r="R135" s="8">
        <f>SUM(R134:R134)</f>
        <v/>
      </c>
    </row>
    <row r="137">
      <c r="B137" s="2" t="inlineStr">
        <is>
          <t>CRANEGRIPS</t>
        </is>
      </c>
    </row>
    <row r="138">
      <c r="A138" s="5" t="inlineStr">
        <is>
          <t>2504</t>
        </is>
      </c>
      <c r="B138" s="5" t="inlineStr"/>
      <c r="C138" s="5" t="inlineStr">
        <is>
          <t>CRANEOPERATOR</t>
        </is>
      </c>
      <c r="D138" s="5" t="inlineStr">
        <is>
          <t>Local80</t>
        </is>
      </c>
      <c r="E138" s="6" t="n">
        <v>792</v>
      </c>
      <c r="F138" s="5" t="n"/>
      <c r="G138" s="5" t="n"/>
      <c r="H138" s="5" t="n"/>
      <c r="I138" s="5" t="n"/>
      <c r="J138" s="7">
        <f>IF(AND(N(F138)&gt;0,N(I138)&gt;0),I138-F138-IF(N(G138)&gt;0,0.5,0)-IF(N(H138)&gt;0,0.5,0),0)</f>
        <v/>
      </c>
      <c r="K138" s="5" t="n"/>
      <c r="L138" s="7">
        <f>MIN(J138,10.0)</f>
        <v/>
      </c>
      <c r="M138" s="7">
        <f>MAX(0,MIN(J138,12)-10.0)</f>
        <v/>
      </c>
      <c r="N138" s="7">
        <f>MAX(0,J138-12)</f>
        <v/>
      </c>
      <c r="O138" s="5" t="n"/>
      <c r="P138" s="6">
        <f>E138*(L138+M138*1.5+N138*2+O138*3+N(K138))</f>
        <v/>
      </c>
      <c r="Q138" s="6" t="n">
        <v>924</v>
      </c>
      <c r="R138" s="6">
        <f>Q138-P138</f>
        <v/>
      </c>
    </row>
    <row r="139">
      <c r="A139" s="5" t="inlineStr">
        <is>
          <t>2504</t>
        </is>
      </c>
      <c r="B139" s="5" t="inlineStr"/>
      <c r="C139" s="5" t="inlineStr">
        <is>
          <t>CRANEASSISTANT</t>
        </is>
      </c>
      <c r="D139" s="5" t="inlineStr">
        <is>
          <t>Local80</t>
        </is>
      </c>
      <c r="E139" s="6" t="n">
        <v>660</v>
      </c>
      <c r="F139" s="5" t="n"/>
      <c r="G139" s="5" t="n"/>
      <c r="H139" s="5" t="n"/>
      <c r="I139" s="5" t="n"/>
      <c r="J139" s="7">
        <f>IF(AND(N(F139)&gt;0,N(I139)&gt;0),I139-F139-IF(N(G139)&gt;0,0.5,0)-IF(N(H139)&gt;0,0.5,0),0)</f>
        <v/>
      </c>
      <c r="K139" s="5" t="n"/>
      <c r="L139" s="7">
        <f>MIN(J139,10.0)</f>
        <v/>
      </c>
      <c r="M139" s="7">
        <f>MAX(0,MIN(J139,12)-10.0)</f>
        <v/>
      </c>
      <c r="N139" s="7">
        <f>MAX(0,J139-12)</f>
        <v/>
      </c>
      <c r="O139" s="5" t="n"/>
      <c r="P139" s="6">
        <f>E139*(L139+M139*1.5+N139*2+O139*3+N(K139))</f>
        <v/>
      </c>
      <c r="Q139" s="6" t="n">
        <v>770</v>
      </c>
      <c r="R139" s="6">
        <f>Q139-P139</f>
        <v/>
      </c>
    </row>
    <row r="140">
      <c r="P140" s="2" t="inlineStr">
        <is>
          <t>CRANEGRIPS LABOR</t>
        </is>
      </c>
      <c r="R140" s="8">
        <f>SUM(R138:R139)</f>
        <v/>
      </c>
    </row>
    <row r="142">
      <c r="B142" s="2" t="inlineStr">
        <is>
          <t>COMPANYGRIPS</t>
        </is>
      </c>
    </row>
    <row r="143">
      <c r="A143" s="5" t="inlineStr">
        <is>
          <t>2505</t>
        </is>
      </c>
      <c r="B143" s="5" t="inlineStr"/>
      <c r="C143" s="5" t="inlineStr">
        <is>
          <t>GRIP#1</t>
        </is>
      </c>
      <c r="D143" s="5" t="inlineStr">
        <is>
          <t>Local80</t>
        </is>
      </c>
      <c r="E143" s="6" t="n">
        <v>20.57</v>
      </c>
      <c r="F143" s="5" t="n"/>
      <c r="G143" s="5" t="n"/>
      <c r="H143" s="5" t="n"/>
      <c r="I143" s="5" t="n"/>
      <c r="J143" s="7">
        <f>IF(AND(N(F143)&gt;0,N(I143)&gt;0),I143-F143-IF(N(G143)&gt;0,0.5,0)-IF(N(H143)&gt;0,0.5,0),0)</f>
        <v/>
      </c>
      <c r="K143" s="5" t="n"/>
      <c r="L143" s="7">
        <f>MIN(J143,10.0)</f>
        <v/>
      </c>
      <c r="M143" s="7">
        <f>MAX(0,MIN(J143,12)-10.0)</f>
        <v/>
      </c>
      <c r="N143" s="7">
        <f>MAX(0,J143-12)</f>
        <v/>
      </c>
      <c r="O143" s="5" t="n"/>
      <c r="P143" s="6">
        <f>E143*(L143+M143*1.5+N143*2+O143*3+N(K143))</f>
        <v/>
      </c>
      <c r="Q143" s="6" t="n">
        <v>318.83</v>
      </c>
      <c r="R143" s="6">
        <f>Q143-P143</f>
        <v/>
      </c>
    </row>
    <row r="144">
      <c r="A144" s="5" t="inlineStr">
        <is>
          <t>2505</t>
        </is>
      </c>
      <c r="B144" s="5" t="inlineStr"/>
      <c r="C144" s="5" t="inlineStr">
        <is>
          <t>GRIP#2</t>
        </is>
      </c>
      <c r="D144" s="5" t="inlineStr">
        <is>
          <t>Local80</t>
        </is>
      </c>
      <c r="E144" s="6" t="n">
        <v>20.57</v>
      </c>
      <c r="F144" s="5" t="n"/>
      <c r="G144" s="5" t="n"/>
      <c r="H144" s="5" t="n"/>
      <c r="I144" s="5" t="n"/>
      <c r="J144" s="7">
        <f>IF(AND(N(F144)&gt;0,N(I144)&gt;0),I144-F144-IF(N(G144)&gt;0,0.5,0)-IF(N(H144)&gt;0,0.5,0),0)</f>
        <v/>
      </c>
      <c r="K144" s="5" t="n"/>
      <c r="L144" s="7">
        <f>MIN(J144,10.0)</f>
        <v/>
      </c>
      <c r="M144" s="7">
        <f>MAX(0,MIN(J144,12)-10.0)</f>
        <v/>
      </c>
      <c r="N144" s="7">
        <f>MAX(0,J144-12)</f>
        <v/>
      </c>
      <c r="O144" s="5" t="n"/>
      <c r="P144" s="6">
        <f>E144*(L144+M144*1.5+N144*2+O144*3+N(K144))</f>
        <v/>
      </c>
      <c r="Q144" s="6" t="n">
        <v>318.83</v>
      </c>
      <c r="R144" s="6">
        <f>Q144-P144</f>
        <v/>
      </c>
    </row>
    <row r="145">
      <c r="A145" s="5" t="inlineStr">
        <is>
          <t>2505</t>
        </is>
      </c>
      <c r="B145" s="5" t="inlineStr"/>
      <c r="C145" s="5" t="inlineStr">
        <is>
          <t>GRIP#3</t>
        </is>
      </c>
      <c r="D145" s="5" t="inlineStr">
        <is>
          <t>Local80</t>
        </is>
      </c>
      <c r="E145" s="6" t="n">
        <v>20.57</v>
      </c>
      <c r="F145" s="5" t="n"/>
      <c r="G145" s="5" t="n"/>
      <c r="H145" s="5" t="n"/>
      <c r="I145" s="5" t="n"/>
      <c r="J145" s="7">
        <f>IF(AND(N(F145)&gt;0,N(I145)&gt;0),I145-F145-IF(N(G145)&gt;0,0.5,0)-IF(N(H145)&gt;0,0.5,0),0)</f>
        <v/>
      </c>
      <c r="K145" s="5" t="n"/>
      <c r="L145" s="7">
        <f>MIN(J145,10.0)</f>
        <v/>
      </c>
      <c r="M145" s="7">
        <f>MAX(0,MIN(J145,12)-10.0)</f>
        <v/>
      </c>
      <c r="N145" s="7">
        <f>MAX(0,J145-12)</f>
        <v/>
      </c>
      <c r="O145" s="5" t="n"/>
      <c r="P145" s="6">
        <f>E145*(L145+M145*1.5+N145*2+O145*3+N(K145))</f>
        <v/>
      </c>
      <c r="Q145" s="6" t="n">
        <v>318.83</v>
      </c>
      <c r="R145" s="6">
        <f>Q145-P145</f>
        <v/>
      </c>
    </row>
    <row r="146">
      <c r="P146" s="2" t="inlineStr">
        <is>
          <t>COMPANYGRIPS LABOR</t>
        </is>
      </c>
      <c r="R146" s="8">
        <f>SUM(R143:R145)</f>
        <v/>
      </c>
    </row>
    <row r="148">
      <c r="B148" s="2" t="inlineStr">
        <is>
          <t>OTHERLABOR</t>
        </is>
      </c>
    </row>
    <row r="149">
      <c r="A149" s="5" t="inlineStr">
        <is>
          <t>2506</t>
        </is>
      </c>
      <c r="B149" s="5" t="inlineStr"/>
      <c r="C149" s="5" t="inlineStr">
        <is>
          <t>GRIPMANDAYS&amp;RIGGINGMANDAYS</t>
        </is>
      </c>
      <c r="D149" s="5" t="inlineStr">
        <is>
          <t>Local80</t>
        </is>
      </c>
      <c r="E149" s="6" t="n">
        <v>20.57</v>
      </c>
      <c r="F149" s="5" t="n"/>
      <c r="G149" s="5" t="n"/>
      <c r="H149" s="5" t="n"/>
      <c r="I149" s="5" t="n"/>
      <c r="J149" s="7">
        <f>IF(AND(N(F149)&gt;0,N(I149)&gt;0),I149-F149-IF(N(G149)&gt;0,0.5,0)-IF(N(H149)&gt;0,0.5,0),0)</f>
        <v/>
      </c>
      <c r="K149" s="5" t="n"/>
      <c r="L149" s="7">
        <f>MIN(J149,10.0)</f>
        <v/>
      </c>
      <c r="M149" s="7">
        <f>MAX(0,MIN(J149,12)-10.0)</f>
        <v/>
      </c>
      <c r="N149" s="7">
        <f>MAX(0,J149-12)</f>
        <v/>
      </c>
      <c r="O149" s="5" t="n"/>
      <c r="P149" s="6">
        <f>E149*(L149+M149*1.5+N149*2+O149*3+N(K149))</f>
        <v/>
      </c>
      <c r="Q149" s="6" t="n">
        <v>318.83</v>
      </c>
      <c r="R149" s="6">
        <f>Q149-P149</f>
        <v/>
      </c>
    </row>
    <row r="150">
      <c r="P150" s="2" t="inlineStr">
        <is>
          <t>OTHERLABOR LABOR</t>
        </is>
      </c>
      <c r="R150" s="8">
        <f>SUM(R149:R149)</f>
        <v/>
      </c>
    </row>
    <row r="152">
      <c r="B152" s="2" t="inlineStr">
        <is>
          <t>STANDBYLABOR</t>
        </is>
      </c>
    </row>
    <row r="153">
      <c r="A153" s="5" t="inlineStr">
        <is>
          <t>2510</t>
        </is>
      </c>
      <c r="B153" s="5" t="inlineStr"/>
      <c r="C153" s="5" t="inlineStr">
        <is>
          <t>LAYOUTBOARD</t>
        </is>
      </c>
      <c r="D153" s="5" t="inlineStr">
        <is>
          <t>Local729</t>
        </is>
      </c>
      <c r="E153" s="6" t="n">
        <v>25.5</v>
      </c>
      <c r="F153" s="5" t="n"/>
      <c r="G153" s="5" t="n"/>
      <c r="H153" s="5" t="n"/>
      <c r="I153" s="5" t="n"/>
      <c r="J153" s="7">
        <f>IF(AND(N(F153)&gt;0,N(I153)&gt;0),I153-F153-IF(N(G153)&gt;0,0.5,0)-IF(N(H153)&gt;0,0.5,0),0)</f>
        <v/>
      </c>
      <c r="K153" s="5" t="n"/>
      <c r="L153" s="7">
        <f>MIN(J153,10.0)</f>
        <v/>
      </c>
      <c r="M153" s="7">
        <f>MAX(0,MIN(J153,12)-10.0)</f>
        <v/>
      </c>
      <c r="N153" s="7">
        <f>MAX(0,J153-12)</f>
        <v/>
      </c>
      <c r="O153" s="5" t="n"/>
      <c r="P153" s="6">
        <f>E153*(L153+M153*1.5+N153*2+O153*3+N(K153))</f>
        <v/>
      </c>
      <c r="Q153" s="6" t="n">
        <v>395.25</v>
      </c>
      <c r="R153" s="6">
        <f>Q153-P153</f>
        <v/>
      </c>
    </row>
    <row r="154">
      <c r="P154" s="2" t="inlineStr">
        <is>
          <t>STANDBYLABOR LABOR</t>
        </is>
      </c>
      <c r="R154" s="8">
        <f>SUM(R153:R153)</f>
        <v/>
      </c>
    </row>
    <row r="156">
      <c r="B156" s="2" t="inlineStr">
        <is>
          <t>SETCRAFTSERVICELABOR</t>
        </is>
      </c>
    </row>
    <row r="157">
      <c r="A157" s="5" t="inlineStr">
        <is>
          <t>2511</t>
        </is>
      </c>
      <c r="B157" s="5" t="inlineStr">
        <is>
          <t>Maurico Solis</t>
        </is>
      </c>
      <c r="C157" s="5" t="inlineStr">
        <is>
          <t>KEYCRAFTSERVICE</t>
        </is>
      </c>
      <c r="D157" s="5" t="inlineStr">
        <is>
          <t>Local80</t>
        </is>
      </c>
      <c r="E157" s="6" t="n">
        <v>25.5</v>
      </c>
      <c r="F157" s="5" t="n"/>
      <c r="G157" s="5" t="n"/>
      <c r="H157" s="5" t="n"/>
      <c r="I157" s="5" t="n"/>
      <c r="J157" s="7">
        <f>IF(AND(N(F157)&gt;0,N(I157)&gt;0),I157-F157-IF(N(G157)&gt;0,0.5,0)-IF(N(H157)&gt;0,0.5,0),0)</f>
        <v/>
      </c>
      <c r="K157" s="5" t="n"/>
      <c r="L157" s="7">
        <f>MIN(J157,10.0)</f>
        <v/>
      </c>
      <c r="M157" s="7">
        <f>MAX(0,MIN(J157,12)-10.0)</f>
        <v/>
      </c>
      <c r="N157" s="7">
        <f>MAX(0,J157-12)</f>
        <v/>
      </c>
      <c r="O157" s="5" t="n"/>
      <c r="P157" s="6">
        <f>E157*(L157+M157*1.5+N157*2+O157*3+N(K157))</f>
        <v/>
      </c>
      <c r="Q157" s="6" t="n">
        <v>439.87</v>
      </c>
      <c r="R157" s="6">
        <f>Q157-P157</f>
        <v/>
      </c>
    </row>
    <row r="158">
      <c r="A158" s="5" t="inlineStr">
        <is>
          <t>2511</t>
        </is>
      </c>
      <c r="B158" s="5" t="inlineStr"/>
      <c r="C158" s="5" t="inlineStr">
        <is>
          <t>ASSTCRAFTSERVICE</t>
        </is>
      </c>
      <c r="D158" s="5" t="inlineStr">
        <is>
          <t>Local80</t>
        </is>
      </c>
      <c r="E158" s="6" t="n">
        <v>23.04</v>
      </c>
      <c r="F158" s="5" t="n"/>
      <c r="G158" s="5" t="n"/>
      <c r="H158" s="5" t="n"/>
      <c r="I158" s="5" t="n"/>
      <c r="J158" s="7">
        <f>IF(AND(N(F158)&gt;0,N(I158)&gt;0),I158-F158-IF(N(G158)&gt;0,0.5,0)-IF(N(H158)&gt;0,0.5,0),0)</f>
        <v/>
      </c>
      <c r="K158" s="5" t="n"/>
      <c r="L158" s="7">
        <f>MIN(J158,10.0)</f>
        <v/>
      </c>
      <c r="M158" s="7">
        <f>MAX(0,MIN(J158,12)-10.0)</f>
        <v/>
      </c>
      <c r="N158" s="7">
        <f>MAX(0,J158-12)</f>
        <v/>
      </c>
      <c r="O158" s="5" t="n"/>
      <c r="P158" s="6">
        <f>E158*(L158+M158*1.5+N158*2+O158*3+N(K158))</f>
        <v/>
      </c>
      <c r="Q158" s="6" t="n">
        <v>397.43</v>
      </c>
      <c r="R158" s="6">
        <f>Q158-P158</f>
        <v/>
      </c>
    </row>
    <row r="159">
      <c r="P159" s="2" t="inlineStr">
        <is>
          <t>SETCRAFTSERVICELABOR LABOR</t>
        </is>
      </c>
      <c r="R159" s="8">
        <f>SUM(R157:R158)</f>
        <v/>
      </c>
    </row>
    <row r="161">
      <c r="B161" s="2" t="inlineStr">
        <is>
          <t>SETFIRSTAIDLABOR</t>
        </is>
      </c>
    </row>
    <row r="162">
      <c r="A162" s="5" t="inlineStr">
        <is>
          <t>2514</t>
        </is>
      </c>
      <c r="B162" s="5" t="inlineStr">
        <is>
          <t>Robert Hill</t>
        </is>
      </c>
      <c r="C162" s="5" t="inlineStr">
        <is>
          <t>SETMEDIC</t>
        </is>
      </c>
      <c r="D162" s="5" t="inlineStr">
        <is>
          <t>Local80</t>
        </is>
      </c>
      <c r="E162" s="6" t="n">
        <v>23.04</v>
      </c>
      <c r="F162" s="5" t="n"/>
      <c r="G162" s="5" t="n"/>
      <c r="H162" s="5" t="n"/>
      <c r="I162" s="5" t="n"/>
      <c r="J162" s="7">
        <f>IF(AND(N(F162)&gt;0,N(I162)&gt;0),I162-F162-IF(N(G162)&gt;0,0.5,0)-IF(N(H162)&gt;0,0.5,0),0)</f>
        <v/>
      </c>
      <c r="K162" s="5" t="n"/>
      <c r="L162" s="7">
        <f>MIN(J162,10.0)</f>
        <v/>
      </c>
      <c r="M162" s="7">
        <f>MAX(0,MIN(J162,12)-10.0)</f>
        <v/>
      </c>
      <c r="N162" s="7">
        <f>MAX(0,J162-12)</f>
        <v/>
      </c>
      <c r="O162" s="5" t="n"/>
      <c r="P162" s="6">
        <f>E162*(L162+M162*1.5+N162*2+O162*3+N(K162))</f>
        <v/>
      </c>
      <c r="Q162" s="6" t="n">
        <v>397.43</v>
      </c>
      <c r="R162" s="6">
        <f>Q162-P162</f>
        <v/>
      </c>
    </row>
    <row r="163">
      <c r="A163" s="5" t="inlineStr">
        <is>
          <t>2514</t>
        </is>
      </c>
      <c r="B163" s="5" t="inlineStr"/>
      <c r="C163" s="5" t="inlineStr">
        <is>
          <t>RIGGINGMEDICMANDAYS</t>
        </is>
      </c>
      <c r="D163" s="5" t="inlineStr">
        <is>
          <t>Local80</t>
        </is>
      </c>
      <c r="E163" s="6" t="n">
        <v>23.04</v>
      </c>
      <c r="F163" s="5" t="n"/>
      <c r="G163" s="5" t="n"/>
      <c r="H163" s="5" t="n"/>
      <c r="I163" s="5" t="n"/>
      <c r="J163" s="7">
        <f>IF(AND(N(F163)&gt;0,N(I163)&gt;0),I163-F163-IF(N(G163)&gt;0,0.5,0)-IF(N(H163)&gt;0,0.5,0),0)</f>
        <v/>
      </c>
      <c r="K163" s="5" t="n"/>
      <c r="L163" s="7">
        <f>MIN(J163,10.0)</f>
        <v/>
      </c>
      <c r="M163" s="7">
        <f>MAX(0,MIN(J163,12)-10.0)</f>
        <v/>
      </c>
      <c r="N163" s="7">
        <f>MAX(0,J163-12)</f>
        <v/>
      </c>
      <c r="O163" s="5" t="n"/>
      <c r="P163" s="6">
        <f>E163*(L163+M163*1.5+N163*2+O163*3+N(K163))</f>
        <v/>
      </c>
      <c r="Q163" s="5" t="n"/>
      <c r="R163" s="6">
        <f>Q163-P163</f>
        <v/>
      </c>
    </row>
    <row r="164">
      <c r="P164" s="2" t="inlineStr">
        <is>
          <t>SETFIRSTAIDLABOR LABOR</t>
        </is>
      </c>
      <c r="R164" s="8">
        <f>SUM(R162:R163)</f>
        <v/>
      </c>
    </row>
    <row r="166">
      <c r="B166" s="2" t="inlineStr">
        <is>
          <t>SFXCOORDINATOR</t>
        </is>
      </c>
    </row>
    <row r="167">
      <c r="A167" s="5" t="inlineStr">
        <is>
          <t>2601</t>
        </is>
      </c>
      <c r="B167" s="5" t="inlineStr">
        <is>
          <t>Zak Knight</t>
        </is>
      </c>
      <c r="C167" s="5" t="inlineStr">
        <is>
          <t>SPFXCOORDINATOR</t>
        </is>
      </c>
      <c r="D167" s="5" t="inlineStr">
        <is>
          <t>Local44</t>
        </is>
      </c>
      <c r="E167" s="6" t="n">
        <v>42</v>
      </c>
      <c r="F167" s="5" t="n"/>
      <c r="G167" s="5" t="n"/>
      <c r="H167" s="5" t="n"/>
      <c r="I167" s="5" t="n"/>
      <c r="J167" s="7">
        <f>IF(AND(N(F167)&gt;0,N(I167)&gt;0),I167-F167-IF(N(G167)&gt;0,0.5,0)-IF(N(H167)&gt;0,0.5,0),0)</f>
        <v/>
      </c>
      <c r="K167" s="5" t="n"/>
      <c r="L167" s="7">
        <f>MIN(J167,10.0)</f>
        <v/>
      </c>
      <c r="M167" s="7">
        <f>MAX(0,MIN(J167,12)-10.0)</f>
        <v/>
      </c>
      <c r="N167" s="7">
        <f>MAX(0,J167-12)</f>
        <v/>
      </c>
      <c r="O167" s="5" t="n"/>
      <c r="P167" s="6">
        <f>E167*(L167+M167*1.5+N167*2+O167*3+N(K167))</f>
        <v/>
      </c>
      <c r="Q167" s="6" t="n">
        <v>651</v>
      </c>
      <c r="R167" s="6">
        <f>Q167-P167</f>
        <v/>
      </c>
    </row>
    <row r="168">
      <c r="P168" s="2" t="inlineStr">
        <is>
          <t>SFXCOORDINATOR LABOR</t>
        </is>
      </c>
      <c r="R168" s="8">
        <f>SUM(R167:R167)</f>
        <v/>
      </c>
    </row>
    <row r="170">
      <c r="B170" s="2" t="inlineStr">
        <is>
          <t>SFXTECHMANDAYS</t>
        </is>
      </c>
    </row>
    <row r="171">
      <c r="A171" s="5" t="inlineStr">
        <is>
          <t>2609</t>
        </is>
      </c>
      <c r="B171" s="5" t="inlineStr"/>
      <c r="C171" s="5" t="inlineStr">
        <is>
          <t>SPFXTECHMANDAYS</t>
        </is>
      </c>
      <c r="D171" s="5" t="inlineStr">
        <is>
          <t>Local44</t>
        </is>
      </c>
      <c r="E171" s="6" t="n">
        <v>40</v>
      </c>
      <c r="F171" s="5" t="n"/>
      <c r="G171" s="5" t="n"/>
      <c r="H171" s="5" t="n"/>
      <c r="I171" s="5" t="n"/>
      <c r="J171" s="7">
        <f>IF(AND(N(F171)&gt;0,N(I171)&gt;0),I171-F171-IF(N(G171)&gt;0,0.5,0)-IF(N(H171)&gt;0,0.5,0),0)</f>
        <v/>
      </c>
      <c r="K171" s="5" t="n"/>
      <c r="L171" s="7">
        <f>MIN(J171,10.0)</f>
        <v/>
      </c>
      <c r="M171" s="7">
        <f>MAX(0,MIN(J171,12)-10.0)</f>
        <v/>
      </c>
      <c r="N171" s="7">
        <f>MAX(0,J171-12)</f>
        <v/>
      </c>
      <c r="O171" s="5" t="n"/>
      <c r="P171" s="6">
        <f>E171*(L171+M171*1.5+N171*2+O171*3+N(K171))</f>
        <v/>
      </c>
      <c r="Q171" s="6" t="n">
        <v>620</v>
      </c>
      <c r="R171" s="6">
        <f>Q171-P171</f>
        <v/>
      </c>
    </row>
    <row r="172">
      <c r="A172" s="5" t="inlineStr">
        <is>
          <t>2609</t>
        </is>
      </c>
      <c r="B172" s="5" t="inlineStr"/>
      <c r="C172" s="5" t="inlineStr">
        <is>
          <t>SPFXASSISTANTMANDAYS</t>
        </is>
      </c>
      <c r="D172" s="5" t="inlineStr">
        <is>
          <t>Local44</t>
        </is>
      </c>
      <c r="E172" s="6" t="n">
        <v>25.5</v>
      </c>
      <c r="F172" s="5" t="n"/>
      <c r="G172" s="5" t="n"/>
      <c r="H172" s="5" t="n"/>
      <c r="I172" s="5" t="n"/>
      <c r="J172" s="7">
        <f>IF(AND(N(F172)&gt;0,N(I172)&gt;0),I172-F172-IF(N(G172)&gt;0,0.5,0)-IF(N(H172)&gt;0,0.5,0),0)</f>
        <v/>
      </c>
      <c r="K172" s="5" t="n"/>
      <c r="L172" s="7">
        <f>MIN(J172,10.0)</f>
        <v/>
      </c>
      <c r="M172" s="7">
        <f>MAX(0,MIN(J172,12)-10.0)</f>
        <v/>
      </c>
      <c r="N172" s="7">
        <f>MAX(0,J172-12)</f>
        <v/>
      </c>
      <c r="O172" s="5" t="n"/>
      <c r="P172" s="6">
        <f>E172*(L172+M172*1.5+N172*2+O172*3+N(K172))</f>
        <v/>
      </c>
      <c r="Q172" s="6" t="n">
        <v>395.25</v>
      </c>
      <c r="R172" s="6">
        <f>Q172-P172</f>
        <v/>
      </c>
    </row>
    <row r="173">
      <c r="A173" s="5" t="inlineStr">
        <is>
          <t>2609</t>
        </is>
      </c>
      <c r="B173" s="5" t="inlineStr"/>
      <c r="C173" s="5" t="inlineStr">
        <is>
          <t>PYROMANDAYS</t>
        </is>
      </c>
      <c r="D173" s="5" t="inlineStr">
        <is>
          <t>Local44</t>
        </is>
      </c>
      <c r="E173" s="6" t="n">
        <v>68.18000000000001</v>
      </c>
      <c r="F173" s="5" t="n"/>
      <c r="G173" s="5" t="n"/>
      <c r="H173" s="5" t="n"/>
      <c r="I173" s="5" t="n"/>
      <c r="J173" s="7">
        <f>IF(AND(N(F173)&gt;0,N(I173)&gt;0),I173-F173-IF(N(G173)&gt;0,0.5,0)-IF(N(H173)&gt;0,0.5,0),0)</f>
        <v/>
      </c>
      <c r="K173" s="5" t="n"/>
      <c r="L173" s="7">
        <f>MIN(J173,10.0)</f>
        <v/>
      </c>
      <c r="M173" s="7">
        <f>MAX(0,MIN(J173,12)-10.0)</f>
        <v/>
      </c>
      <c r="N173" s="7">
        <f>MAX(0,J173-12)</f>
        <v/>
      </c>
      <c r="O173" s="5" t="n"/>
      <c r="P173" s="6">
        <f>E173*(L173+M173*1.5+N173*2+O173*3+N(K173))</f>
        <v/>
      </c>
      <c r="Q173" s="6" t="n">
        <v>749.98</v>
      </c>
      <c r="R173" s="6">
        <f>Q173-P173</f>
        <v/>
      </c>
    </row>
    <row r="174">
      <c r="P174" s="2" t="inlineStr">
        <is>
          <t>SFXTECHMANDAYS LABOR</t>
        </is>
      </c>
      <c r="R174" s="8">
        <f>SUM(R171:R173)</f>
        <v/>
      </c>
    </row>
    <row r="176">
      <c r="B176" s="2" t="inlineStr">
        <is>
          <t>SETDECORATOR</t>
        </is>
      </c>
    </row>
    <row r="177">
      <c r="A177" s="5" t="inlineStr">
        <is>
          <t>2701</t>
        </is>
      </c>
      <c r="B177" s="5" t="inlineStr">
        <is>
          <t>Sandy Skora</t>
        </is>
      </c>
      <c r="C177" s="5" t="inlineStr">
        <is>
          <t>SETDECORATOR</t>
        </is>
      </c>
      <c r="D177" s="5" t="inlineStr">
        <is>
          <t>Local44</t>
        </is>
      </c>
      <c r="E177" s="6" t="n">
        <v>400</v>
      </c>
      <c r="F177" s="5" t="n"/>
      <c r="G177" s="5" t="n"/>
      <c r="H177" s="5" t="n"/>
      <c r="I177" s="5" t="n"/>
      <c r="J177" s="7">
        <f>IF(AND(N(F177)&gt;0,N(I177)&gt;0),I177-F177-IF(N(G177)&gt;0,0.5,0)-IF(N(H177)&gt;0,0.5,0),0)</f>
        <v/>
      </c>
      <c r="K177" s="5" t="n"/>
      <c r="L177" s="7">
        <f>MIN(J177,10.0)</f>
        <v/>
      </c>
      <c r="M177" s="7">
        <f>MAX(0,MIN(J177,12)-10.0)</f>
        <v/>
      </c>
      <c r="N177" s="7">
        <f>MAX(0,J177-12)</f>
        <v/>
      </c>
      <c r="O177" s="5" t="n"/>
      <c r="P177" s="6">
        <f>E177*(L177+M177*1.5+N177*2+O177*3+N(K177))</f>
        <v/>
      </c>
      <c r="Q177" s="6" t="n">
        <v>400</v>
      </c>
      <c r="R177" s="6">
        <f>Q177-P177</f>
        <v/>
      </c>
    </row>
    <row r="178">
      <c r="P178" s="2" t="inlineStr">
        <is>
          <t>SETDECORATOR LABOR</t>
        </is>
      </c>
      <c r="R178" s="8">
        <f>SUM(R177:R177)</f>
        <v/>
      </c>
    </row>
    <row r="180">
      <c r="B180" s="2" t="inlineStr">
        <is>
          <t>LEADPERSON</t>
        </is>
      </c>
    </row>
    <row r="181">
      <c r="A181" s="5" t="inlineStr">
        <is>
          <t>2702</t>
        </is>
      </c>
      <c r="B181" s="5" t="inlineStr">
        <is>
          <t>Josh Richmond</t>
        </is>
      </c>
      <c r="C181" s="5" t="inlineStr">
        <is>
          <t>LEADPERSON</t>
        </is>
      </c>
      <c r="D181" s="5" t="inlineStr">
        <is>
          <t>Local44</t>
        </is>
      </c>
      <c r="E181" s="6" t="n">
        <v>23.04</v>
      </c>
      <c r="F181" s="5" t="n"/>
      <c r="G181" s="5" t="n"/>
      <c r="H181" s="5" t="n"/>
      <c r="I181" s="5" t="n"/>
      <c r="J181" s="7">
        <f>IF(AND(N(F181)&gt;0,N(I181)&gt;0),I181-F181-IF(N(G181)&gt;0,0.5,0)-IF(N(H181)&gt;0,0.5,0),0)</f>
        <v/>
      </c>
      <c r="K181" s="5" t="n"/>
      <c r="L181" s="7">
        <f>MIN(J181,10.0)</f>
        <v/>
      </c>
      <c r="M181" s="7">
        <f>MAX(0,MIN(J181,12)-10.0)</f>
        <v/>
      </c>
      <c r="N181" s="7">
        <f>MAX(0,J181-12)</f>
        <v/>
      </c>
      <c r="O181" s="5" t="n"/>
      <c r="P181" s="6">
        <f>E181*(L181+M181*1.5+N181*2+O181*3+N(K181))</f>
        <v/>
      </c>
      <c r="Q181" s="6" t="n">
        <v>322.56</v>
      </c>
      <c r="R181" s="6">
        <f>Q181-P181</f>
        <v/>
      </c>
    </row>
    <row r="182">
      <c r="P182" s="2" t="inlineStr">
        <is>
          <t>LEADPERSON LABOR</t>
        </is>
      </c>
      <c r="R182" s="8">
        <f>SUM(R181:R181)</f>
        <v/>
      </c>
    </row>
    <row r="184">
      <c r="B184" s="2" t="inlineStr">
        <is>
          <t>SWINGLABOR</t>
        </is>
      </c>
    </row>
    <row r="185">
      <c r="A185" s="5" t="inlineStr">
        <is>
          <t>2703</t>
        </is>
      </c>
      <c r="B185" s="5" t="inlineStr">
        <is>
          <t>Tim Dodge</t>
        </is>
      </c>
      <c r="C185" s="5" t="inlineStr">
        <is>
          <t>SWING#1</t>
        </is>
      </c>
      <c r="D185" s="5" t="inlineStr">
        <is>
          <t>Local44</t>
        </is>
      </c>
      <c r="E185" s="6" t="n">
        <v>20.57</v>
      </c>
      <c r="F185" s="5" t="n"/>
      <c r="G185" s="5" t="n"/>
      <c r="H185" s="5" t="n"/>
      <c r="I185" s="5" t="n"/>
      <c r="J185" s="7">
        <f>IF(AND(N(F185)&gt;0,N(I185)&gt;0),I185-F185-IF(N(G185)&gt;0,0.5,0)-IF(N(H185)&gt;0,0.5,0),0)</f>
        <v/>
      </c>
      <c r="K185" s="5" t="n"/>
      <c r="L185" s="7">
        <f>MIN(J185,10.0)</f>
        <v/>
      </c>
      <c r="M185" s="7">
        <f>MAX(0,MIN(J185,12)-10.0)</f>
        <v/>
      </c>
      <c r="N185" s="7">
        <f>MAX(0,J185-12)</f>
        <v/>
      </c>
      <c r="O185" s="5" t="n"/>
      <c r="P185" s="6">
        <f>E185*(L185+M185*1.5+N185*2+O185*3+N(K185))</f>
        <v/>
      </c>
      <c r="Q185" s="6" t="n">
        <v>287.98</v>
      </c>
      <c r="R185" s="6">
        <f>Q185-P185</f>
        <v/>
      </c>
    </row>
    <row r="186">
      <c r="A186" s="5" t="inlineStr">
        <is>
          <t>2703</t>
        </is>
      </c>
      <c r="B186" s="5" t="inlineStr"/>
      <c r="C186" s="5" t="inlineStr">
        <is>
          <t>SWING#2</t>
        </is>
      </c>
      <c r="D186" s="5" t="inlineStr">
        <is>
          <t>Local44</t>
        </is>
      </c>
      <c r="E186" s="6" t="n">
        <v>20.57</v>
      </c>
      <c r="F186" s="5" t="n"/>
      <c r="G186" s="5" t="n"/>
      <c r="H186" s="5" t="n"/>
      <c r="I186" s="5" t="n"/>
      <c r="J186" s="7">
        <f>IF(AND(N(F186)&gt;0,N(I186)&gt;0),I186-F186-IF(N(G186)&gt;0,0.5,0)-IF(N(H186)&gt;0,0.5,0),0)</f>
        <v/>
      </c>
      <c r="K186" s="5" t="n"/>
      <c r="L186" s="7">
        <f>MIN(J186,10.0)</f>
        <v/>
      </c>
      <c r="M186" s="7">
        <f>MAX(0,MIN(J186,12)-10.0)</f>
        <v/>
      </c>
      <c r="N186" s="7">
        <f>MAX(0,J186-12)</f>
        <v/>
      </c>
      <c r="O186" s="5" t="n"/>
      <c r="P186" s="6">
        <f>E186*(L186+M186*1.5+N186*2+O186*3+N(K186))</f>
        <v/>
      </c>
      <c r="Q186" s="6" t="n">
        <v>287.98</v>
      </c>
      <c r="R186" s="6">
        <f>Q186-P186</f>
        <v/>
      </c>
    </row>
    <row r="187">
      <c r="A187" s="5" t="inlineStr">
        <is>
          <t>2703</t>
        </is>
      </c>
      <c r="B187" s="5" t="inlineStr"/>
      <c r="C187" s="5" t="inlineStr">
        <is>
          <t>ADDITIONALSWINGMANDAYS</t>
        </is>
      </c>
      <c r="D187" s="5" t="inlineStr">
        <is>
          <t>Local44</t>
        </is>
      </c>
      <c r="E187" s="6" t="n">
        <v>20.57</v>
      </c>
      <c r="F187" s="5" t="n"/>
      <c r="G187" s="5" t="n"/>
      <c r="H187" s="5" t="n"/>
      <c r="I187" s="5" t="n"/>
      <c r="J187" s="7">
        <f>IF(AND(N(F187)&gt;0,N(I187)&gt;0),I187-F187-IF(N(G187)&gt;0,0.5,0)-IF(N(H187)&gt;0,0.5,0),0)</f>
        <v/>
      </c>
      <c r="K187" s="5" t="n"/>
      <c r="L187" s="7">
        <f>MIN(J187,10.0)</f>
        <v/>
      </c>
      <c r="M187" s="7">
        <f>MAX(0,MIN(J187,12)-10.0)</f>
        <v/>
      </c>
      <c r="N187" s="7">
        <f>MAX(0,J187-12)</f>
        <v/>
      </c>
      <c r="O187" s="5" t="n"/>
      <c r="P187" s="6">
        <f>E187*(L187+M187*1.5+N187*2+O187*3+N(K187))</f>
        <v/>
      </c>
      <c r="Q187" s="6" t="n">
        <v>287.98</v>
      </c>
      <c r="R187" s="6">
        <f>Q187-P187</f>
        <v/>
      </c>
    </row>
    <row r="188">
      <c r="P188" s="2" t="inlineStr">
        <is>
          <t>SWINGLABOR LABOR</t>
        </is>
      </c>
      <c r="R188" s="8">
        <f>SUM(R185:R187)</f>
        <v/>
      </c>
    </row>
    <row r="190">
      <c r="B190" s="2" t="inlineStr">
        <is>
          <t>ON-SETDRESSER</t>
        </is>
      </c>
    </row>
    <row r="191">
      <c r="A191" s="5" t="inlineStr">
        <is>
          <t>2705</t>
        </is>
      </c>
      <c r="B191" s="5" t="inlineStr">
        <is>
          <t>Khamisi Thurman</t>
        </is>
      </c>
      <c r="C191" s="5" t="inlineStr">
        <is>
          <t>ON-SETDRESSER</t>
        </is>
      </c>
      <c r="D191" s="5" t="inlineStr">
        <is>
          <t>Local44</t>
        </is>
      </c>
      <c r="E191" s="6" t="n">
        <v>20.57</v>
      </c>
      <c r="F191" s="5" t="n"/>
      <c r="G191" s="5" t="n"/>
      <c r="H191" s="5" t="n"/>
      <c r="I191" s="5" t="n"/>
      <c r="J191" s="7">
        <f>IF(AND(N(F191)&gt;0,N(I191)&gt;0),I191-F191-IF(N(G191)&gt;0,0.5,0)-IF(N(H191)&gt;0,0.5,0),0)</f>
        <v/>
      </c>
      <c r="K191" s="5" t="n"/>
      <c r="L191" s="7">
        <f>MIN(J191,10.0)</f>
        <v/>
      </c>
      <c r="M191" s="7">
        <f>MAX(0,MIN(J191,12)-10.0)</f>
        <v/>
      </c>
      <c r="N191" s="7">
        <f>MAX(0,J191-12)</f>
        <v/>
      </c>
      <c r="O191" s="5" t="n"/>
      <c r="P191" s="6">
        <f>E191*(L191+M191*1.5+N191*2+O191*3+N(K191))</f>
        <v/>
      </c>
      <c r="Q191" s="6" t="n">
        <v>318.83</v>
      </c>
      <c r="R191" s="6">
        <f>Q191-P191</f>
        <v/>
      </c>
    </row>
    <row r="192">
      <c r="P192" s="2" t="inlineStr">
        <is>
          <t>ON-SETDRESSER LABOR</t>
        </is>
      </c>
      <c r="R192" s="8">
        <f>SUM(R191:R191)</f>
        <v/>
      </c>
    </row>
    <row r="194">
      <c r="B194" s="2" t="inlineStr">
        <is>
          <t>BUYERS</t>
        </is>
      </c>
    </row>
    <row r="195">
      <c r="A195" s="5" t="inlineStr">
        <is>
          <t>2706</t>
        </is>
      </c>
      <c r="B195" s="5" t="inlineStr">
        <is>
          <t>Sarah Hickman</t>
        </is>
      </c>
      <c r="C195" s="5" t="inlineStr">
        <is>
          <t>BUYER</t>
        </is>
      </c>
      <c r="D195" s="5" t="inlineStr">
        <is>
          <t>Local44</t>
        </is>
      </c>
      <c r="E195" s="6" t="n">
        <v>23.04</v>
      </c>
      <c r="F195" s="5" t="n"/>
      <c r="G195" s="5" t="n"/>
      <c r="H195" s="5" t="n"/>
      <c r="I195" s="5" t="n"/>
      <c r="J195" s="7">
        <f>IF(AND(N(F195)&gt;0,N(I195)&gt;0),I195-F195-IF(N(G195)&gt;0,0.5,0)-IF(N(H195)&gt;0,0.5,0),0)</f>
        <v/>
      </c>
      <c r="K195" s="5" t="n"/>
      <c r="L195" s="7">
        <f>MIN(J195,10.0)</f>
        <v/>
      </c>
      <c r="M195" s="7">
        <f>MAX(0,MIN(J195,12)-10.0)</f>
        <v/>
      </c>
      <c r="N195" s="7">
        <f>MAX(0,J195-12)</f>
        <v/>
      </c>
      <c r="O195" s="5" t="n"/>
      <c r="P195" s="6">
        <f>E195*(L195+M195*1.5+N195*2+O195*3+N(K195))</f>
        <v/>
      </c>
      <c r="Q195" s="5" t="n"/>
      <c r="R195" s="6">
        <f>Q195-P195</f>
        <v/>
      </c>
    </row>
    <row r="196">
      <c r="P196" s="2" t="inlineStr">
        <is>
          <t>BUYERS LABOR</t>
        </is>
      </c>
      <c r="R196" s="8">
        <f>SUM(R195:R195)</f>
        <v/>
      </c>
    </row>
    <row r="198">
      <c r="B198" s="2" t="inlineStr">
        <is>
          <t>PROPMASTER</t>
        </is>
      </c>
    </row>
    <row r="199">
      <c r="A199" s="5" t="inlineStr">
        <is>
          <t>2801</t>
        </is>
      </c>
      <c r="B199" s="5" t="inlineStr">
        <is>
          <t>Annie Brandt</t>
        </is>
      </c>
      <c r="C199" s="5" t="inlineStr">
        <is>
          <t>PROPMASTER</t>
        </is>
      </c>
      <c r="D199" s="5" t="inlineStr">
        <is>
          <t>Local44</t>
        </is>
      </c>
      <c r="E199" s="6" t="n">
        <v>25.5</v>
      </c>
      <c r="F199" s="5" t="n"/>
      <c r="G199" s="5" t="n"/>
      <c r="H199" s="5" t="n"/>
      <c r="I199" s="5" t="n"/>
      <c r="J199" s="7">
        <f>IF(AND(N(F199)&gt;0,N(I199)&gt;0),I199-F199-IF(N(G199)&gt;0,0.5,0)-IF(N(H199)&gt;0,0.5,0),0)</f>
        <v/>
      </c>
      <c r="K199" s="5" t="n"/>
      <c r="L199" s="7">
        <f>MIN(J199,10.0)</f>
        <v/>
      </c>
      <c r="M199" s="7">
        <f>MAX(0,MIN(J199,12)-10.0)</f>
        <v/>
      </c>
      <c r="N199" s="7">
        <f>MAX(0,J199-12)</f>
        <v/>
      </c>
      <c r="O199" s="5" t="n"/>
      <c r="P199" s="6">
        <f>E199*(L199+M199*1.5+N199*2+O199*3+N(K199))</f>
        <v/>
      </c>
      <c r="Q199" s="6" t="n">
        <v>395.25</v>
      </c>
      <c r="R199" s="6">
        <f>Q199-P199</f>
        <v/>
      </c>
    </row>
    <row r="200">
      <c r="P200" s="2" t="inlineStr">
        <is>
          <t>PROPMASTER LABOR</t>
        </is>
      </c>
      <c r="R200" s="8">
        <f>SUM(R199:R199)</f>
        <v/>
      </c>
    </row>
    <row r="202">
      <c r="B202" s="2" t="inlineStr">
        <is>
          <t>ASSTPROPMASTER</t>
        </is>
      </c>
    </row>
    <row r="203">
      <c r="A203" s="5" t="inlineStr">
        <is>
          <t>2802</t>
        </is>
      </c>
      <c r="B203" s="5" t="inlineStr">
        <is>
          <t>Nate Bakes</t>
        </is>
      </c>
      <c r="C203" s="5" t="inlineStr">
        <is>
          <t>ASSTPROPMASTER</t>
        </is>
      </c>
      <c r="D203" s="5" t="inlineStr">
        <is>
          <t>Local44</t>
        </is>
      </c>
      <c r="E203" s="6" t="n">
        <v>23.04</v>
      </c>
      <c r="F203" s="5" t="n"/>
      <c r="G203" s="5" t="n"/>
      <c r="H203" s="5" t="n"/>
      <c r="I203" s="5" t="n"/>
      <c r="J203" s="7">
        <f>IF(AND(N(F203)&gt;0,N(I203)&gt;0),I203-F203-IF(N(G203)&gt;0,0.5,0)-IF(N(H203)&gt;0,0.5,0),0)</f>
        <v/>
      </c>
      <c r="K203" s="5" t="n"/>
      <c r="L203" s="7">
        <f>MIN(J203,10.0)</f>
        <v/>
      </c>
      <c r="M203" s="7">
        <f>MAX(0,MIN(J203,12)-10.0)</f>
        <v/>
      </c>
      <c r="N203" s="7">
        <f>MAX(0,J203-12)</f>
        <v/>
      </c>
      <c r="O203" s="5" t="n"/>
      <c r="P203" s="6">
        <f>E203*(L203+M203*1.5+N203*2+O203*3+N(K203))</f>
        <v/>
      </c>
      <c r="Q203" s="6" t="n">
        <v>357.12</v>
      </c>
      <c r="R203" s="6">
        <f>Q203-P203</f>
        <v/>
      </c>
    </row>
    <row r="204">
      <c r="P204" s="2" t="inlineStr">
        <is>
          <t>ASSTPROPMASTER LABOR</t>
        </is>
      </c>
      <c r="R204" s="8">
        <f>SUM(R203:R203)</f>
        <v/>
      </c>
    </row>
    <row r="206">
      <c r="B206" s="2" t="inlineStr">
        <is>
          <t>COSTUMEDESIGNER</t>
        </is>
      </c>
    </row>
    <row r="207">
      <c r="A207" s="5" t="inlineStr">
        <is>
          <t>2901</t>
        </is>
      </c>
      <c r="B207" s="5" t="inlineStr">
        <is>
          <t>Megan Spatz</t>
        </is>
      </c>
      <c r="C207" s="5" t="inlineStr">
        <is>
          <t>COSTUMEDESIGNER</t>
        </is>
      </c>
      <c r="D207" s="5" t="inlineStr">
        <is>
          <t>Local892</t>
        </is>
      </c>
      <c r="E207" s="6" t="n">
        <v>540</v>
      </c>
      <c r="F207" s="5" t="n"/>
      <c r="G207" s="5" t="n"/>
      <c r="H207" s="5" t="n"/>
      <c r="I207" s="5" t="n"/>
      <c r="J207" s="7">
        <f>IF(AND(N(F207)&gt;0,N(I207)&gt;0),I207-F207-IF(N(G207)&gt;0,0.5,0)-IF(N(H207)&gt;0,0.5,0),0)</f>
        <v/>
      </c>
      <c r="K207" s="5" t="n"/>
      <c r="L207" s="7">
        <f>MIN(J207,8.0)</f>
        <v/>
      </c>
      <c r="M207" s="7">
        <f>MAX(0,MIN(J207,12)-8.0)</f>
        <v/>
      </c>
      <c r="N207" s="7">
        <f>MAX(0,J207-12)</f>
        <v/>
      </c>
      <c r="O207" s="5" t="n"/>
      <c r="P207" s="6">
        <f>E207*(L207+M207*1.5+N207*2+O207*3+N(K207))</f>
        <v/>
      </c>
      <c r="Q207" s="6" t="n">
        <v>540</v>
      </c>
      <c r="R207" s="6">
        <f>Q207-P207</f>
        <v/>
      </c>
    </row>
    <row r="208">
      <c r="P208" s="2" t="inlineStr">
        <is>
          <t>COSTUMEDESIGNER LABOR</t>
        </is>
      </c>
      <c r="R208" s="8">
        <f>SUM(R207:R207)</f>
        <v/>
      </c>
    </row>
    <row r="210">
      <c r="B210" s="2" t="inlineStr">
        <is>
          <t>COSTUMESUPERVISOR</t>
        </is>
      </c>
    </row>
    <row r="211">
      <c r="A211" s="5" t="inlineStr">
        <is>
          <t>2903</t>
        </is>
      </c>
      <c r="B211" s="5" t="inlineStr">
        <is>
          <t>Danielle Schuck</t>
        </is>
      </c>
      <c r="C211" s="5" t="inlineStr">
        <is>
          <t>COSTUMESUPERVISOR</t>
        </is>
      </c>
      <c r="D211" s="5" t="inlineStr">
        <is>
          <t>Local705</t>
        </is>
      </c>
      <c r="E211" s="6" t="n">
        <v>25.5</v>
      </c>
      <c r="F211" s="5" t="n"/>
      <c r="G211" s="5" t="n"/>
      <c r="H211" s="5" t="n"/>
      <c r="I211" s="5" t="n"/>
      <c r="J211" s="7">
        <f>IF(AND(N(F211)&gt;0,N(I211)&gt;0),I211-F211-IF(N(G211)&gt;0,0.5,0)-IF(N(H211)&gt;0,0.5,0),0)</f>
        <v/>
      </c>
      <c r="K211" s="5" t="n"/>
      <c r="L211" s="7">
        <f>MIN(J211,8.0)</f>
        <v/>
      </c>
      <c r="M211" s="7">
        <f>MAX(0,MIN(J211,12)-8.0)</f>
        <v/>
      </c>
      <c r="N211" s="7">
        <f>MAX(0,J211-12)</f>
        <v/>
      </c>
      <c r="O211" s="5" t="n"/>
      <c r="P211" s="6">
        <f>E211*(L211+M211*1.5+N211*2+O211*3+N(K211))</f>
        <v/>
      </c>
      <c r="Q211" s="6" t="n">
        <v>395.25</v>
      </c>
      <c r="R211" s="6">
        <f>Q211-P211</f>
        <v/>
      </c>
    </row>
    <row r="212">
      <c r="P212" s="2" t="inlineStr">
        <is>
          <t>COSTUMESUPERVISOR LABOR</t>
        </is>
      </c>
      <c r="R212" s="8">
        <f>SUM(R211:R211)</f>
        <v/>
      </c>
    </row>
    <row r="214">
      <c r="B214" s="2" t="inlineStr">
        <is>
          <t>SETCOSTUMERS</t>
        </is>
      </c>
    </row>
    <row r="215">
      <c r="A215" s="5" t="inlineStr">
        <is>
          <t>2905</t>
        </is>
      </c>
      <c r="B215" s="5" t="inlineStr">
        <is>
          <t>Monavie Tutop</t>
        </is>
      </c>
      <c r="C215" s="5" t="inlineStr">
        <is>
          <t>COSTUMER#1</t>
        </is>
      </c>
      <c r="D215" s="5" t="inlineStr">
        <is>
          <t>Local705</t>
        </is>
      </c>
      <c r="E215" s="6" t="n">
        <v>23.04</v>
      </c>
      <c r="F215" s="5" t="n"/>
      <c r="G215" s="5" t="n"/>
      <c r="H215" s="5" t="n"/>
      <c r="I215" s="5" t="n"/>
      <c r="J215" s="7">
        <f>IF(AND(N(F215)&gt;0,N(I215)&gt;0),I215-F215-IF(N(G215)&gt;0,0.5,0)-IF(N(H215)&gt;0,0.5,0),0)</f>
        <v/>
      </c>
      <c r="K215" s="5" t="n"/>
      <c r="L215" s="7">
        <f>MIN(J215,8.0)</f>
        <v/>
      </c>
      <c r="M215" s="7">
        <f>MAX(0,MIN(J215,12)-8.0)</f>
        <v/>
      </c>
      <c r="N215" s="7">
        <f>MAX(0,J215-12)</f>
        <v/>
      </c>
      <c r="O215" s="5" t="n"/>
      <c r="P215" s="6">
        <f>E215*(L215+M215*1.5+N215*2+O215*3+N(K215))</f>
        <v/>
      </c>
      <c r="Q215" s="6" t="n">
        <v>397.43</v>
      </c>
      <c r="R215" s="6">
        <f>Q215-P215</f>
        <v/>
      </c>
    </row>
    <row r="216">
      <c r="A216" s="5" t="inlineStr">
        <is>
          <t>2905</t>
        </is>
      </c>
      <c r="B216" s="5" t="inlineStr"/>
      <c r="C216" s="5" t="inlineStr">
        <is>
          <t>COSTUMER#2</t>
        </is>
      </c>
      <c r="D216" s="5" t="inlineStr">
        <is>
          <t>Local705</t>
        </is>
      </c>
      <c r="E216" s="6" t="n">
        <v>20.57</v>
      </c>
      <c r="F216" s="5" t="n"/>
      <c r="G216" s="5" t="n"/>
      <c r="H216" s="5" t="n"/>
      <c r="I216" s="5" t="n"/>
      <c r="J216" s="7">
        <f>IF(AND(N(F216)&gt;0,N(I216)&gt;0),I216-F216-IF(N(G216)&gt;0,0.5,0)-IF(N(H216)&gt;0,0.5,0),0)</f>
        <v/>
      </c>
      <c r="K216" s="5" t="n"/>
      <c r="L216" s="7">
        <f>MIN(J216,8.0)</f>
        <v/>
      </c>
      <c r="M216" s="7">
        <f>MAX(0,MIN(J216,12)-8.0)</f>
        <v/>
      </c>
      <c r="N216" s="7">
        <f>MAX(0,J216-12)</f>
        <v/>
      </c>
      <c r="O216" s="5" t="n"/>
      <c r="P216" s="6">
        <f>E216*(L216+M216*1.5+N216*2+O216*3+N(K216))</f>
        <v/>
      </c>
      <c r="Q216" s="6" t="n">
        <v>354.83</v>
      </c>
      <c r="R216" s="6">
        <f>Q216-P216</f>
        <v/>
      </c>
    </row>
    <row r="217">
      <c r="P217" s="2" t="inlineStr">
        <is>
          <t>SETCOSTUMERS LABOR</t>
        </is>
      </c>
      <c r="R217" s="8">
        <f>SUM(R215:R216)</f>
        <v/>
      </c>
    </row>
    <row r="219">
      <c r="B219" s="2" t="inlineStr">
        <is>
          <t>KEYMAKE-UP</t>
        </is>
      </c>
    </row>
    <row r="220">
      <c r="A220" s="5" t="inlineStr">
        <is>
          <t>3101</t>
        </is>
      </c>
      <c r="B220" s="5" t="inlineStr">
        <is>
          <t>Eleanor Sabaduquia</t>
        </is>
      </c>
      <c r="C220" s="5" t="inlineStr">
        <is>
          <t>KEYMAKEUPARTIST</t>
        </is>
      </c>
      <c r="D220" s="5" t="inlineStr">
        <is>
          <t>Local706</t>
        </is>
      </c>
      <c r="E220" s="6" t="n">
        <v>25.5</v>
      </c>
      <c r="F220" s="5" t="n"/>
      <c r="G220" s="5" t="n"/>
      <c r="H220" s="5" t="n"/>
      <c r="I220" s="5" t="n"/>
      <c r="J220" s="7">
        <f>IF(AND(N(F220)&gt;0,N(I220)&gt;0),I220-F220-IF(N(G220)&gt;0,0.5,0)-IF(N(H220)&gt;0,0.5,0),0)</f>
        <v/>
      </c>
      <c r="K220" s="5" t="n"/>
      <c r="L220" s="7">
        <f>MIN(J220,10.0)</f>
        <v/>
      </c>
      <c r="M220" s="7">
        <f>MAX(0,MIN(J220,12)-10.0)</f>
        <v/>
      </c>
      <c r="N220" s="7">
        <f>MAX(0,J220-12)</f>
        <v/>
      </c>
      <c r="O220" s="5" t="n"/>
      <c r="P220" s="6">
        <f>E220*(L220+M220*1.5+N220*2+O220*3+N(K220))</f>
        <v/>
      </c>
      <c r="Q220" s="6" t="n">
        <v>439.87</v>
      </c>
      <c r="R220" s="6">
        <f>Q220-P220</f>
        <v/>
      </c>
    </row>
    <row r="221">
      <c r="P221" s="2" t="inlineStr">
        <is>
          <t>KEYMAKE-UP LABOR</t>
        </is>
      </c>
      <c r="R221" s="8">
        <f>SUM(R220:R220)</f>
        <v/>
      </c>
    </row>
    <row r="223">
      <c r="B223" s="2" t="inlineStr">
        <is>
          <t>ASSTMAKE-UP</t>
        </is>
      </c>
    </row>
    <row r="224">
      <c r="A224" s="5" t="inlineStr">
        <is>
          <t>3102</t>
        </is>
      </c>
      <c r="B224" s="5" t="inlineStr">
        <is>
          <t>Yoko Nobushi</t>
        </is>
      </c>
      <c r="C224" s="5" t="inlineStr">
        <is>
          <t>ASSTMAKEUPARTIST#1</t>
        </is>
      </c>
      <c r="D224" s="5" t="inlineStr">
        <is>
          <t>Local706</t>
        </is>
      </c>
      <c r="E224" s="6" t="n">
        <v>23.04</v>
      </c>
      <c r="F224" s="5" t="n"/>
      <c r="G224" s="5" t="n"/>
      <c r="H224" s="5" t="n"/>
      <c r="I224" s="5" t="n"/>
      <c r="J224" s="7">
        <f>IF(AND(N(F224)&gt;0,N(I224)&gt;0),I224-F224-IF(N(G224)&gt;0,0.5,0)-IF(N(H224)&gt;0,0.5,0),0)</f>
        <v/>
      </c>
      <c r="K224" s="5" t="n"/>
      <c r="L224" s="7">
        <f>MIN(J224,10.0)</f>
        <v/>
      </c>
      <c r="M224" s="7">
        <f>MAX(0,MIN(J224,12)-10.0)</f>
        <v/>
      </c>
      <c r="N224" s="7">
        <f>MAX(0,J224-12)</f>
        <v/>
      </c>
      <c r="O224" s="5" t="n"/>
      <c r="P224" s="6">
        <f>E224*(L224+M224*1.5+N224*2+O224*3+N(K224))</f>
        <v/>
      </c>
      <c r="Q224" s="6" t="n">
        <v>397.43</v>
      </c>
      <c r="R224" s="6">
        <f>Q224-P224</f>
        <v/>
      </c>
    </row>
    <row r="225">
      <c r="P225" s="2" t="inlineStr">
        <is>
          <t>ASSTMAKE-UP LABOR</t>
        </is>
      </c>
      <c r="R225" s="8">
        <f>SUM(R224:R224)</f>
        <v/>
      </c>
    </row>
    <row r="227">
      <c r="B227" s="2" t="inlineStr">
        <is>
          <t>ADDITIONALMAKE-UPLABOR</t>
        </is>
      </c>
    </row>
    <row r="228">
      <c r="A228" s="5" t="inlineStr">
        <is>
          <t>3103</t>
        </is>
      </c>
      <c r="B228" s="5" t="inlineStr"/>
      <c r="C228" s="5" t="inlineStr">
        <is>
          <t>ADDLMAKEUPARTISTDAYS</t>
        </is>
      </c>
      <c r="D228" s="5" t="inlineStr">
        <is>
          <t>Local706</t>
        </is>
      </c>
      <c r="E228" s="6" t="n">
        <v>23.04</v>
      </c>
      <c r="F228" s="5" t="n"/>
      <c r="G228" s="5" t="n"/>
      <c r="H228" s="5" t="n"/>
      <c r="I228" s="5" t="n"/>
      <c r="J228" s="7">
        <f>IF(AND(N(F228)&gt;0,N(I228)&gt;0),I228-F228-IF(N(G228)&gt;0,0.5,0)-IF(N(H228)&gt;0,0.5,0),0)</f>
        <v/>
      </c>
      <c r="K228" s="5" t="n"/>
      <c r="L228" s="7">
        <f>MIN(J228,10.0)</f>
        <v/>
      </c>
      <c r="M228" s="7">
        <f>MAX(0,MIN(J228,12)-10.0)</f>
        <v/>
      </c>
      <c r="N228" s="7">
        <f>MAX(0,J228-12)</f>
        <v/>
      </c>
      <c r="O228" s="5" t="n"/>
      <c r="P228" s="6">
        <f>E228*(L228+M228*1.5+N228*2+O228*3+N(K228))</f>
        <v/>
      </c>
      <c r="Q228" s="6" t="n">
        <v>397.43</v>
      </c>
      <c r="R228" s="6">
        <f>Q228-P228</f>
        <v/>
      </c>
    </row>
    <row r="229">
      <c r="P229" s="2" t="inlineStr">
        <is>
          <t>ADDITIONALMAKE-UPLABOR LABOR</t>
        </is>
      </c>
      <c r="R229" s="8">
        <f>SUM(R228:R228)</f>
        <v/>
      </c>
    </row>
    <row r="231">
      <c r="B231" s="2" t="inlineStr">
        <is>
          <t>PROSTHETICS</t>
        </is>
      </c>
    </row>
    <row r="232">
      <c r="A232" s="5" t="inlineStr">
        <is>
          <t>3105</t>
        </is>
      </c>
      <c r="B232" s="5" t="inlineStr"/>
      <c r="C232" s="5" t="inlineStr">
        <is>
          <t>PROSTHETICMAKEUPARTIST</t>
        </is>
      </c>
      <c r="D232" s="5" t="inlineStr">
        <is>
          <t>Local706</t>
        </is>
      </c>
      <c r="E232" s="6" t="n">
        <v>25.5</v>
      </c>
      <c r="F232" s="5" t="n"/>
      <c r="G232" s="5" t="n"/>
      <c r="H232" s="5" t="n"/>
      <c r="I232" s="5" t="n"/>
      <c r="J232" s="7">
        <f>IF(AND(N(F232)&gt;0,N(I232)&gt;0),I232-F232-IF(N(G232)&gt;0,0.5,0)-IF(N(H232)&gt;0,0.5,0),0)</f>
        <v/>
      </c>
      <c r="K232" s="5" t="n"/>
      <c r="L232" s="7">
        <f>MIN(J232,10.0)</f>
        <v/>
      </c>
      <c r="M232" s="7">
        <f>MAX(0,MIN(J232,12)-10.0)</f>
        <v/>
      </c>
      <c r="N232" s="7">
        <f>MAX(0,J232-12)</f>
        <v/>
      </c>
      <c r="O232" s="5" t="n"/>
      <c r="P232" s="6">
        <f>E232*(L232+M232*1.5+N232*2+O232*3+N(K232))</f>
        <v/>
      </c>
      <c r="Q232" s="6" t="n">
        <v>439.87</v>
      </c>
      <c r="R232" s="6">
        <f>Q232-P232</f>
        <v/>
      </c>
    </row>
    <row r="233">
      <c r="A233" s="5" t="inlineStr">
        <is>
          <t>3105</t>
        </is>
      </c>
      <c r="B233" s="5" t="inlineStr"/>
      <c r="C233" s="5" t="inlineStr">
        <is>
          <t>LENSCONSULTANT</t>
        </is>
      </c>
      <c r="D233" s="5" t="inlineStr"/>
      <c r="E233" s="6" t="n">
        <v>50</v>
      </c>
      <c r="F233" s="5" t="n"/>
      <c r="G233" s="5" t="n"/>
      <c r="H233" s="5" t="n"/>
      <c r="I233" s="5" t="n"/>
      <c r="J233" s="7">
        <f>IF(AND(N(F233)&gt;0,N(I233)&gt;0),I233-F233-IF(N(G233)&gt;0,0.5,0)-IF(N(H233)&gt;0,0.5,0),0)</f>
        <v/>
      </c>
      <c r="K233" s="5" t="n"/>
      <c r="L233" s="7">
        <f>MIN(J233,8.0)</f>
        <v/>
      </c>
      <c r="M233" s="7">
        <f>MAX(0,MIN(J233,12)-8.0)</f>
        <v/>
      </c>
      <c r="N233" s="7">
        <f>MAX(0,J233-12)</f>
        <v/>
      </c>
      <c r="O233" s="5" t="n"/>
      <c r="P233" s="6">
        <f>E233*(L233+M233*1.5+N233*2+O233*3+N(K233))</f>
        <v/>
      </c>
      <c r="Q233" s="6" t="n">
        <v>862.53</v>
      </c>
      <c r="R233" s="6">
        <f>Q233-P233</f>
        <v/>
      </c>
    </row>
    <row r="234">
      <c r="P234" s="2" t="inlineStr">
        <is>
          <t>PROSTHETICS LABOR</t>
        </is>
      </c>
      <c r="R234" s="8">
        <f>SUM(R232:R233)</f>
        <v/>
      </c>
    </row>
    <row r="236">
      <c r="B236" s="2" t="inlineStr">
        <is>
          <t>KEYHAIR</t>
        </is>
      </c>
    </row>
    <row r="237">
      <c r="A237" s="5" t="inlineStr">
        <is>
          <t>3111</t>
        </is>
      </c>
      <c r="B237" s="5" t="inlineStr">
        <is>
          <t>Traci Smithe</t>
        </is>
      </c>
      <c r="C237" s="5" t="inlineStr">
        <is>
          <t>KEYHAIR</t>
        </is>
      </c>
      <c r="D237" s="5" t="inlineStr">
        <is>
          <t>Local706</t>
        </is>
      </c>
      <c r="E237" s="6" t="n">
        <v>25.5</v>
      </c>
      <c r="F237" s="5" t="n"/>
      <c r="G237" s="5" t="n"/>
      <c r="H237" s="5" t="n"/>
      <c r="I237" s="5" t="n"/>
      <c r="J237" s="7">
        <f>IF(AND(N(F237)&gt;0,N(I237)&gt;0),I237-F237-IF(N(G237)&gt;0,0.5,0)-IF(N(H237)&gt;0,0.5,0),0)</f>
        <v/>
      </c>
      <c r="K237" s="5" t="n"/>
      <c r="L237" s="7">
        <f>MIN(J237,10.0)</f>
        <v/>
      </c>
      <c r="M237" s="7">
        <f>MAX(0,MIN(J237,12)-10.0)</f>
        <v/>
      </c>
      <c r="N237" s="7">
        <f>MAX(0,J237-12)</f>
        <v/>
      </c>
      <c r="O237" s="5" t="n"/>
      <c r="P237" s="6">
        <f>E237*(L237+M237*1.5+N237*2+O237*3+N(K237))</f>
        <v/>
      </c>
      <c r="Q237" s="6" t="n">
        <v>439.87</v>
      </c>
      <c r="R237" s="6">
        <f>Q237-P237</f>
        <v/>
      </c>
    </row>
    <row r="238">
      <c r="P238" s="2" t="inlineStr">
        <is>
          <t>KEYHAIR LABOR</t>
        </is>
      </c>
      <c r="R238" s="8">
        <f>SUM(R237:R237)</f>
        <v/>
      </c>
    </row>
    <row r="240">
      <c r="B240" s="2" t="inlineStr">
        <is>
          <t>ASSTHAIR</t>
        </is>
      </c>
    </row>
    <row r="241">
      <c r="A241" s="5" t="inlineStr">
        <is>
          <t>3112</t>
        </is>
      </c>
      <c r="B241" s="5" t="inlineStr">
        <is>
          <t>Yunea Cruz</t>
        </is>
      </c>
      <c r="C241" s="5" t="inlineStr">
        <is>
          <t>ASSTHAIRSTYLIST#1</t>
        </is>
      </c>
      <c r="D241" s="5" t="inlineStr">
        <is>
          <t>Local706</t>
        </is>
      </c>
      <c r="E241" s="6" t="n">
        <v>23.04</v>
      </c>
      <c r="F241" s="5" t="n"/>
      <c r="G241" s="5" t="n"/>
      <c r="H241" s="5" t="n"/>
      <c r="I241" s="5" t="n"/>
      <c r="J241" s="7">
        <f>IF(AND(N(F241)&gt;0,N(I241)&gt;0),I241-F241-IF(N(G241)&gt;0,0.5,0)-IF(N(H241)&gt;0,0.5,0),0)</f>
        <v/>
      </c>
      <c r="K241" s="5" t="n"/>
      <c r="L241" s="7">
        <f>MIN(J241,10.0)</f>
        <v/>
      </c>
      <c r="M241" s="7">
        <f>MAX(0,MIN(J241,12)-10.0)</f>
        <v/>
      </c>
      <c r="N241" s="7">
        <f>MAX(0,J241-12)</f>
        <v/>
      </c>
      <c r="O241" s="5" t="n"/>
      <c r="P241" s="6">
        <f>E241*(L241+M241*1.5+N241*2+O241*3+N(K241))</f>
        <v/>
      </c>
      <c r="Q241" s="6" t="n">
        <v>397.43</v>
      </c>
      <c r="R241" s="6">
        <f>Q241-P241</f>
        <v/>
      </c>
    </row>
    <row r="242">
      <c r="P242" s="2" t="inlineStr">
        <is>
          <t>ASSTHAIR LABOR</t>
        </is>
      </c>
      <c r="R242" s="8">
        <f>SUM(R241:R241)</f>
        <v/>
      </c>
    </row>
    <row r="244">
      <c r="B244" s="2" t="inlineStr">
        <is>
          <t>ADDITIONALHAIRLABOR</t>
        </is>
      </c>
    </row>
    <row r="245">
      <c r="A245" s="5" t="inlineStr">
        <is>
          <t>3113</t>
        </is>
      </c>
      <c r="B245" s="5" t="inlineStr"/>
      <c r="C245" s="5" t="inlineStr">
        <is>
          <t>ADDLHAIRSTYLISTDAYS</t>
        </is>
      </c>
      <c r="D245" s="5" t="inlineStr">
        <is>
          <t>Local706</t>
        </is>
      </c>
      <c r="E245" s="6" t="n">
        <v>23.04</v>
      </c>
      <c r="F245" s="5" t="n"/>
      <c r="G245" s="5" t="n"/>
      <c r="H245" s="5" t="n"/>
      <c r="I245" s="5" t="n"/>
      <c r="J245" s="7">
        <f>IF(AND(N(F245)&gt;0,N(I245)&gt;0),I245-F245-IF(N(G245)&gt;0,0.5,0)-IF(N(H245)&gt;0,0.5,0),0)</f>
        <v/>
      </c>
      <c r="K245" s="5" t="n"/>
      <c r="L245" s="7">
        <f>MIN(J245,10.0)</f>
        <v/>
      </c>
      <c r="M245" s="7">
        <f>MAX(0,MIN(J245,12)-10.0)</f>
        <v/>
      </c>
      <c r="N245" s="7">
        <f>MAX(0,J245-12)</f>
        <v/>
      </c>
      <c r="O245" s="5" t="n"/>
      <c r="P245" s="6">
        <f>E245*(L245+M245*1.5+N245*2+O245*3+N(K245))</f>
        <v/>
      </c>
      <c r="Q245" s="6" t="n">
        <v>397.43</v>
      </c>
      <c r="R245" s="6">
        <f>Q245-P245</f>
        <v/>
      </c>
    </row>
    <row r="246">
      <c r="P246" s="2" t="inlineStr">
        <is>
          <t>ADDITIONALHAIRLABOR LABOR</t>
        </is>
      </c>
      <c r="R246" s="8">
        <f>SUM(R245:R245)</f>
        <v/>
      </c>
    </row>
    <row r="248">
      <c r="B248" s="2" t="inlineStr">
        <is>
          <t>GAFFER</t>
        </is>
      </c>
    </row>
    <row r="249">
      <c r="A249" s="5" t="inlineStr">
        <is>
          <t>3201</t>
        </is>
      </c>
      <c r="B249" s="5" t="inlineStr">
        <is>
          <t>Nicholas Kaat</t>
        </is>
      </c>
      <c r="C249" s="5" t="inlineStr">
        <is>
          <t>GAFFER</t>
        </is>
      </c>
      <c r="D249" s="5" t="inlineStr">
        <is>
          <t>Local728</t>
        </is>
      </c>
      <c r="E249" s="6" t="n">
        <v>25.5</v>
      </c>
      <c r="F249" s="5" t="n"/>
      <c r="G249" s="5" t="n"/>
      <c r="H249" s="5" t="n"/>
      <c r="I249" s="5" t="n"/>
      <c r="J249" s="7">
        <f>IF(AND(N(F249)&gt;0,N(I249)&gt;0),I249-F249-IF(N(G249)&gt;0,0.5,0)-IF(N(H249)&gt;0,0.5,0),0)</f>
        <v/>
      </c>
      <c r="K249" s="5" t="n"/>
      <c r="L249" s="7">
        <f>MIN(J249,10.0)</f>
        <v/>
      </c>
      <c r="M249" s="7">
        <f>MAX(0,MIN(J249,12)-10.0)</f>
        <v/>
      </c>
      <c r="N249" s="7">
        <f>MAX(0,J249-12)</f>
        <v/>
      </c>
      <c r="O249" s="5" t="n"/>
      <c r="P249" s="6">
        <f>E249*(L249+M249*1.5+N249*2+O249*3+N(K249))</f>
        <v/>
      </c>
      <c r="Q249" s="6" t="n">
        <v>395.25</v>
      </c>
      <c r="R249" s="6">
        <f>Q249-P249</f>
        <v/>
      </c>
    </row>
    <row r="250">
      <c r="P250" s="2" t="inlineStr">
        <is>
          <t>GAFFER LABOR</t>
        </is>
      </c>
      <c r="R250" s="8">
        <f>SUM(R249:R249)</f>
        <v/>
      </c>
    </row>
    <row r="252">
      <c r="B252" s="2" t="inlineStr">
        <is>
          <t>BESTBOYELECTRIC</t>
        </is>
      </c>
    </row>
    <row r="253">
      <c r="A253" s="5" t="inlineStr">
        <is>
          <t>3202</t>
        </is>
      </c>
      <c r="B253" s="5" t="inlineStr">
        <is>
          <t>Nathan Fetzer</t>
        </is>
      </c>
      <c r="C253" s="5" t="inlineStr">
        <is>
          <t>BESTBOYELECTRIC</t>
        </is>
      </c>
      <c r="D253" s="5" t="inlineStr">
        <is>
          <t>Local728</t>
        </is>
      </c>
      <c r="E253" s="6" t="n">
        <v>23.04</v>
      </c>
      <c r="F253" s="5" t="n"/>
      <c r="G253" s="5" t="n"/>
      <c r="H253" s="5" t="n"/>
      <c r="I253" s="5" t="n"/>
      <c r="J253" s="7">
        <f>IF(AND(N(F253)&gt;0,N(I253)&gt;0),I253-F253-IF(N(G253)&gt;0,0.5,0)-IF(N(H253)&gt;0,0.5,0),0)</f>
        <v/>
      </c>
      <c r="K253" s="5" t="n"/>
      <c r="L253" s="7">
        <f>MIN(J253,10.0)</f>
        <v/>
      </c>
      <c r="M253" s="7">
        <f>MAX(0,MIN(J253,12)-10.0)</f>
        <v/>
      </c>
      <c r="N253" s="7">
        <f>MAX(0,J253-12)</f>
        <v/>
      </c>
      <c r="O253" s="5" t="n"/>
      <c r="P253" s="6">
        <f>E253*(L253+M253*1.5+N253*2+O253*3+N(K253))</f>
        <v/>
      </c>
      <c r="Q253" s="6" t="n">
        <v>357.12</v>
      </c>
      <c r="R253" s="6">
        <f>Q253-P253</f>
        <v/>
      </c>
    </row>
    <row r="254">
      <c r="A254" s="5" t="inlineStr">
        <is>
          <t>3202</t>
        </is>
      </c>
      <c r="B254" s="5" t="inlineStr"/>
      <c r="C254" s="5" t="inlineStr">
        <is>
          <t>STUDIOBESTBOYELECTRIC</t>
        </is>
      </c>
      <c r="D254" s="5" t="inlineStr">
        <is>
          <t>Local728</t>
        </is>
      </c>
      <c r="E254" s="6" t="n">
        <v>43.05</v>
      </c>
      <c r="F254" s="5" t="n"/>
      <c r="G254" s="5" t="n"/>
      <c r="H254" s="5" t="n"/>
      <c r="I254" s="5" t="n"/>
      <c r="J254" s="7">
        <f>IF(AND(N(F254)&gt;0,N(I254)&gt;0),I254-F254-IF(N(G254)&gt;0,0.5,0)-IF(N(H254)&gt;0,0.5,0),0)</f>
        <v/>
      </c>
      <c r="K254" s="5" t="n"/>
      <c r="L254" s="7">
        <f>MIN(J254,10.0)</f>
        <v/>
      </c>
      <c r="M254" s="7">
        <f>MAX(0,MIN(J254,12)-10.0)</f>
        <v/>
      </c>
      <c r="N254" s="7">
        <f>MAX(0,J254-12)</f>
        <v/>
      </c>
      <c r="O254" s="5" t="n"/>
      <c r="P254" s="6">
        <f>E254*(L254+M254*1.5+N254*2+O254*3+N(K254))</f>
        <v/>
      </c>
      <c r="Q254" s="6" t="n">
        <v>667.27</v>
      </c>
      <c r="R254" s="6">
        <f>Q254-P254</f>
        <v/>
      </c>
    </row>
    <row r="255">
      <c r="P255" s="2" t="inlineStr">
        <is>
          <t>BESTBOYELECTRIC LABOR</t>
        </is>
      </c>
      <c r="R255" s="8">
        <f>SUM(R253:R254)</f>
        <v/>
      </c>
    </row>
    <row r="257">
      <c r="B257" s="2" t="inlineStr">
        <is>
          <t>ELECTRICIANS</t>
        </is>
      </c>
    </row>
    <row r="258">
      <c r="A258" s="5" t="inlineStr">
        <is>
          <t>3204</t>
        </is>
      </c>
      <c r="B258" s="5" t="inlineStr"/>
      <c r="C258" s="5" t="inlineStr">
        <is>
          <t>ELECTRICIAN#1</t>
        </is>
      </c>
      <c r="D258" s="5" t="inlineStr">
        <is>
          <t>Local728</t>
        </is>
      </c>
      <c r="E258" s="6" t="n">
        <v>20.57</v>
      </c>
      <c r="F258" s="5" t="n"/>
      <c r="G258" s="5" t="n"/>
      <c r="H258" s="5" t="n"/>
      <c r="I258" s="5" t="n"/>
      <c r="J258" s="7">
        <f>IF(AND(N(F258)&gt;0,N(I258)&gt;0),I258-F258-IF(N(G258)&gt;0,0.5,0)-IF(N(H258)&gt;0,0.5,0),0)</f>
        <v/>
      </c>
      <c r="K258" s="5" t="n"/>
      <c r="L258" s="7">
        <f>MIN(J258,10.0)</f>
        <v/>
      </c>
      <c r="M258" s="7">
        <f>MAX(0,MIN(J258,12)-10.0)</f>
        <v/>
      </c>
      <c r="N258" s="7">
        <f>MAX(0,J258-12)</f>
        <v/>
      </c>
      <c r="O258" s="5" t="n"/>
      <c r="P258" s="6">
        <f>E258*(L258+M258*1.5+N258*2+O258*3+N(K258))</f>
        <v/>
      </c>
      <c r="Q258" s="6" t="n">
        <v>318.83</v>
      </c>
      <c r="R258" s="6">
        <f>Q258-P258</f>
        <v/>
      </c>
    </row>
    <row r="259">
      <c r="A259" s="5" t="inlineStr">
        <is>
          <t>3204</t>
        </is>
      </c>
      <c r="B259" s="5" t="inlineStr"/>
      <c r="C259" s="5" t="inlineStr">
        <is>
          <t>ELECTRICIAN#2</t>
        </is>
      </c>
      <c r="D259" s="5" t="inlineStr">
        <is>
          <t>Local728</t>
        </is>
      </c>
      <c r="E259" s="6" t="n">
        <v>20.57</v>
      </c>
      <c r="F259" s="5" t="n"/>
      <c r="G259" s="5" t="n"/>
      <c r="H259" s="5" t="n"/>
      <c r="I259" s="5" t="n"/>
      <c r="J259" s="7">
        <f>IF(AND(N(F259)&gt;0,N(I259)&gt;0),I259-F259-IF(N(G259)&gt;0,0.5,0)-IF(N(H259)&gt;0,0.5,0),0)</f>
        <v/>
      </c>
      <c r="K259" s="5" t="n"/>
      <c r="L259" s="7">
        <f>MIN(J259,10.0)</f>
        <v/>
      </c>
      <c r="M259" s="7">
        <f>MAX(0,MIN(J259,12)-10.0)</f>
        <v/>
      </c>
      <c r="N259" s="7">
        <f>MAX(0,J259-12)</f>
        <v/>
      </c>
      <c r="O259" s="5" t="n"/>
      <c r="P259" s="6">
        <f>E259*(L259+M259*1.5+N259*2+O259*3+N(K259))</f>
        <v/>
      </c>
      <c r="Q259" s="6" t="n">
        <v>318.83</v>
      </c>
      <c r="R259" s="6">
        <f>Q259-P259</f>
        <v/>
      </c>
    </row>
    <row r="260">
      <c r="A260" s="5" t="inlineStr">
        <is>
          <t>3204</t>
        </is>
      </c>
      <c r="B260" s="5" t="inlineStr"/>
      <c r="C260" s="5" t="inlineStr">
        <is>
          <t>ELECTRICIAN#3</t>
        </is>
      </c>
      <c r="D260" s="5" t="inlineStr">
        <is>
          <t>Local728</t>
        </is>
      </c>
      <c r="E260" s="6" t="n">
        <v>20.57</v>
      </c>
      <c r="F260" s="5" t="n"/>
      <c r="G260" s="5" t="n"/>
      <c r="H260" s="5" t="n"/>
      <c r="I260" s="5" t="n"/>
      <c r="J260" s="7">
        <f>IF(AND(N(F260)&gt;0,N(I260)&gt;0),I260-F260-IF(N(G260)&gt;0,0.5,0)-IF(N(H260)&gt;0,0.5,0),0)</f>
        <v/>
      </c>
      <c r="K260" s="5" t="n"/>
      <c r="L260" s="7">
        <f>MIN(J260,10.0)</f>
        <v/>
      </c>
      <c r="M260" s="7">
        <f>MAX(0,MIN(J260,12)-10.0)</f>
        <v/>
      </c>
      <c r="N260" s="7">
        <f>MAX(0,J260-12)</f>
        <v/>
      </c>
      <c r="O260" s="5" t="n"/>
      <c r="P260" s="6">
        <f>E260*(L260+M260*1.5+N260*2+O260*3+N(K260))</f>
        <v/>
      </c>
      <c r="Q260" s="6" t="n">
        <v>318.83</v>
      </c>
      <c r="R260" s="6">
        <f>Q260-P260</f>
        <v/>
      </c>
    </row>
    <row r="261">
      <c r="P261" s="2" t="inlineStr">
        <is>
          <t>ELECTRICIANS LABOR</t>
        </is>
      </c>
      <c r="R261" s="8">
        <f>SUM(R258:R260)</f>
        <v/>
      </c>
    </row>
    <row r="263">
      <c r="B263" s="2" t="inlineStr">
        <is>
          <t>ADDITIONALELECTRICLABOR</t>
        </is>
      </c>
    </row>
    <row r="264">
      <c r="A264" s="5" t="inlineStr">
        <is>
          <t>3206</t>
        </is>
      </c>
      <c r="B264" s="5" t="inlineStr"/>
      <c r="C264" s="5" t="inlineStr">
        <is>
          <t>ELECTRICMANDAYS&amp;RIGGINGMANDAYS</t>
        </is>
      </c>
      <c r="D264" s="5" t="inlineStr">
        <is>
          <t>Local728</t>
        </is>
      </c>
      <c r="E264" s="6" t="n">
        <v>20.57</v>
      </c>
      <c r="F264" s="5" t="n"/>
      <c r="G264" s="5" t="n"/>
      <c r="H264" s="5" t="n"/>
      <c r="I264" s="5" t="n"/>
      <c r="J264" s="7">
        <f>IF(AND(N(F264)&gt;0,N(I264)&gt;0),I264-F264-IF(N(G264)&gt;0,0.5,0)-IF(N(H264)&gt;0,0.5,0),0)</f>
        <v/>
      </c>
      <c r="K264" s="5" t="n"/>
      <c r="L264" s="7">
        <f>MIN(J264,10.0)</f>
        <v/>
      </c>
      <c r="M264" s="7">
        <f>MAX(0,MIN(J264,12)-10.0)</f>
        <v/>
      </c>
      <c r="N264" s="7">
        <f>MAX(0,J264-12)</f>
        <v/>
      </c>
      <c r="O264" s="5" t="n"/>
      <c r="P264" s="6">
        <f>E264*(L264+M264*1.5+N264*2+O264*3+N(K264))</f>
        <v/>
      </c>
      <c r="Q264" s="6" t="n">
        <v>318.83</v>
      </c>
      <c r="R264" s="6">
        <f>Q264-P264</f>
        <v/>
      </c>
    </row>
    <row r="265">
      <c r="P265" s="2" t="inlineStr">
        <is>
          <t>ADDITIONALELECTRICLABOR LABOR</t>
        </is>
      </c>
      <c r="R265" s="8">
        <f>SUM(R264:R264)</f>
        <v/>
      </c>
    </row>
    <row r="267">
      <c r="B267" s="2" t="inlineStr">
        <is>
          <t>DIRECTOROFPHOTOGRAPHY</t>
        </is>
      </c>
    </row>
    <row r="268">
      <c r="A268" s="5" t="inlineStr">
        <is>
          <t>3301</t>
        </is>
      </c>
      <c r="B268" s="5" t="inlineStr">
        <is>
          <t>Michael Burgess</t>
        </is>
      </c>
      <c r="C268" s="5" t="inlineStr">
        <is>
          <t>DIRECTOROFPHOTOGRAPHY</t>
        </is>
      </c>
      <c r="D268" s="5" t="inlineStr">
        <is>
          <t>Local600</t>
        </is>
      </c>
      <c r="E268" s="6" t="n">
        <v>700</v>
      </c>
      <c r="F268" s="5" t="n"/>
      <c r="G268" s="5" t="n"/>
      <c r="H268" s="5" t="n"/>
      <c r="I268" s="5" t="n"/>
      <c r="J268" s="7">
        <f>IF(AND(N(F268)&gt;0,N(I268)&gt;0),I268-F268-IF(N(G268)&gt;0,0.5,0)-IF(N(H268)&gt;0,0.5,0),0)</f>
        <v/>
      </c>
      <c r="K268" s="5" t="n"/>
      <c r="L268" s="7">
        <f>MIN(J268,8.0)</f>
        <v/>
      </c>
      <c r="M268" s="7">
        <f>MAX(0,MIN(J268,12)-8.0)</f>
        <v/>
      </c>
      <c r="N268" s="7">
        <f>MAX(0,J268-12)</f>
        <v/>
      </c>
      <c r="O268" s="5" t="n"/>
      <c r="P268" s="6">
        <f>E268*(L268+M268*1.5+N268*2+O268*3+N(K268))</f>
        <v/>
      </c>
      <c r="Q268" s="6" t="n">
        <v>700</v>
      </c>
      <c r="R268" s="6">
        <f>Q268-P268</f>
        <v/>
      </c>
    </row>
    <row r="269">
      <c r="P269" s="2" t="inlineStr">
        <is>
          <t>DIRECTOROFPHOTOGRAPHY LABOR</t>
        </is>
      </c>
      <c r="R269" s="8">
        <f>SUM(R268:R268)</f>
        <v/>
      </c>
    </row>
    <row r="271">
      <c r="B271" s="2" t="inlineStr">
        <is>
          <t>CAMERAOPERATORS</t>
        </is>
      </c>
    </row>
    <row r="272">
      <c r="A272" s="5" t="inlineStr">
        <is>
          <t>3302</t>
        </is>
      </c>
      <c r="B272" s="5" t="inlineStr">
        <is>
          <t>Craig Bauer</t>
        </is>
      </c>
      <c r="C272" s="5" t="inlineStr">
        <is>
          <t>"B"CAMERAOP</t>
        </is>
      </c>
      <c r="D272" s="5" t="inlineStr">
        <is>
          <t>Local600</t>
        </is>
      </c>
      <c r="E272" s="6" t="n">
        <v>45</v>
      </c>
      <c r="F272" s="5" t="n"/>
      <c r="G272" s="5" t="n"/>
      <c r="H272" s="5" t="n"/>
      <c r="I272" s="5" t="n"/>
      <c r="J272" s="7">
        <f>IF(AND(N(F272)&gt;0,N(I272)&gt;0),I272-F272-IF(N(G272)&gt;0,0.5,0)-IF(N(H272)&gt;0,0.5,0),0)</f>
        <v/>
      </c>
      <c r="K272" s="5" t="n"/>
      <c r="L272" s="7">
        <f>MIN(J272,8.0)</f>
        <v/>
      </c>
      <c r="M272" s="7">
        <f>MAX(0,MIN(J272,12)-8.0)</f>
        <v/>
      </c>
      <c r="N272" s="7">
        <f>MAX(0,J272-12)</f>
        <v/>
      </c>
      <c r="O272" s="5" t="n"/>
      <c r="P272" s="6">
        <f>E272*(L272+M272*1.5+N272*2+O272*3+N(K272))</f>
        <v/>
      </c>
      <c r="Q272" s="6" t="n">
        <v>630</v>
      </c>
      <c r="R272" s="6">
        <f>Q272-P272</f>
        <v/>
      </c>
    </row>
    <row r="273">
      <c r="P273" s="2" t="inlineStr">
        <is>
          <t>CAMERAOPERATORS LABOR</t>
        </is>
      </c>
      <c r="R273" s="8">
        <f>SUM(R272:R272)</f>
        <v/>
      </c>
    </row>
    <row r="275">
      <c r="B275" s="2" t="inlineStr">
        <is>
          <t>DIGITALIMAGINGTECHS</t>
        </is>
      </c>
    </row>
    <row r="276">
      <c r="A276" s="5" t="inlineStr">
        <is>
          <t>3304</t>
        </is>
      </c>
      <c r="B276" s="5" t="inlineStr">
        <is>
          <t>Oliver Mancebo</t>
        </is>
      </c>
      <c r="C276" s="5" t="inlineStr">
        <is>
          <t>DIT</t>
        </is>
      </c>
      <c r="D276" s="5" t="inlineStr">
        <is>
          <t>Local600</t>
        </is>
      </c>
      <c r="E276" s="6" t="n">
        <v>35</v>
      </c>
      <c r="F276" s="5" t="n"/>
      <c r="G276" s="5" t="n"/>
      <c r="H276" s="5" t="n"/>
      <c r="I276" s="5" t="n"/>
      <c r="J276" s="7">
        <f>IF(AND(N(F276)&gt;0,N(I276)&gt;0),I276-F276-IF(N(G276)&gt;0,0.5,0)-IF(N(H276)&gt;0,0.5,0),0)</f>
        <v/>
      </c>
      <c r="K276" s="5" t="n"/>
      <c r="L276" s="7">
        <f>MIN(J276,8.0)</f>
        <v/>
      </c>
      <c r="M276" s="7">
        <f>MAX(0,MIN(J276,12)-8.0)</f>
        <v/>
      </c>
      <c r="N276" s="7">
        <f>MAX(0,J276-12)</f>
        <v/>
      </c>
      <c r="O276" s="5" t="n"/>
      <c r="P276" s="6">
        <f>E276*(L276+M276*1.5+N276*2+O276*3+N(K276))</f>
        <v/>
      </c>
      <c r="Q276" s="6" t="n">
        <v>542.5</v>
      </c>
      <c r="R276" s="6">
        <f>Q276-P276</f>
        <v/>
      </c>
    </row>
    <row r="277">
      <c r="P277" s="2" t="inlineStr">
        <is>
          <t>DIGITALIMAGINGTECHS LABOR</t>
        </is>
      </c>
      <c r="R277" s="8">
        <f>SUM(R276:R276)</f>
        <v/>
      </c>
    </row>
    <row r="279">
      <c r="B279" s="2" t="inlineStr">
        <is>
          <t>1STASSTCAMERA</t>
        </is>
      </c>
    </row>
    <row r="280">
      <c r="A280" s="5" t="inlineStr">
        <is>
          <t>3305</t>
        </is>
      </c>
      <c r="B280" s="5" t="inlineStr">
        <is>
          <t>Steve Cueva</t>
        </is>
      </c>
      <c r="C280" s="5" t="inlineStr">
        <is>
          <t>"A"CAMERA 1STAC</t>
        </is>
      </c>
      <c r="D280" s="5" t="inlineStr">
        <is>
          <t>Local600</t>
        </is>
      </c>
      <c r="E280" s="6" t="n">
        <v>25.5</v>
      </c>
      <c r="F280" s="5" t="n"/>
      <c r="G280" s="5" t="n"/>
      <c r="H280" s="5" t="n"/>
      <c r="I280" s="5" t="n"/>
      <c r="J280" s="7">
        <f>IF(AND(N(F280)&gt;0,N(I280)&gt;0),I280-F280-IF(N(G280)&gt;0,0.5,0)-IF(N(H280)&gt;0,0.5,0),0)</f>
        <v/>
      </c>
      <c r="K280" s="5" t="n"/>
      <c r="L280" s="7">
        <f>MIN(J280,8.0)</f>
        <v/>
      </c>
      <c r="M280" s="7">
        <f>MAX(0,MIN(J280,12)-8.0)</f>
        <v/>
      </c>
      <c r="N280" s="7">
        <f>MAX(0,J280-12)</f>
        <v/>
      </c>
      <c r="O280" s="5" t="n"/>
      <c r="P280" s="6">
        <f>E280*(L280+M280*1.5+N280*2+O280*3+N(K280))</f>
        <v/>
      </c>
      <c r="Q280" s="6" t="n">
        <v>395.25</v>
      </c>
      <c r="R280" s="6">
        <f>Q280-P280</f>
        <v/>
      </c>
    </row>
    <row r="281">
      <c r="A281" s="5" t="inlineStr">
        <is>
          <t>3305</t>
        </is>
      </c>
      <c r="B281" s="5" t="inlineStr">
        <is>
          <t>Chris Garcia</t>
        </is>
      </c>
      <c r="C281" s="5" t="inlineStr">
        <is>
          <t>"B"CAMERA 1STAC</t>
        </is>
      </c>
      <c r="D281" s="5" t="inlineStr">
        <is>
          <t>Local600</t>
        </is>
      </c>
      <c r="E281" s="6" t="n">
        <v>25.5</v>
      </c>
      <c r="F281" s="5" t="n"/>
      <c r="G281" s="5" t="n"/>
      <c r="H281" s="5" t="n"/>
      <c r="I281" s="5" t="n"/>
      <c r="J281" s="7">
        <f>IF(AND(N(F281)&gt;0,N(I281)&gt;0),I281-F281-IF(N(G281)&gt;0,0.5,0)-IF(N(H281)&gt;0,0.5,0),0)</f>
        <v/>
      </c>
      <c r="K281" s="5" t="n"/>
      <c r="L281" s="7">
        <f>MIN(J281,8.0)</f>
        <v/>
      </c>
      <c r="M281" s="7">
        <f>MAX(0,MIN(J281,12)-8.0)</f>
        <v/>
      </c>
      <c r="N281" s="7">
        <f>MAX(0,J281-12)</f>
        <v/>
      </c>
      <c r="O281" s="5" t="n"/>
      <c r="P281" s="6">
        <f>E281*(L281+M281*1.5+N281*2+O281*3+N(K281))</f>
        <v/>
      </c>
      <c r="Q281" s="6" t="n">
        <v>395.25</v>
      </c>
      <c r="R281" s="6">
        <f>Q281-P281</f>
        <v/>
      </c>
    </row>
    <row r="282">
      <c r="P282" s="2" t="inlineStr">
        <is>
          <t>1STASSTCAMERA LABOR</t>
        </is>
      </c>
      <c r="R282" s="8">
        <f>SUM(R280:R281)</f>
        <v/>
      </c>
    </row>
    <row r="284">
      <c r="B284" s="2" t="inlineStr">
        <is>
          <t>2NDASSTCAMERA</t>
        </is>
      </c>
    </row>
    <row r="285">
      <c r="A285" s="5" t="inlineStr">
        <is>
          <t>3306</t>
        </is>
      </c>
      <c r="B285" s="5" t="inlineStr">
        <is>
          <t>Manny Serrano</t>
        </is>
      </c>
      <c r="C285" s="5" t="inlineStr">
        <is>
          <t>"A"CAMERA 2NDAC</t>
        </is>
      </c>
      <c r="D285" s="5" t="inlineStr">
        <is>
          <t>Local600</t>
        </is>
      </c>
      <c r="E285" s="6" t="n">
        <v>23.04</v>
      </c>
      <c r="F285" s="5" t="n"/>
      <c r="G285" s="5" t="n"/>
      <c r="H285" s="5" t="n"/>
      <c r="I285" s="5" t="n"/>
      <c r="J285" s="7">
        <f>IF(AND(N(F285)&gt;0,N(I285)&gt;0),I285-F285-IF(N(G285)&gt;0,0.5,0)-IF(N(H285)&gt;0,0.5,0),0)</f>
        <v/>
      </c>
      <c r="K285" s="5" t="n"/>
      <c r="L285" s="7">
        <f>MIN(J285,8.0)</f>
        <v/>
      </c>
      <c r="M285" s="7">
        <f>MAX(0,MIN(J285,12)-8.0)</f>
        <v/>
      </c>
      <c r="N285" s="7">
        <f>MAX(0,J285-12)</f>
        <v/>
      </c>
      <c r="O285" s="5" t="n"/>
      <c r="P285" s="6">
        <f>E285*(L285+M285*1.5+N285*2+O285*3+N(K285))</f>
        <v/>
      </c>
      <c r="Q285" s="6" t="n">
        <v>357.12</v>
      </c>
      <c r="R285" s="6">
        <f>Q285-P285</f>
        <v/>
      </c>
    </row>
    <row r="286">
      <c r="A286" s="5" t="inlineStr">
        <is>
          <t>3306</t>
        </is>
      </c>
      <c r="B286" s="5" t="inlineStr"/>
      <c r="C286" s="5" t="inlineStr">
        <is>
          <t>"B"CAMERA 2NDAC</t>
        </is>
      </c>
      <c r="D286" s="5" t="inlineStr">
        <is>
          <t>Local600</t>
        </is>
      </c>
      <c r="E286" s="6" t="n">
        <v>23.04</v>
      </c>
      <c r="F286" s="5" t="n"/>
      <c r="G286" s="5" t="n"/>
      <c r="H286" s="5" t="n"/>
      <c r="I286" s="5" t="n"/>
      <c r="J286" s="7">
        <f>IF(AND(N(F286)&gt;0,N(I286)&gt;0),I286-F286-IF(N(G286)&gt;0,0.5,0)-IF(N(H286)&gt;0,0.5,0),0)</f>
        <v/>
      </c>
      <c r="K286" s="5" t="n"/>
      <c r="L286" s="7">
        <f>MIN(J286,8.0)</f>
        <v/>
      </c>
      <c r="M286" s="7">
        <f>MAX(0,MIN(J286,12)-8.0)</f>
        <v/>
      </c>
      <c r="N286" s="7">
        <f>MAX(0,J286-12)</f>
        <v/>
      </c>
      <c r="O286" s="5" t="n"/>
      <c r="P286" s="6">
        <f>E286*(L286+M286*1.5+N286*2+O286*3+N(K286))</f>
        <v/>
      </c>
      <c r="Q286" s="6" t="n">
        <v>357.12</v>
      </c>
      <c r="R286" s="6">
        <f>Q286-P286</f>
        <v/>
      </c>
    </row>
    <row r="287">
      <c r="P287" s="2" t="inlineStr">
        <is>
          <t>2NDASSTCAMERA LABOR</t>
        </is>
      </c>
      <c r="R287" s="8">
        <f>SUM(R285:R286)</f>
        <v/>
      </c>
    </row>
    <row r="289">
      <c r="B289" s="2" t="inlineStr">
        <is>
          <t>STILLPHOTOGRAPHER</t>
        </is>
      </c>
    </row>
    <row r="290">
      <c r="A290" s="5" t="inlineStr">
        <is>
          <t>3308</t>
        </is>
      </c>
      <c r="B290" s="5" t="inlineStr">
        <is>
          <t>Scott Patrick Green</t>
        </is>
      </c>
      <c r="C290" s="5" t="inlineStr">
        <is>
          <t>STILLPHOTOGRAPHER</t>
        </is>
      </c>
      <c r="D290" s="5" t="inlineStr">
        <is>
          <t>Local600</t>
        </is>
      </c>
      <c r="E290" s="6" t="n">
        <v>26.5</v>
      </c>
      <c r="F290" s="5" t="n"/>
      <c r="G290" s="5" t="n"/>
      <c r="H290" s="5" t="n"/>
      <c r="I290" s="5" t="n"/>
      <c r="J290" s="7">
        <f>IF(AND(N(F290)&gt;0,N(I290)&gt;0),I290-F290-IF(N(G290)&gt;0,0.5,0)-IF(N(H290)&gt;0,0.5,0),0)</f>
        <v/>
      </c>
      <c r="K290" s="5" t="n"/>
      <c r="L290" s="7">
        <f>MIN(J290,8.0)</f>
        <v/>
      </c>
      <c r="M290" s="7">
        <f>MAX(0,MIN(J290,12)-8.0)</f>
        <v/>
      </c>
      <c r="N290" s="7">
        <f>MAX(0,J290-12)</f>
        <v/>
      </c>
      <c r="O290" s="5" t="n"/>
      <c r="P290" s="6">
        <f>E290*(L290+M290*1.5+N290*2+O290*3+N(K290))</f>
        <v/>
      </c>
      <c r="Q290" s="6" t="n">
        <v>291.5</v>
      </c>
      <c r="R290" s="6">
        <f>Q290-P290</f>
        <v/>
      </c>
    </row>
    <row r="291">
      <c r="P291" s="2" t="inlineStr">
        <is>
          <t>STILLPHOTOGRAPHER LABOR</t>
        </is>
      </c>
      <c r="R291" s="8">
        <f>SUM(R290:R290)</f>
        <v/>
      </c>
    </row>
    <row r="293">
      <c r="B293" s="2" t="inlineStr">
        <is>
          <t>AERIAL/UNDERWATERPHOTOGRAPHY</t>
        </is>
      </c>
    </row>
    <row r="294">
      <c r="A294" s="5" t="inlineStr">
        <is>
          <t>3385</t>
        </is>
      </c>
      <c r="B294" s="5" t="inlineStr"/>
      <c r="C294" s="5" t="inlineStr">
        <is>
          <t>UNDERWATEROPERATOR</t>
        </is>
      </c>
      <c r="D294" s="5" t="inlineStr">
        <is>
          <t>Local600</t>
        </is>
      </c>
      <c r="E294" s="6" t="n">
        <v>65</v>
      </c>
      <c r="F294" s="5" t="n"/>
      <c r="G294" s="5" t="n"/>
      <c r="H294" s="5" t="n"/>
      <c r="I294" s="5" t="n"/>
      <c r="J294" s="7">
        <f>IF(AND(N(F294)&gt;0,N(I294)&gt;0),I294-F294-IF(N(G294)&gt;0,0.5,0)-IF(N(H294)&gt;0,0.5,0),0)</f>
        <v/>
      </c>
      <c r="K294" s="5" t="n"/>
      <c r="L294" s="7">
        <f>MIN(J294,8.0)</f>
        <v/>
      </c>
      <c r="M294" s="7">
        <f>MAX(0,MIN(J294,12)-8.0)</f>
        <v/>
      </c>
      <c r="N294" s="7">
        <f>MAX(0,J294-12)</f>
        <v/>
      </c>
      <c r="O294" s="5" t="n"/>
      <c r="P294" s="6">
        <f>E294*(L294+M294*1.5+N294*2+O294*3+N(K294))</f>
        <v/>
      </c>
      <c r="Q294" s="6" t="n">
        <v>910</v>
      </c>
      <c r="R294" s="6">
        <f>Q294-P294</f>
        <v/>
      </c>
    </row>
    <row r="295">
      <c r="P295" s="2" t="inlineStr">
        <is>
          <t>AERIAL/UNDERWATERPHOTOGRAPHY LABOR</t>
        </is>
      </c>
      <c r="R295" s="8">
        <f>SUM(R294:R294)</f>
        <v/>
      </c>
    </row>
    <row r="297">
      <c r="B297" s="2" t="inlineStr">
        <is>
          <t>SOUNDMIXER</t>
        </is>
      </c>
    </row>
    <row r="298">
      <c r="A298" s="5" t="inlineStr">
        <is>
          <t>3401</t>
        </is>
      </c>
      <c r="B298" s="5" t="inlineStr">
        <is>
          <t>Julian Howarth</t>
        </is>
      </c>
      <c r="C298" s="5" t="inlineStr">
        <is>
          <t>SOUNDMIXER</t>
        </is>
      </c>
      <c r="D298" s="5" t="inlineStr">
        <is>
          <t>Local695</t>
        </is>
      </c>
      <c r="E298" s="6" t="n">
        <v>26.5</v>
      </c>
      <c r="F298" s="5" t="n"/>
      <c r="G298" s="5" t="n"/>
      <c r="H298" s="5" t="n"/>
      <c r="I298" s="5" t="n"/>
      <c r="J298" s="7">
        <f>IF(AND(N(F298)&gt;0,N(I298)&gt;0),I298-F298-IF(N(G298)&gt;0,0.5,0)-IF(N(H298)&gt;0,0.5,0),0)</f>
        <v/>
      </c>
      <c r="K298" s="5" t="n"/>
      <c r="L298" s="7">
        <f>MIN(J298,10.0)</f>
        <v/>
      </c>
      <c r="M298" s="7">
        <f>MAX(0,MIN(J298,12)-10.0)</f>
        <v/>
      </c>
      <c r="N298" s="7">
        <f>MAX(0,J298-12)</f>
        <v/>
      </c>
      <c r="O298" s="5" t="n"/>
      <c r="P298" s="6">
        <f>E298*(L298+M298*1.5+N298*2+O298*3+N(K298))</f>
        <v/>
      </c>
      <c r="Q298" s="6" t="n">
        <v>410.75</v>
      </c>
      <c r="R298" s="6">
        <f>Q298-P298</f>
        <v/>
      </c>
    </row>
    <row r="299">
      <c r="P299" s="2" t="inlineStr">
        <is>
          <t>SOUNDMIXER LABOR</t>
        </is>
      </c>
      <c r="R299" s="8">
        <f>SUM(R298:R298)</f>
        <v/>
      </c>
    </row>
    <row r="301">
      <c r="B301" s="2" t="inlineStr">
        <is>
          <t>BOOMOPERATOR</t>
        </is>
      </c>
    </row>
    <row r="302">
      <c r="A302" s="5" t="inlineStr">
        <is>
          <t>3402</t>
        </is>
      </c>
      <c r="B302" s="5" t="inlineStr">
        <is>
          <t>Tim Song Jones</t>
        </is>
      </c>
      <c r="C302" s="5" t="inlineStr">
        <is>
          <t>BOOMOPERATOR</t>
        </is>
      </c>
      <c r="D302" s="5" t="inlineStr">
        <is>
          <t>Local695</t>
        </is>
      </c>
      <c r="E302" s="6" t="n">
        <v>23.04</v>
      </c>
      <c r="F302" s="5" t="n"/>
      <c r="G302" s="5" t="n"/>
      <c r="H302" s="5" t="n"/>
      <c r="I302" s="5" t="n"/>
      <c r="J302" s="7">
        <f>IF(AND(N(F302)&gt;0,N(I302)&gt;0),I302-F302-IF(N(G302)&gt;0,0.5,0)-IF(N(H302)&gt;0,0.5,0),0)</f>
        <v/>
      </c>
      <c r="K302" s="5" t="n"/>
      <c r="L302" s="7">
        <f>MIN(J302,10.0)</f>
        <v/>
      </c>
      <c r="M302" s="7">
        <f>MAX(0,MIN(J302,12)-10.0)</f>
        <v/>
      </c>
      <c r="N302" s="7">
        <f>MAX(0,J302-12)</f>
        <v/>
      </c>
      <c r="O302" s="5" t="n"/>
      <c r="P302" s="6">
        <f>E302*(L302+M302*1.5+N302*2+O302*3+N(K302))</f>
        <v/>
      </c>
      <c r="Q302" s="6" t="n">
        <v>357.12</v>
      </c>
      <c r="R302" s="6">
        <f>Q302-P302</f>
        <v/>
      </c>
    </row>
    <row r="303">
      <c r="P303" s="2" t="inlineStr">
        <is>
          <t>BOOMOPERATOR LABOR</t>
        </is>
      </c>
      <c r="R303" s="8">
        <f>SUM(R302:R302)</f>
        <v/>
      </c>
    </row>
    <row r="305">
      <c r="B305" s="2" t="inlineStr">
        <is>
          <t>CABLEPERSON</t>
        </is>
      </c>
    </row>
    <row r="306">
      <c r="A306" s="5" t="inlineStr">
        <is>
          <t>3403</t>
        </is>
      </c>
      <c r="B306" s="5" t="inlineStr"/>
      <c r="C306" s="5" t="inlineStr">
        <is>
          <t>UTILITYSOUND</t>
        </is>
      </c>
      <c r="D306" s="5" t="inlineStr">
        <is>
          <t>Local695</t>
        </is>
      </c>
      <c r="E306" s="6" t="n">
        <v>20.57</v>
      </c>
      <c r="F306" s="5" t="n"/>
      <c r="G306" s="5" t="n"/>
      <c r="H306" s="5" t="n"/>
      <c r="I306" s="5" t="n"/>
      <c r="J306" s="7">
        <f>IF(AND(N(F306)&gt;0,N(I306)&gt;0),I306-F306-IF(N(G306)&gt;0,0.5,0)-IF(N(H306)&gt;0,0.5,0),0)</f>
        <v/>
      </c>
      <c r="K306" s="5" t="n"/>
      <c r="L306" s="7">
        <f>MIN(J306,10.0)</f>
        <v/>
      </c>
      <c r="M306" s="7">
        <f>MAX(0,MIN(J306,12)-10.0)</f>
        <v/>
      </c>
      <c r="N306" s="7">
        <f>MAX(0,J306-12)</f>
        <v/>
      </c>
      <c r="O306" s="5" t="n"/>
      <c r="P306" s="6">
        <f>E306*(L306+M306*1.5+N306*2+O306*3+N(K306))</f>
        <v/>
      </c>
      <c r="Q306" s="6" t="n">
        <v>318.83</v>
      </c>
      <c r="R306" s="6">
        <f>Q306-P306</f>
        <v/>
      </c>
    </row>
    <row r="307">
      <c r="P307" s="2" t="inlineStr">
        <is>
          <t>CABLEPERSON LABOR</t>
        </is>
      </c>
      <c r="R307" s="8">
        <f>SUM(R306:R306)</f>
        <v/>
      </c>
    </row>
    <row r="309">
      <c r="B309" s="2" t="inlineStr">
        <is>
          <t>VIDEOASSIST</t>
        </is>
      </c>
    </row>
    <row r="310">
      <c r="A310" s="5" t="inlineStr">
        <is>
          <t>3404</t>
        </is>
      </c>
      <c r="B310" s="5" t="inlineStr">
        <is>
          <t>Jeff Snyder</t>
        </is>
      </c>
      <c r="C310" s="5" t="inlineStr">
        <is>
          <t>VIDEOASSISTOPERATOR</t>
        </is>
      </c>
      <c r="D310" s="5" t="inlineStr">
        <is>
          <t>Local695</t>
        </is>
      </c>
      <c r="E310" s="6" t="n">
        <v>23.04</v>
      </c>
      <c r="F310" s="5" t="n"/>
      <c r="G310" s="5" t="n"/>
      <c r="H310" s="5" t="n"/>
      <c r="I310" s="5" t="n"/>
      <c r="J310" s="7">
        <f>IF(AND(N(F310)&gt;0,N(I310)&gt;0),I310-F310-IF(N(G310)&gt;0,0.5,0)-IF(N(H310)&gt;0,0.5,0),0)</f>
        <v/>
      </c>
      <c r="K310" s="5" t="n"/>
      <c r="L310" s="7">
        <f>MIN(J310,10.0)</f>
        <v/>
      </c>
      <c r="M310" s="7">
        <f>MAX(0,MIN(J310,12)-10.0)</f>
        <v/>
      </c>
      <c r="N310" s="7">
        <f>MAX(0,J310-12)</f>
        <v/>
      </c>
      <c r="O310" s="5" t="n"/>
      <c r="P310" s="6">
        <f>E310*(L310+M310*1.5+N310*2+O310*3+N(K310))</f>
        <v/>
      </c>
      <c r="Q310" s="6" t="n">
        <v>357.12</v>
      </c>
      <c r="R310" s="6">
        <f>Q310-P310</f>
        <v/>
      </c>
    </row>
    <row r="311">
      <c r="P311" s="2" t="inlineStr">
        <is>
          <t>VIDEOASSIST LABOR</t>
        </is>
      </c>
      <c r="R311" s="8">
        <f>SUM(R310:R310)</f>
        <v/>
      </c>
    </row>
    <row r="313">
      <c r="B313" s="2" t="inlineStr">
        <is>
          <t>CAPTAIN</t>
        </is>
      </c>
    </row>
    <row r="314">
      <c r="A314" s="5" t="inlineStr">
        <is>
          <t>3502</t>
        </is>
      </c>
      <c r="B314" s="5" t="inlineStr">
        <is>
          <t>Kevin Caira</t>
        </is>
      </c>
      <c r="C314" s="5" t="inlineStr">
        <is>
          <t>TRANSPOCAPTAIN(LA)</t>
        </is>
      </c>
      <c r="D314" s="5" t="inlineStr">
        <is>
          <t>Local399</t>
        </is>
      </c>
      <c r="E314" s="6" t="n">
        <v>37.21</v>
      </c>
      <c r="F314" s="5" t="n"/>
      <c r="G314" s="5" t="n"/>
      <c r="H314" s="5" t="n"/>
      <c r="I314" s="5" t="n"/>
      <c r="J314" s="7">
        <f>IF(AND(N(F314)&gt;0,N(I314)&gt;0),I314-F314-IF(N(G314)&gt;0,0.5,0)-IF(N(H314)&gt;0,0.5,0),0)</f>
        <v/>
      </c>
      <c r="K314" s="5" t="n"/>
      <c r="L314" s="7">
        <f>MIN(J314,8.0)</f>
        <v/>
      </c>
      <c r="M314" s="7">
        <f>MAX(0,MIN(J314,12)-8.0)</f>
        <v/>
      </c>
      <c r="N314" s="7">
        <f>MAX(0,J314-12)</f>
        <v/>
      </c>
      <c r="O314" s="5" t="n"/>
      <c r="P314" s="6">
        <f>E314*(L314+M314*1.5+N314*2+O314*3+N(K314))</f>
        <v/>
      </c>
      <c r="Q314" s="6" t="n">
        <v>651.17</v>
      </c>
      <c r="R314" s="6">
        <f>Q314-P314</f>
        <v/>
      </c>
    </row>
    <row r="315">
      <c r="A315" s="5" t="inlineStr">
        <is>
          <t>3502</t>
        </is>
      </c>
      <c r="B315" s="5" t="inlineStr">
        <is>
          <t>Tina Peterson</t>
        </is>
      </c>
      <c r="C315" s="5" t="inlineStr">
        <is>
          <t>CO-CAPTAIN</t>
        </is>
      </c>
      <c r="D315" s="5" t="inlineStr">
        <is>
          <t>Local399</t>
        </is>
      </c>
      <c r="E315" s="6" t="n">
        <v>37.21</v>
      </c>
      <c r="F315" s="5" t="n"/>
      <c r="G315" s="5" t="n"/>
      <c r="H315" s="5" t="n"/>
      <c r="I315" s="5" t="n"/>
      <c r="J315" s="7">
        <f>IF(AND(N(F315)&gt;0,N(I315)&gt;0),I315-F315-IF(N(G315)&gt;0,0.5,0)-IF(N(H315)&gt;0,0.5,0),0)</f>
        <v/>
      </c>
      <c r="K315" s="5" t="n"/>
      <c r="L315" s="7">
        <f>MIN(J315,8.0)</f>
        <v/>
      </c>
      <c r="M315" s="7">
        <f>MAX(0,MIN(J315,12)-8.0)</f>
        <v/>
      </c>
      <c r="N315" s="7">
        <f>MAX(0,J315-12)</f>
        <v/>
      </c>
      <c r="O315" s="5" t="n"/>
      <c r="P315" s="6">
        <f>E315*(L315+M315*1.5+N315*2+O315*3+N(K315))</f>
        <v/>
      </c>
      <c r="Q315" s="6" t="n">
        <v>576.75</v>
      </c>
      <c r="R315" s="6">
        <f>Q315-P315</f>
        <v/>
      </c>
    </row>
    <row r="316">
      <c r="P316" s="2" t="inlineStr">
        <is>
          <t>CAPTAIN LABOR</t>
        </is>
      </c>
      <c r="R316" s="8">
        <f>SUM(R314:R315)</f>
        <v/>
      </c>
    </row>
    <row r="318">
      <c r="B318" s="2" t="inlineStr">
        <is>
          <t>DRIVERS</t>
        </is>
      </c>
    </row>
    <row r="319">
      <c r="A319" s="5" t="inlineStr">
        <is>
          <t>3503</t>
        </is>
      </c>
      <c r="B319" s="5" t="inlineStr"/>
      <c r="C319" s="5" t="inlineStr">
        <is>
          <t>GRIPTRUCK 48'TRACTORTRAILERDRIVER</t>
        </is>
      </c>
      <c r="D319" s="5" t="inlineStr"/>
      <c r="E319" s="6" t="n">
        <v>32.36</v>
      </c>
      <c r="F319" s="5" t="n"/>
      <c r="G319" s="5" t="n"/>
      <c r="H319" s="5" t="n"/>
      <c r="I319" s="5" t="n"/>
      <c r="J319" s="7">
        <f>IF(AND(N(F319)&gt;0,N(I319)&gt;0),I319-F319-IF(N(G319)&gt;0,0.5,0)-IF(N(H319)&gt;0,0.5,0),0)</f>
        <v/>
      </c>
      <c r="K319" s="5" t="n"/>
      <c r="L319" s="7">
        <f>MIN(J319,8.0)</f>
        <v/>
      </c>
      <c r="M319" s="7">
        <f>MAX(0,MIN(J319,12)-8.0)</f>
        <v/>
      </c>
      <c r="N319" s="7">
        <f>MAX(0,J319-12)</f>
        <v/>
      </c>
      <c r="O319" s="5" t="n"/>
      <c r="P319" s="6">
        <f>E319*(L319+M319*1.5+N319*2+O319*3+N(K319))</f>
        <v/>
      </c>
      <c r="Q319" s="6" t="n">
        <v>501.58</v>
      </c>
      <c r="R319" s="6">
        <f>Q319-P319</f>
        <v/>
      </c>
    </row>
    <row r="320">
      <c r="A320" s="5" t="inlineStr">
        <is>
          <t>3503</t>
        </is>
      </c>
      <c r="B320" s="5" t="inlineStr">
        <is>
          <t>Donald Wilson</t>
        </is>
      </c>
      <c r="C320" s="5" t="inlineStr">
        <is>
          <t>PROP 5-TON(ENCLOSED)</t>
        </is>
      </c>
      <c r="D320" s="5" t="inlineStr"/>
      <c r="E320" s="6" t="n">
        <v>32.36</v>
      </c>
      <c r="F320" s="5" t="n"/>
      <c r="G320" s="5" t="n"/>
      <c r="H320" s="5" t="n"/>
      <c r="I320" s="5" t="n"/>
      <c r="J320" s="7">
        <f>IF(AND(N(F320)&gt;0,N(I320)&gt;0),I320-F320-IF(N(G320)&gt;0,0.5,0)-IF(N(H320)&gt;0,0.5,0),0)</f>
        <v/>
      </c>
      <c r="K320" s="5" t="n"/>
      <c r="L320" s="7">
        <f>MIN(J320,8.0)</f>
        <v/>
      </c>
      <c r="M320" s="7">
        <f>MAX(0,MIN(J320,12)-8.0)</f>
        <v/>
      </c>
      <c r="N320" s="7">
        <f>MAX(0,J320-12)</f>
        <v/>
      </c>
      <c r="O320" s="5" t="n"/>
      <c r="P320" s="6">
        <f>E320*(L320+M320*1.5+N320*2+O320*3+N(K320))</f>
        <v/>
      </c>
      <c r="Q320" s="6" t="n">
        <v>501.58</v>
      </c>
      <c r="R320" s="6">
        <f>Q320-P320</f>
        <v/>
      </c>
    </row>
    <row r="321">
      <c r="A321" s="5" t="inlineStr">
        <is>
          <t>3503</t>
        </is>
      </c>
      <c r="B321" s="5" t="inlineStr"/>
      <c r="C321" s="5" t="inlineStr">
        <is>
          <t>WARDROBESTAKEBEDDRIVER#1</t>
        </is>
      </c>
      <c r="D321" s="5" t="inlineStr"/>
      <c r="E321" s="6" t="n">
        <v>37.99</v>
      </c>
      <c r="F321" s="5" t="n"/>
      <c r="G321" s="5" t="n"/>
      <c r="H321" s="5" t="n"/>
      <c r="I321" s="5" t="n"/>
      <c r="J321" s="7">
        <f>IF(AND(N(F321)&gt;0,N(I321)&gt;0),I321-F321-IF(N(G321)&gt;0,0.5,0)-IF(N(H321)&gt;0,0.5,0),0)</f>
        <v/>
      </c>
      <c r="K321" s="5" t="n"/>
      <c r="L321" s="7">
        <f>MIN(J321,8.0)</f>
        <v/>
      </c>
      <c r="M321" s="7">
        <f>MAX(0,MIN(J321,12)-8.0)</f>
        <v/>
      </c>
      <c r="N321" s="7">
        <f>MAX(0,J321-12)</f>
        <v/>
      </c>
      <c r="O321" s="5" t="n"/>
      <c r="P321" s="6">
        <f>E321*(L321+M321*1.5+N321*2+O321*3+N(K321))</f>
        <v/>
      </c>
      <c r="Q321" s="6" t="n">
        <v>588.85</v>
      </c>
      <c r="R321" s="6">
        <f>Q321-P321</f>
        <v/>
      </c>
    </row>
    <row r="322">
      <c r="A322" s="5" t="inlineStr">
        <is>
          <t>3503</t>
        </is>
      </c>
      <c r="B322" s="5" t="inlineStr"/>
      <c r="C322" s="5" t="inlineStr">
        <is>
          <t>MAKEUPHAIRTRAILERDRIVER</t>
        </is>
      </c>
      <c r="D322" s="5" t="inlineStr"/>
      <c r="E322" s="6" t="n">
        <v>32.36</v>
      </c>
      <c r="F322" s="5" t="n"/>
      <c r="G322" s="5" t="n"/>
      <c r="H322" s="5" t="n"/>
      <c r="I322" s="5" t="n"/>
      <c r="J322" s="7">
        <f>IF(AND(N(F322)&gt;0,N(I322)&gt;0),I322-F322-IF(N(G322)&gt;0,0.5,0)-IF(N(H322)&gt;0,0.5,0),0)</f>
        <v/>
      </c>
      <c r="K322" s="5" t="n"/>
      <c r="L322" s="7">
        <f>MIN(J322,8.0)</f>
        <v/>
      </c>
      <c r="M322" s="7">
        <f>MAX(0,MIN(J322,12)-8.0)</f>
        <v/>
      </c>
      <c r="N322" s="7">
        <f>MAX(0,J322-12)</f>
        <v/>
      </c>
      <c r="O322" s="5" t="n"/>
      <c r="P322" s="6">
        <f>E322*(L322+M322*1.5+N322*2+O322*3+N(K322))</f>
        <v/>
      </c>
      <c r="Q322" s="6" t="n">
        <v>501.58</v>
      </c>
      <c r="R322" s="6">
        <f>Q322-P322</f>
        <v/>
      </c>
    </row>
    <row r="323">
      <c r="A323" s="5" t="inlineStr">
        <is>
          <t>3503</t>
        </is>
      </c>
      <c r="B323" s="5" t="inlineStr"/>
      <c r="C323" s="5" t="inlineStr">
        <is>
          <t>ELECTRIC 10TONDRIVER(GENIEOPERATOR)</t>
        </is>
      </c>
      <c r="D323" s="5" t="inlineStr"/>
      <c r="E323" s="6" t="n">
        <v>37.99</v>
      </c>
      <c r="F323" s="5" t="n"/>
      <c r="G323" s="5" t="n"/>
      <c r="H323" s="5" t="n"/>
      <c r="I323" s="5" t="n"/>
      <c r="J323" s="7">
        <f>IF(AND(N(F323)&gt;0,N(I323)&gt;0),I323-F323-IF(N(G323)&gt;0,0.5,0)-IF(N(H323)&gt;0,0.5,0),0)</f>
        <v/>
      </c>
      <c r="K323" s="5" t="n"/>
      <c r="L323" s="7">
        <f>MIN(J323,8.0)</f>
        <v/>
      </c>
      <c r="M323" s="7">
        <f>MAX(0,MIN(J323,12)-8.0)</f>
        <v/>
      </c>
      <c r="N323" s="7">
        <f>MAX(0,J323-12)</f>
        <v/>
      </c>
      <c r="O323" s="5" t="n"/>
      <c r="P323" s="6">
        <f>E323*(L323+M323*1.5+N323*2+O323*3+N(K323))</f>
        <v/>
      </c>
      <c r="Q323" s="6" t="n">
        <v>588.85</v>
      </c>
      <c r="R323" s="6">
        <f>Q323-P323</f>
        <v/>
      </c>
    </row>
    <row r="324">
      <c r="A324" s="5" t="inlineStr">
        <is>
          <t>3503</t>
        </is>
      </c>
      <c r="B324" s="5" t="inlineStr"/>
      <c r="C324" s="5" t="inlineStr">
        <is>
          <t>SOUNDCCSTAKEBEDFUELTRUCKDRIVER</t>
        </is>
      </c>
      <c r="D324" s="5" t="inlineStr"/>
      <c r="E324" s="6" t="n">
        <v>32.36</v>
      </c>
      <c r="F324" s="5" t="n"/>
      <c r="G324" s="5" t="n"/>
      <c r="H324" s="5" t="n"/>
      <c r="I324" s="5" t="n"/>
      <c r="J324" s="7">
        <f>IF(AND(N(F324)&gt;0,N(I324)&gt;0),I324-F324-IF(N(G324)&gt;0,0.5,0)-IF(N(H324)&gt;0,0.5,0),0)</f>
        <v/>
      </c>
      <c r="K324" s="5" t="n"/>
      <c r="L324" s="7">
        <f>MIN(J324,8.0)</f>
        <v/>
      </c>
      <c r="M324" s="7">
        <f>MAX(0,MIN(J324,12)-8.0)</f>
        <v/>
      </c>
      <c r="N324" s="7">
        <f>MAX(0,J324-12)</f>
        <v/>
      </c>
      <c r="O324" s="5" t="n"/>
      <c r="P324" s="6">
        <f>E324*(L324+M324*1.5+N324*2+O324*3+N(K324))</f>
        <v/>
      </c>
      <c r="Q324" s="6" t="n">
        <v>501.58</v>
      </c>
      <c r="R324" s="6">
        <f>Q324-P324</f>
        <v/>
      </c>
    </row>
    <row r="325">
      <c r="A325" s="5" t="inlineStr">
        <is>
          <t>3503</t>
        </is>
      </c>
      <c r="B325" s="5" t="inlineStr"/>
      <c r="C325" s="5" t="inlineStr">
        <is>
          <t>9-ROOMHONEYWAGONTRACTORDRIVER</t>
        </is>
      </c>
      <c r="D325" s="5" t="inlineStr"/>
      <c r="E325" s="6" t="n">
        <v>32.36</v>
      </c>
      <c r="F325" s="5" t="n"/>
      <c r="G325" s="5" t="n"/>
      <c r="H325" s="5" t="n"/>
      <c r="I325" s="5" t="n"/>
      <c r="J325" s="7">
        <f>IF(AND(N(F325)&gt;0,N(I325)&gt;0),I325-F325-IF(N(G325)&gt;0,0.5,0)-IF(N(H325)&gt;0,0.5,0),0)</f>
        <v/>
      </c>
      <c r="K325" s="5" t="n"/>
      <c r="L325" s="7">
        <f>MIN(J325,8.0)</f>
        <v/>
      </c>
      <c r="M325" s="7">
        <f>MAX(0,MIN(J325,12)-8.0)</f>
        <v/>
      </c>
      <c r="N325" s="7">
        <f>MAX(0,J325-12)</f>
        <v/>
      </c>
      <c r="O325" s="5" t="n"/>
      <c r="P325" s="6">
        <f>E325*(L325+M325*1.5+N325*2+O325*3+N(K325))</f>
        <v/>
      </c>
      <c r="Q325" s="6" t="n">
        <v>501.58</v>
      </c>
      <c r="R325" s="6">
        <f>Q325-P325</f>
        <v/>
      </c>
    </row>
    <row r="326">
      <c r="A326" s="5" t="inlineStr">
        <is>
          <t>3503</t>
        </is>
      </c>
      <c r="B326" s="5" t="inlineStr"/>
      <c r="C326" s="5" t="inlineStr">
        <is>
          <t>FORDTRANSITVANDRIVER#1</t>
        </is>
      </c>
      <c r="D326" s="5" t="inlineStr"/>
      <c r="E326" s="6" t="n">
        <v>32.36</v>
      </c>
      <c r="F326" s="5" t="n"/>
      <c r="G326" s="5" t="n"/>
      <c r="H326" s="5" t="n"/>
      <c r="I326" s="5" t="n"/>
      <c r="J326" s="7">
        <f>IF(AND(N(F326)&gt;0,N(I326)&gt;0),I326-F326-IF(N(G326)&gt;0,0.5,0)-IF(N(H326)&gt;0,0.5,0),0)</f>
        <v/>
      </c>
      <c r="K326" s="5" t="n"/>
      <c r="L326" s="7">
        <f>MIN(J326,8.0)</f>
        <v/>
      </c>
      <c r="M326" s="7">
        <f>MAX(0,MIN(J326,12)-8.0)</f>
        <v/>
      </c>
      <c r="N326" s="7">
        <f>MAX(0,J326-12)</f>
        <v/>
      </c>
      <c r="O326" s="5" t="n"/>
      <c r="P326" s="6">
        <f>E326*(L326+M326*1.5+N326*2+O326*3+N(K326))</f>
        <v/>
      </c>
      <c r="Q326" s="6" t="n">
        <v>501.58</v>
      </c>
      <c r="R326" s="6">
        <f>Q326-P326</f>
        <v/>
      </c>
    </row>
    <row r="327">
      <c r="A327" s="5" t="inlineStr">
        <is>
          <t>3503</t>
        </is>
      </c>
      <c r="B327" s="5" t="inlineStr">
        <is>
          <t>Kaiser Clark</t>
        </is>
      </c>
      <c r="C327" s="5" t="inlineStr">
        <is>
          <t>CSETDECTRUCKDRIVER#1</t>
        </is>
      </c>
      <c r="D327" s="5" t="inlineStr"/>
      <c r="E327" s="6" t="n">
        <v>32.36</v>
      </c>
      <c r="F327" s="5" t="n"/>
      <c r="G327" s="5" t="n"/>
      <c r="H327" s="5" t="n"/>
      <c r="I327" s="5" t="n"/>
      <c r="J327" s="7">
        <f>IF(AND(N(F327)&gt;0,N(I327)&gt;0),I327-F327-IF(N(G327)&gt;0,0.5,0)-IF(N(H327)&gt;0,0.5,0),0)</f>
        <v/>
      </c>
      <c r="K327" s="5" t="n"/>
      <c r="L327" s="7">
        <f>MIN(J327,8.0)</f>
        <v/>
      </c>
      <c r="M327" s="7">
        <f>MAX(0,MIN(J327,12)-8.0)</f>
        <v/>
      </c>
      <c r="N327" s="7">
        <f>MAX(0,J327-12)</f>
        <v/>
      </c>
      <c r="O327" s="5" t="n"/>
      <c r="P327" s="6">
        <f>E327*(L327+M327*1.5+N327*2+O327*3+N(K327))</f>
        <v/>
      </c>
      <c r="Q327" s="6" t="n">
        <v>501.58</v>
      </c>
      <c r="R327" s="6">
        <f>Q327-P327</f>
        <v/>
      </c>
    </row>
    <row r="328">
      <c r="A328" s="5" t="inlineStr">
        <is>
          <t>3503</t>
        </is>
      </c>
      <c r="B328" s="5" t="inlineStr"/>
      <c r="C328" s="5" t="inlineStr">
        <is>
          <t>C 5-TONENCLOSEDRIGGINGGRIPDRIVER</t>
        </is>
      </c>
      <c r="D328" s="5" t="inlineStr"/>
      <c r="E328" s="6" t="n">
        <v>32.36</v>
      </c>
      <c r="F328" s="5" t="n"/>
      <c r="G328" s="5" t="n"/>
      <c r="H328" s="5" t="n"/>
      <c r="I328" s="5" t="n"/>
      <c r="J328" s="7">
        <f>IF(AND(N(F328)&gt;0,N(I328)&gt;0),I328-F328-IF(N(G328)&gt;0,0.5,0)-IF(N(H328)&gt;0,0.5,0),0)</f>
        <v/>
      </c>
      <c r="K328" s="5" t="n"/>
      <c r="L328" s="7">
        <f>MIN(J328,8.0)</f>
        <v/>
      </c>
      <c r="M328" s="7">
        <f>MAX(0,MIN(J328,12)-8.0)</f>
        <v/>
      </c>
      <c r="N328" s="7">
        <f>MAX(0,J328-12)</f>
        <v/>
      </c>
      <c r="O328" s="5" t="n"/>
      <c r="P328" s="6">
        <f>E328*(L328+M328*1.5+N328*2+O328*3+N(K328))</f>
        <v/>
      </c>
      <c r="Q328" s="5" t="n"/>
      <c r="R328" s="6">
        <f>Q328-P328</f>
        <v/>
      </c>
    </row>
    <row r="329">
      <c r="A329" s="5" t="inlineStr">
        <is>
          <t>3503</t>
        </is>
      </c>
      <c r="B329" s="5" t="inlineStr"/>
      <c r="C329" s="5" t="inlineStr">
        <is>
          <t>SCOUTBUS</t>
        </is>
      </c>
      <c r="D329" s="5" t="inlineStr"/>
      <c r="E329" s="6" t="n">
        <v>32.36</v>
      </c>
      <c r="F329" s="5" t="n"/>
      <c r="G329" s="5" t="n"/>
      <c r="H329" s="5" t="n"/>
      <c r="I329" s="5" t="n"/>
      <c r="J329" s="7">
        <f>IF(AND(N(F329)&gt;0,N(I329)&gt;0),I329-F329-IF(N(G329)&gt;0,0.5,0)-IF(N(H329)&gt;0,0.5,0),0)</f>
        <v/>
      </c>
      <c r="K329" s="5" t="n"/>
      <c r="L329" s="7">
        <f>MIN(J329,8.0)</f>
        <v/>
      </c>
      <c r="M329" s="7">
        <f>MAX(0,MIN(J329,12)-8.0)</f>
        <v/>
      </c>
      <c r="N329" s="7">
        <f>MAX(0,J329-12)</f>
        <v/>
      </c>
      <c r="O329" s="5" t="n"/>
      <c r="P329" s="6">
        <f>E329*(L329+M329*1.5+N329*2+O329*3+N(K329))</f>
        <v/>
      </c>
      <c r="Q329" s="5" t="n"/>
      <c r="R329" s="6">
        <f>Q329-P329</f>
        <v/>
      </c>
    </row>
    <row r="330">
      <c r="A330" s="5" t="inlineStr">
        <is>
          <t>3503</t>
        </is>
      </c>
      <c r="B330" s="5" t="inlineStr"/>
      <c r="C330" s="5" t="inlineStr">
        <is>
          <t>DRIVERMANDAYS</t>
        </is>
      </c>
      <c r="D330" s="5" t="inlineStr"/>
      <c r="E330" s="6" t="n">
        <v>32.36</v>
      </c>
      <c r="F330" s="5" t="n"/>
      <c r="G330" s="5" t="n"/>
      <c r="H330" s="5" t="n"/>
      <c r="I330" s="5" t="n"/>
      <c r="J330" s="7">
        <f>IF(AND(N(F330)&gt;0,N(I330)&gt;0),I330-F330-IF(N(G330)&gt;0,0.5,0)-IF(N(H330)&gt;0,0.5,0),0)</f>
        <v/>
      </c>
      <c r="K330" s="5" t="n"/>
      <c r="L330" s="7">
        <f>MIN(J330,8.0)</f>
        <v/>
      </c>
      <c r="M330" s="7">
        <f>MAX(0,MIN(J330,12)-8.0)</f>
        <v/>
      </c>
      <c r="N330" s="7">
        <f>MAX(0,J330-12)</f>
        <v/>
      </c>
      <c r="O330" s="5" t="n"/>
      <c r="P330" s="6">
        <f>E330*(L330+M330*1.5+N330*2+O330*3+N(K330))</f>
        <v/>
      </c>
      <c r="Q330" s="5" t="n"/>
      <c r="R330" s="6">
        <f>Q330-P330</f>
        <v/>
      </c>
    </row>
    <row r="331">
      <c r="P331" s="2" t="inlineStr">
        <is>
          <t>DRIVERS LABOR</t>
        </is>
      </c>
      <c r="R331" s="8">
        <f>SUM(R319:R330)</f>
        <v/>
      </c>
    </row>
    <row r="333">
      <c r="B333" s="2" t="inlineStr">
        <is>
          <t>LOCATIONSITEFEES</t>
        </is>
      </c>
    </row>
    <row r="334">
      <c r="A334" s="5" t="inlineStr">
        <is>
          <t>3607</t>
        </is>
      </c>
      <c r="B334" s="5" t="inlineStr"/>
      <c r="C334" s="5" t="inlineStr">
        <is>
          <t>Location#1(Hospital ER, LACountry Childrens Shelter, Shelter Dorm, Dept...</t>
        </is>
      </c>
      <c r="D334" s="5" t="inlineStr">
        <is>
          <t>Local400</t>
        </is>
      </c>
      <c r="E334" s="6" t="n">
        <v>50000</v>
      </c>
      <c r="F334" s="5" t="n"/>
      <c r="G334" s="5" t="n"/>
      <c r="H334" s="5" t="n"/>
      <c r="I334" s="5" t="n"/>
      <c r="J334" s="7">
        <f>IF(AND(N(F334)&gt;0,N(I334)&gt;0),I334-F334-IF(N(G334)&gt;0,0.5,0)-IF(N(H334)&gt;0,0.5,0),0)</f>
        <v/>
      </c>
      <c r="K334" s="5" t="n"/>
      <c r="L334" s="7">
        <f>MIN(J334,8.0)</f>
        <v/>
      </c>
      <c r="M334" s="7">
        <f>MAX(0,MIN(J334,12)-8.0)</f>
        <v/>
      </c>
      <c r="N334" s="7">
        <f>MAX(0,J334-12)</f>
        <v/>
      </c>
      <c r="O334" s="5" t="n"/>
      <c r="P334" s="6">
        <f>E334*(L334+M334*1.5+N334*2+O334*3+N(K334))</f>
        <v/>
      </c>
      <c r="Q334" s="6" t="n">
        <v>50000</v>
      </c>
      <c r="R334" s="6">
        <f>Q334-P334</f>
        <v/>
      </c>
    </row>
    <row r="335">
      <c r="P335" s="2" t="inlineStr">
        <is>
          <t>LOCATIONSITEFEES LABOR</t>
        </is>
      </c>
      <c r="R335" s="8">
        <f>SUM(R334:R334)</f>
        <v/>
      </c>
    </row>
    <row r="337">
      <c r="B337" s="2" t="inlineStr">
        <is>
          <t>CATERINGLABOR</t>
        </is>
      </c>
    </row>
    <row r="338">
      <c r="A338" s="5" t="inlineStr">
        <is>
          <t>3621</t>
        </is>
      </c>
      <c r="B338" s="5" t="inlineStr"/>
      <c r="C338" s="5" t="inlineStr">
        <is>
          <t>COOKDRIVER#1</t>
        </is>
      </c>
      <c r="D338" s="5" t="inlineStr">
        <is>
          <t>Local399</t>
        </is>
      </c>
      <c r="E338" s="6" t="n">
        <v>32.36</v>
      </c>
      <c r="F338" s="5" t="n"/>
      <c r="G338" s="5" t="n"/>
      <c r="H338" s="5" t="n"/>
      <c r="I338" s="5" t="n"/>
      <c r="J338" s="7">
        <f>IF(AND(N(F338)&gt;0,N(I338)&gt;0),I338-F338-IF(N(G338)&gt;0,0.5,0)-IF(N(H338)&gt;0,0.5,0),0)</f>
        <v/>
      </c>
      <c r="K338" s="5" t="n"/>
      <c r="L338" s="7">
        <f>MIN(J338,8.0)</f>
        <v/>
      </c>
      <c r="M338" s="7">
        <f>MAX(0,MIN(J338,12)-8.0)</f>
        <v/>
      </c>
      <c r="N338" s="7">
        <f>MAX(0,J338-12)</f>
        <v/>
      </c>
      <c r="O338" s="5" t="n"/>
      <c r="P338" s="6">
        <f>E338*(L338+M338*1.5+N338*2+O338*3+N(K338))</f>
        <v/>
      </c>
      <c r="Q338" s="6" t="n">
        <v>647.2</v>
      </c>
      <c r="R338" s="6">
        <f>Q338-P338</f>
        <v/>
      </c>
    </row>
    <row r="339">
      <c r="A339" s="5" t="inlineStr">
        <is>
          <t>3621</t>
        </is>
      </c>
      <c r="B339" s="5" t="inlineStr"/>
      <c r="C339" s="5" t="inlineStr">
        <is>
          <t>1STASSTCATERER#1</t>
        </is>
      </c>
      <c r="D339" s="5" t="inlineStr"/>
      <c r="E339" s="6" t="n">
        <v>17</v>
      </c>
      <c r="F339" s="5" t="n"/>
      <c r="G339" s="5" t="n"/>
      <c r="H339" s="5" t="n"/>
      <c r="I339" s="5" t="n"/>
      <c r="J339" s="7">
        <f>IF(AND(N(F339)&gt;0,N(I339)&gt;0),I339-F339-IF(N(G339)&gt;0,0.5,0)-IF(N(H339)&gt;0,0.5,0),0)</f>
        <v/>
      </c>
      <c r="K339" s="5" t="n"/>
      <c r="L339" s="7">
        <f>MIN(J339,8.0)</f>
        <v/>
      </c>
      <c r="M339" s="7">
        <f>MAX(0,MIN(J339,12)-8.0)</f>
        <v/>
      </c>
      <c r="N339" s="7">
        <f>MAX(0,J339-12)</f>
        <v/>
      </c>
      <c r="O339" s="5" t="n"/>
      <c r="P339" s="6">
        <f>E339*(L339+M339*1.5+N339*2+O339*3+N(K339))</f>
        <v/>
      </c>
      <c r="Q339" s="6" t="n">
        <v>340</v>
      </c>
      <c r="R339" s="6">
        <f>Q339-P339</f>
        <v/>
      </c>
    </row>
    <row r="340">
      <c r="A340" s="5" t="inlineStr">
        <is>
          <t>3621</t>
        </is>
      </c>
      <c r="B340" s="5" t="inlineStr"/>
      <c r="C340" s="5" t="inlineStr">
        <is>
          <t>1STASSTCATERER#2</t>
        </is>
      </c>
      <c r="D340" s="5" t="inlineStr"/>
      <c r="E340" s="6" t="n">
        <v>16</v>
      </c>
      <c r="F340" s="5" t="n"/>
      <c r="G340" s="5" t="n"/>
      <c r="H340" s="5" t="n"/>
      <c r="I340" s="5" t="n"/>
      <c r="J340" s="7">
        <f>IF(AND(N(F340)&gt;0,N(I340)&gt;0),I340-F340-IF(N(G340)&gt;0,0.5,0)-IF(N(H340)&gt;0,0.5,0),0)</f>
        <v/>
      </c>
      <c r="K340" s="5" t="n"/>
      <c r="L340" s="7">
        <f>MIN(J340,8.0)</f>
        <v/>
      </c>
      <c r="M340" s="7">
        <f>MAX(0,MIN(J340,12)-8.0)</f>
        <v/>
      </c>
      <c r="N340" s="7">
        <f>MAX(0,J340-12)</f>
        <v/>
      </c>
      <c r="O340" s="5" t="n"/>
      <c r="P340" s="6">
        <f>E340*(L340+M340*1.5+N340*2+O340*3+N(K340))</f>
        <v/>
      </c>
      <c r="Q340" s="6" t="n">
        <v>320</v>
      </c>
      <c r="R340" s="6">
        <f>Q340-P340</f>
        <v/>
      </c>
    </row>
    <row r="341">
      <c r="P341" s="2" t="inlineStr">
        <is>
          <t>CATERINGLABOR LABOR</t>
        </is>
      </c>
      <c r="R341" s="8">
        <f>SUM(R338:R340)</f>
        <v/>
      </c>
    </row>
    <row r="343">
      <c r="K343" s="9" t="inlineStr">
        <is>
          <t>TOTAL</t>
        </is>
      </c>
      <c r="P343" s="9" t="inlineStr">
        <is>
          <t>ACTUAL</t>
        </is>
      </c>
      <c r="Q343" s="9" t="inlineStr">
        <is>
          <t>BUDGET</t>
        </is>
      </c>
      <c r="R343" s="9" t="inlineStr">
        <is>
          <t>TOTAL VAR</t>
        </is>
      </c>
    </row>
    <row r="344">
      <c r="P344" s="9" t="inlineStr">
        <is>
          <t>DAY COST</t>
        </is>
      </c>
      <c r="Q344" s="9" t="inlineStr">
        <is>
          <t>DY COST</t>
        </is>
      </c>
      <c r="R344" s="9" t="inlineStr">
        <is>
          <t>(OVER) / UNDER</t>
        </is>
      </c>
    </row>
    <row r="345">
      <c r="P345" s="10">
        <f>SUM(P6:P6)+SUM(P10:P11)+SUM(P15:P17)+SUM(P21:P22)+SUM(P26:P32)+SUM(P36:P36)+SUM(P40:P41)+SUM(P45:P45)+SUM(P49:P49)+SUM(P53:P54)+SUM(P58:P58)+SUM(P62:P62)+SUM(P66:P67)+SUM(P71:P71)+SUM(P75:P75)+SUM(P79:P80)+SUM(P84:P84)+SUM(P88:P88)+SUM(P92:P93)+SUM(P97:P100)+SUM(P104:P104)+SUM(P108:P109)+SUM(P113:P113)+SUM(P117:P117)+SUM(P121:P121)+SUM(P125:P125)+SUM(P129:P130)+SUM(P134:P134)+SUM(P138:P139)+SUM(P143:P145)+SUM(P149:P149)+SUM(P153:P153)+SUM(P157:P158)+SUM(P162:P163)+SUM(P167:P167)+SUM(P171:P173)+SUM(P177:P177)+SUM(P181:P181)+SUM(P185:P187)+SUM(P191:P191)+SUM(P195:P195)+SUM(P199:P199)+SUM(P203:P203)+SUM(P207:P207)+SUM(P211:P211)+SUM(P215:P216)+SUM(P220:P220)+SUM(P224:P224)+SUM(P228:P228)+SUM(P232:P233)+SUM(P237:P237)+SUM(P241:P241)+SUM(P245:P245)+SUM(P249:P249)+SUM(P253:P254)+SUM(P258:P260)+SUM(P264:P264)+SUM(P268:P268)+SUM(P272:P272)+SUM(P276:P276)+SUM(P280:P281)+SUM(P285:P286)+SUM(P290:P290)+SUM(P294:P294)+SUM(P298:P298)+SUM(P302:P302)+SUM(P306:P306)+SUM(P310:P310)+SUM(P314:P315)+SUM(P319:P330)+SUM(P334:P334)+SUM(P338:P340)</f>
        <v/>
      </c>
      <c r="Q345" s="10">
        <f>SUM(Q6:Q6)+SUM(Q10:Q11)+SUM(Q15:Q17)+SUM(Q21:Q22)+SUM(Q26:Q32)+SUM(Q36:Q36)+SUM(Q40:Q41)+SUM(Q45:Q45)+SUM(Q49:Q49)+SUM(Q53:Q54)+SUM(Q58:Q58)+SUM(Q62:Q62)+SUM(Q66:Q67)+SUM(Q71:Q71)+SUM(Q75:Q75)+SUM(Q79:Q80)+SUM(Q84:Q84)+SUM(Q88:Q88)+SUM(Q92:Q93)+SUM(Q97:Q100)+SUM(Q104:Q104)+SUM(Q108:Q109)+SUM(Q113:Q113)+SUM(Q117:Q117)+SUM(Q121:Q121)+SUM(Q125:Q125)+SUM(Q129:Q130)+SUM(Q134:Q134)+SUM(Q138:Q139)+SUM(Q143:Q145)+SUM(Q149:Q149)+SUM(Q153:Q153)+SUM(Q157:Q158)+SUM(Q162:Q163)+SUM(Q167:Q167)+SUM(Q171:Q173)+SUM(Q177:Q177)+SUM(Q181:Q181)+SUM(Q185:Q187)+SUM(Q191:Q191)+SUM(Q195:Q195)+SUM(Q199:Q199)+SUM(Q203:Q203)+SUM(Q207:Q207)+SUM(Q211:Q211)+SUM(Q215:Q216)+SUM(Q220:Q220)+SUM(Q224:Q224)+SUM(Q228:Q228)+SUM(Q232:Q233)+SUM(Q237:Q237)+SUM(Q241:Q241)+SUM(Q245:Q245)+SUM(Q249:Q249)+SUM(Q253:Q254)+SUM(Q258:Q260)+SUM(Q264:Q264)+SUM(Q268:Q268)+SUM(Q272:Q272)+SUM(Q276:Q276)+SUM(Q280:Q281)+SUM(Q285:Q286)+SUM(Q290:Q290)+SUM(Q294:Q294)+SUM(Q298:Q298)+SUM(Q302:Q302)+SUM(Q306:Q306)+SUM(Q310:Q310)+SUM(Q314:Q315)+SUM(Q319:Q330)+SUM(Q334:Q334)+SUM(Q338:Q340)</f>
        <v/>
      </c>
      <c r="R345" s="10">
        <f>SUM(R6:R6)+SUM(R10:R11)+SUM(R15:R17)+SUM(R21:R22)+SUM(R26:R32)+SUM(R36:R36)+SUM(R40:R41)+SUM(R45:R45)+SUM(R49:R49)+SUM(R53:R54)+SUM(R58:R58)+SUM(R62:R62)+SUM(R66:R67)+SUM(R71:R71)+SUM(R75:R75)+SUM(R79:R80)+SUM(R84:R84)+SUM(R88:R88)+SUM(R92:R93)+SUM(R97:R100)+SUM(R104:R104)+SUM(R108:R109)+SUM(R113:R113)+SUM(R117:R117)+SUM(R121:R121)+SUM(R125:R125)+SUM(R129:R130)+SUM(R134:R134)+SUM(R138:R139)+SUM(R143:R145)+SUM(R149:R149)+SUM(R153:R153)+SUM(R157:R158)+SUM(R162:R163)+SUM(R167:R167)+SUM(R171:R173)+SUM(R177:R177)+SUM(R181:R181)+SUM(R185:R187)+SUM(R191:R191)+SUM(R195:R195)+SUM(R199:R199)+SUM(R203:R203)+SUM(R207:R207)+SUM(R211:R211)+SUM(R215:R216)+SUM(R220:R220)+SUM(R224:R224)+SUM(R228:R228)+SUM(R232:R233)+SUM(R237:R237)+SUM(R241:R241)+SUM(R245:R245)+SUM(R249:R249)+SUM(R253:R254)+SUM(R258:R260)+SUM(R264:R264)+SUM(R268:R268)+SUM(R272:R272)+SUM(R276:R276)+SUM(R280:R281)+SUM(R285:R286)+SUM(R290:R290)+SUM(R294:R294)+SUM(R298:R298)+SUM(R302:R302)+SUM(R306:R306)+SUM(R310:R310)+SUM(R314:R315)+SUM(R319:R330)+SUM(R334:R334)+SUM(R338:R340)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R34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20" customWidth="1" min="3" max="3"/>
    <col width="9" customWidth="1" min="4" max="4"/>
    <col width="9" customWidth="1" min="5" max="5"/>
    <col width="7" customWidth="1" min="6" max="6"/>
    <col width="7" customWidth="1" min="7" max="7"/>
    <col width="8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12" customWidth="1" min="16" max="16"/>
    <col width="13" customWidth="1" min="17" max="17"/>
    <col width="14" customWidth="1" min="18" max="18"/>
  </cols>
  <sheetData>
    <row r="1">
      <c r="A1" s="1" t="inlineStr">
        <is>
          <t>HOT COST</t>
        </is>
      </c>
      <c r="C1" t="inlineStr">
        <is>
          <t>Wednesday 25 Oct 2017</t>
        </is>
      </c>
      <c r="F1" s="2" t="inlineStr">
        <is>
          <t>DAY #8</t>
        </is>
      </c>
    </row>
    <row r="2">
      <c r="A2" s="3" t="inlineStr">
        <is>
          <t>enter CALL, LUNCH, WRAP as decimal hours (e.g. 7.5) — everything right of WRAP computes</t>
        </is>
      </c>
    </row>
    <row r="4">
      <c r="A4" s="4" t="inlineStr">
        <is>
          <t>ACCT</t>
        </is>
      </c>
      <c r="B4" s="4" t="inlineStr">
        <is>
          <t>NAME</t>
        </is>
      </c>
      <c r="C4" s="4" t="inlineStr">
        <is>
          <t>POSITION</t>
        </is>
      </c>
      <c r="D4" s="4" t="inlineStr">
        <is>
          <t>UNION</t>
        </is>
      </c>
      <c r="E4" s="4" t="inlineStr">
        <is>
          <t>RATE</t>
        </is>
      </c>
      <c r="F4" s="4" t="inlineStr">
        <is>
          <t>CALL</t>
        </is>
      </c>
      <c r="G4" s="4" t="inlineStr">
        <is>
          <t>LUNCH</t>
        </is>
      </c>
      <c r="H4" s="4" t="inlineStr">
        <is>
          <t>LUNCH 2</t>
        </is>
      </c>
      <c r="I4" s="4" t="inlineStr">
        <is>
          <t>WRAP</t>
        </is>
      </c>
      <c r="J4" s="4" t="inlineStr">
        <is>
          <t>HRS</t>
        </is>
      </c>
      <c r="K4" s="4" t="inlineStr">
        <is>
          <t>MP'S</t>
        </is>
      </c>
      <c r="L4" s="4" t="inlineStr">
        <is>
          <t>ST</t>
        </is>
      </c>
      <c r="M4" s="4" t="inlineStr">
        <is>
          <t>1.5X</t>
        </is>
      </c>
      <c r="N4" s="4" t="inlineStr">
        <is>
          <t>2X</t>
        </is>
      </c>
      <c r="O4" s="4" t="inlineStr">
        <is>
          <t>3X</t>
        </is>
      </c>
      <c r="P4" s="4" t="inlineStr">
        <is>
          <t>TOTAL / DAY</t>
        </is>
      </c>
      <c r="Q4" s="4" t="inlineStr">
        <is>
          <t>BUDGET / DAY</t>
        </is>
      </c>
      <c r="R4" s="4" t="inlineStr">
        <is>
          <t>(OVER) / UNDER</t>
        </is>
      </c>
    </row>
    <row r="5">
      <c r="B5" s="2" t="inlineStr">
        <is>
          <t>LEAD#</t>
        </is>
      </c>
    </row>
    <row r="6">
      <c r="A6" s="5" t="inlineStr">
        <is>
          <t>1401</t>
        </is>
      </c>
      <c r="B6" s="5" t="inlineStr">
        <is>
          <t>Linda Cardellini</t>
        </is>
      </c>
      <c r="C6" s="5" t="inlineStr">
        <is>
          <t>"ANNA"</t>
        </is>
      </c>
      <c r="D6" s="5" t="inlineStr"/>
      <c r="E6" s="6" t="n">
        <v>1211.8</v>
      </c>
      <c r="F6" s="5" t="n"/>
      <c r="G6" s="5" t="n"/>
      <c r="H6" s="5" t="n"/>
      <c r="I6" s="5" t="n"/>
      <c r="J6" s="7">
        <f>IF(AND(N(F6)&gt;0,N(I6)&gt;0),I6-F6-IF(N(G6)&gt;0,0.5,0)-IF(N(H6)&gt;0,0.5,0),0)</f>
        <v/>
      </c>
      <c r="K6" s="5" t="n"/>
      <c r="L6" s="7">
        <f>MIN(J6,8.0)</f>
        <v/>
      </c>
      <c r="M6" s="7">
        <f>MAX(0,MIN(J6,12)-8.0)</f>
        <v/>
      </c>
      <c r="N6" s="7">
        <f>MAX(0,J6-12)</f>
        <v/>
      </c>
      <c r="O6" s="5" t="n"/>
      <c r="P6" s="6">
        <f>E6*(L6+M6*1.5+N6*2+O6*3+N(K6))</f>
        <v/>
      </c>
      <c r="Q6" s="6" t="n">
        <v>1211.8</v>
      </c>
      <c r="R6" s="6">
        <f>Q6-P6</f>
        <v/>
      </c>
    </row>
    <row r="7">
      <c r="P7" s="2" t="inlineStr">
        <is>
          <t>LEAD# LABOR</t>
        </is>
      </c>
      <c r="R7" s="8">
        <f>SUM(R6:R6)</f>
        <v/>
      </c>
    </row>
    <row r="9">
      <c r="B9" s="2" t="inlineStr">
        <is>
          <t>LEAD#2&amp;#</t>
        </is>
      </c>
    </row>
    <row r="10">
      <c r="A10" s="5" t="inlineStr">
        <is>
          <t>1402</t>
        </is>
      </c>
      <c r="B10" s="5" t="inlineStr">
        <is>
          <t>Roman Christou</t>
        </is>
      </c>
      <c r="C10" s="5" t="inlineStr">
        <is>
          <t>"CHRIS"(Minor)</t>
        </is>
      </c>
      <c r="D10" s="5" t="inlineStr"/>
      <c r="E10" s="6" t="n">
        <v>755.4</v>
      </c>
      <c r="F10" s="5" t="n"/>
      <c r="G10" s="5" t="n"/>
      <c r="H10" s="5" t="n"/>
      <c r="I10" s="5" t="n"/>
      <c r="J10" s="7">
        <f>IF(AND(N(F10)&gt;0,N(I10)&gt;0),I10-F10-IF(N(G10)&gt;0,0.5,0)-IF(N(H10)&gt;0,0.5,0),0)</f>
        <v/>
      </c>
      <c r="K10" s="5" t="n"/>
      <c r="L10" s="7">
        <f>MIN(J10,8.0)</f>
        <v/>
      </c>
      <c r="M10" s="7">
        <f>MAX(0,MIN(J10,12)-8.0)</f>
        <v/>
      </c>
      <c r="N10" s="7">
        <f>MAX(0,J10-12)</f>
        <v/>
      </c>
      <c r="O10" s="5" t="n"/>
      <c r="P10" s="6">
        <f>E10*(L10+M10*1.5+N10*2+O10*3+N(K10))</f>
        <v/>
      </c>
      <c r="Q10" s="6" t="n">
        <v>755.4</v>
      </c>
      <c r="R10" s="6">
        <f>Q10-P10</f>
        <v/>
      </c>
    </row>
    <row r="11">
      <c r="A11" s="5" t="inlineStr">
        <is>
          <t>1402</t>
        </is>
      </c>
      <c r="B11" s="5" t="inlineStr">
        <is>
          <t>Jaynee Lynee Kinchen</t>
        </is>
      </c>
      <c r="C11" s="5" t="inlineStr">
        <is>
          <t>"SAMANTHA"(Minor)</t>
        </is>
      </c>
      <c r="D11" s="5" t="inlineStr"/>
      <c r="E11" s="6" t="n">
        <v>755.4</v>
      </c>
      <c r="F11" s="5" t="n"/>
      <c r="G11" s="5" t="n"/>
      <c r="H11" s="5" t="n"/>
      <c r="I11" s="5" t="n"/>
      <c r="J11" s="7">
        <f>IF(AND(N(F11)&gt;0,N(I11)&gt;0),I11-F11-IF(N(G11)&gt;0,0.5,0)-IF(N(H11)&gt;0,0.5,0),0)</f>
        <v/>
      </c>
      <c r="K11" s="5" t="n"/>
      <c r="L11" s="7">
        <f>MIN(J11,8.0)</f>
        <v/>
      </c>
      <c r="M11" s="7">
        <f>MAX(0,MIN(J11,12)-8.0)</f>
        <v/>
      </c>
      <c r="N11" s="7">
        <f>MAX(0,J11-12)</f>
        <v/>
      </c>
      <c r="O11" s="5" t="n"/>
      <c r="P11" s="6">
        <f>E11*(L11+M11*1.5+N11*2+O11*3+N(K11))</f>
        <v/>
      </c>
      <c r="Q11" s="6" t="n">
        <v>755.4</v>
      </c>
      <c r="R11" s="6">
        <f>Q11-P11</f>
        <v/>
      </c>
    </row>
    <row r="12">
      <c r="P12" s="2" t="inlineStr">
        <is>
          <t>LEAD#2&amp;# LABOR</t>
        </is>
      </c>
      <c r="R12" s="8">
        <f>SUM(R10:R11)</f>
        <v/>
      </c>
    </row>
    <row r="14">
      <c r="B14" s="2" t="inlineStr">
        <is>
          <t>OTHERLEADCAST</t>
        </is>
      </c>
    </row>
    <row r="15">
      <c r="A15" s="5" t="inlineStr">
        <is>
          <t>1403</t>
        </is>
      </c>
      <c r="B15" s="5" t="inlineStr">
        <is>
          <t>Raymond Cruz</t>
        </is>
      </c>
      <c r="C15" s="5" t="inlineStr">
        <is>
          <t>"RAFAELOLVERA"</t>
        </is>
      </c>
      <c r="D15" s="5" t="inlineStr"/>
      <c r="E15" s="6" t="n">
        <v>1211.8</v>
      </c>
      <c r="F15" s="5" t="n"/>
      <c r="G15" s="5" t="n"/>
      <c r="H15" s="5" t="n"/>
      <c r="I15" s="5" t="n"/>
      <c r="J15" s="7">
        <f>IF(AND(N(F15)&gt;0,N(I15)&gt;0),I15-F15-IF(N(G15)&gt;0,0.5,0)-IF(N(H15)&gt;0,0.5,0),0)</f>
        <v/>
      </c>
      <c r="K15" s="5" t="n"/>
      <c r="L15" s="7">
        <f>MIN(J15,8.0)</f>
        <v/>
      </c>
      <c r="M15" s="7">
        <f>MAX(0,MIN(J15,12)-8.0)</f>
        <v/>
      </c>
      <c r="N15" s="7">
        <f>MAX(0,J15-12)</f>
        <v/>
      </c>
      <c r="O15" s="5" t="n"/>
      <c r="P15" s="6">
        <f>E15*(L15+M15*1.5+N15*2+O15*3+N(K15))</f>
        <v/>
      </c>
      <c r="Q15" s="6" t="n">
        <v>1211.8</v>
      </c>
      <c r="R15" s="6">
        <f>Q15-P15</f>
        <v/>
      </c>
    </row>
    <row r="16">
      <c r="A16" s="5" t="inlineStr">
        <is>
          <t>1403</t>
        </is>
      </c>
      <c r="B16" s="5" t="inlineStr">
        <is>
          <t>Marisol Ramirez</t>
        </is>
      </c>
      <c r="C16" s="5" t="inlineStr">
        <is>
          <t>"LALLORONA"</t>
        </is>
      </c>
      <c r="D16" s="5" t="inlineStr"/>
      <c r="E16" s="6" t="n">
        <v>1211.8</v>
      </c>
      <c r="F16" s="5" t="n"/>
      <c r="G16" s="5" t="n"/>
      <c r="H16" s="5" t="n"/>
      <c r="I16" s="5" t="n"/>
      <c r="J16" s="7">
        <f>IF(AND(N(F16)&gt;0,N(I16)&gt;0),I16-F16-IF(N(G16)&gt;0,0.5,0)-IF(N(H16)&gt;0,0.5,0),0)</f>
        <v/>
      </c>
      <c r="K16" s="5" t="n"/>
      <c r="L16" s="7">
        <f>MIN(J16,8.0)</f>
        <v/>
      </c>
      <c r="M16" s="7">
        <f>MAX(0,MIN(J16,12)-8.0)</f>
        <v/>
      </c>
      <c r="N16" s="7">
        <f>MAX(0,J16-12)</f>
        <v/>
      </c>
      <c r="O16" s="5" t="n"/>
      <c r="P16" s="6">
        <f>E16*(L16+M16*1.5+N16*2+O16*3+N(K16))</f>
        <v/>
      </c>
      <c r="Q16" s="6" t="n">
        <v>1211.8</v>
      </c>
      <c r="R16" s="6">
        <f>Q16-P16</f>
        <v/>
      </c>
    </row>
    <row r="17">
      <c r="A17" s="5" t="inlineStr">
        <is>
          <t>1403</t>
        </is>
      </c>
      <c r="B17" s="5" t="inlineStr">
        <is>
          <t>Patrica Velasquez</t>
        </is>
      </c>
      <c r="C17" s="5" t="inlineStr">
        <is>
          <t>"PATRICIA"</t>
        </is>
      </c>
      <c r="D17" s="5" t="inlineStr"/>
      <c r="E17" s="6" t="n">
        <v>1972</v>
      </c>
      <c r="F17" s="5" t="n"/>
      <c r="G17" s="5" t="n"/>
      <c r="H17" s="5" t="n"/>
      <c r="I17" s="5" t="n"/>
      <c r="J17" s="7">
        <f>IF(AND(N(F17)&gt;0,N(I17)&gt;0),I17-F17-IF(N(G17)&gt;0,0.5,0)-IF(N(H17)&gt;0,0.5,0),0)</f>
        <v/>
      </c>
      <c r="K17" s="5" t="n"/>
      <c r="L17" s="7">
        <f>MIN(J17,8.0)</f>
        <v/>
      </c>
      <c r="M17" s="7">
        <f>MAX(0,MIN(J17,12)-8.0)</f>
        <v/>
      </c>
      <c r="N17" s="7">
        <f>MAX(0,J17-12)</f>
        <v/>
      </c>
      <c r="O17" s="5" t="n"/>
      <c r="P17" s="6">
        <f>E17*(L17+M17*1.5+N17*2+O17*3+N(K17))</f>
        <v/>
      </c>
      <c r="Q17" s="6" t="n">
        <v>1972</v>
      </c>
      <c r="R17" s="6">
        <f>Q17-P17</f>
        <v/>
      </c>
    </row>
    <row r="18">
      <c r="P18" s="2" t="inlineStr">
        <is>
          <t>OTHERLEADCAST LABOR</t>
        </is>
      </c>
      <c r="R18" s="8">
        <f>SUM(R15:R17)</f>
        <v/>
      </c>
    </row>
    <row r="20">
      <c r="B20" s="2" t="inlineStr">
        <is>
          <t>SUPPORTINGCAST</t>
        </is>
      </c>
    </row>
    <row r="21">
      <c r="A21" s="5" t="inlineStr">
        <is>
          <t>1404</t>
        </is>
      </c>
      <c r="B21" s="5" t="inlineStr">
        <is>
          <t>Sean Patrick Thomas</t>
        </is>
      </c>
      <c r="C21" s="5" t="inlineStr">
        <is>
          <t>DETCOOPER</t>
        </is>
      </c>
      <c r="D21" s="5" t="inlineStr"/>
      <c r="E21" s="6" t="n">
        <v>1211.8</v>
      </c>
      <c r="F21" s="5" t="n"/>
      <c r="G21" s="5" t="n"/>
      <c r="H21" s="5" t="n"/>
      <c r="I21" s="5" t="n"/>
      <c r="J21" s="7">
        <f>IF(AND(N(F21)&gt;0,N(I21)&gt;0),I21-F21-IF(N(G21)&gt;0,0.5,0)-IF(N(H21)&gt;0,0.5,0),0)</f>
        <v/>
      </c>
      <c r="K21" s="5" t="n"/>
      <c r="L21" s="7">
        <f>MIN(J21,8.0)</f>
        <v/>
      </c>
      <c r="M21" s="7">
        <f>MAX(0,MIN(J21,12)-8.0)</f>
        <v/>
      </c>
      <c r="N21" s="7">
        <f>MAX(0,J21-12)</f>
        <v/>
      </c>
      <c r="O21" s="5" t="n"/>
      <c r="P21" s="6">
        <f>E21*(L21+M21*1.5+N21*2+O21*3+N(K21))</f>
        <v/>
      </c>
      <c r="Q21" s="6" t="n">
        <v>1211.8</v>
      </c>
      <c r="R21" s="6">
        <f>Q21-P21</f>
        <v/>
      </c>
    </row>
    <row r="22">
      <c r="A22" s="5" t="inlineStr">
        <is>
          <t>1404</t>
        </is>
      </c>
      <c r="B22" s="5" t="inlineStr">
        <is>
          <t>Tony Amendola</t>
        </is>
      </c>
      <c r="C22" s="5" t="inlineStr">
        <is>
          <t>"FATHERPEREZ"</t>
        </is>
      </c>
      <c r="D22" s="5" t="inlineStr"/>
      <c r="E22" s="6" t="n">
        <v>1972</v>
      </c>
      <c r="F22" s="5" t="n"/>
      <c r="G22" s="5" t="n"/>
      <c r="H22" s="5" t="n"/>
      <c r="I22" s="5" t="n"/>
      <c r="J22" s="7">
        <f>IF(AND(N(F22)&gt;0,N(I22)&gt;0),I22-F22-IF(N(G22)&gt;0,0.5,0)-IF(N(H22)&gt;0,0.5,0),0)</f>
        <v/>
      </c>
      <c r="K22" s="5" t="n"/>
      <c r="L22" s="7">
        <f>MIN(J22,8.0)</f>
        <v/>
      </c>
      <c r="M22" s="7">
        <f>MAX(0,MIN(J22,12)-8.0)</f>
        <v/>
      </c>
      <c r="N22" s="7">
        <f>MAX(0,J22-12)</f>
        <v/>
      </c>
      <c r="O22" s="5" t="n"/>
      <c r="P22" s="6">
        <f>E22*(L22+M22*1.5+N22*2+O22*3+N(K22))</f>
        <v/>
      </c>
      <c r="Q22" s="6" t="n">
        <v>1972</v>
      </c>
      <c r="R22" s="6">
        <f>Q22-P22</f>
        <v/>
      </c>
    </row>
    <row r="23">
      <c r="P23" s="2" t="inlineStr">
        <is>
          <t>SUPPORTINGCAST LABOR</t>
        </is>
      </c>
      <c r="R23" s="8">
        <f>SUM(R21:R22)</f>
        <v/>
      </c>
    </row>
    <row r="25">
      <c r="B25" s="2" t="inlineStr">
        <is>
          <t>DAYPLAYERS</t>
        </is>
      </c>
    </row>
    <row r="26">
      <c r="A26" s="5" t="inlineStr">
        <is>
          <t>1405</t>
        </is>
      </c>
      <c r="B26" s="5" t="inlineStr">
        <is>
          <t>Kristy Keng(Drop/Pickup)</t>
        </is>
      </c>
      <c r="C26" s="5" t="inlineStr">
        <is>
          <t>"DONNA"</t>
        </is>
      </c>
      <c r="D26" s="5" t="inlineStr"/>
      <c r="E26" s="6" t="n">
        <v>1972</v>
      </c>
      <c r="F26" s="5" t="n"/>
      <c r="G26" s="5" t="n"/>
      <c r="H26" s="5" t="n"/>
      <c r="I26" s="5" t="n"/>
      <c r="J26" s="7">
        <f>IF(AND(N(F26)&gt;0,N(I26)&gt;0),I26-F26-IF(N(G26)&gt;0,0.5,0)-IF(N(H26)&gt;0,0.5,0),0)</f>
        <v/>
      </c>
      <c r="K26" s="5" t="n"/>
      <c r="L26" s="7">
        <f>MIN(J26,8.0)</f>
        <v/>
      </c>
      <c r="M26" s="7">
        <f>MAX(0,MIN(J26,12)-8.0)</f>
        <v/>
      </c>
      <c r="N26" s="7">
        <f>MAX(0,J26-12)</f>
        <v/>
      </c>
      <c r="O26" s="5" t="n"/>
      <c r="P26" s="6">
        <f>E26*(L26+M26*1.5+N26*2+O26*3+N(K26))</f>
        <v/>
      </c>
      <c r="Q26" s="6" t="n">
        <v>1972</v>
      </c>
      <c r="R26" s="6">
        <f>Q26-P26</f>
        <v/>
      </c>
    </row>
    <row r="27">
      <c r="A27" s="5" t="inlineStr">
        <is>
          <t>1405</t>
        </is>
      </c>
      <c r="B27" s="5" t="inlineStr">
        <is>
          <t>Oliver Alexander</t>
        </is>
      </c>
      <c r="C27" s="5" t="inlineStr">
        <is>
          <t>"CARLOS"(Minor)</t>
        </is>
      </c>
      <c r="D27" s="5" t="inlineStr"/>
      <c r="E27" s="6" t="n">
        <v>1249</v>
      </c>
      <c r="F27" s="5" t="n"/>
      <c r="G27" s="5" t="n"/>
      <c r="H27" s="5" t="n"/>
      <c r="I27" s="5" t="n"/>
      <c r="J27" s="7">
        <f>IF(AND(N(F27)&gt;0,N(I27)&gt;0),I27-F27-IF(N(G27)&gt;0,0.5,0)-IF(N(H27)&gt;0,0.5,0),0)</f>
        <v/>
      </c>
      <c r="K27" s="5" t="n"/>
      <c r="L27" s="7">
        <f>MIN(J27,8.0)</f>
        <v/>
      </c>
      <c r="M27" s="7">
        <f>MAX(0,MIN(J27,12)-8.0)</f>
        <v/>
      </c>
      <c r="N27" s="7">
        <f>MAX(0,J27-12)</f>
        <v/>
      </c>
      <c r="O27" s="5" t="n"/>
      <c r="P27" s="6">
        <f>E27*(L27+M27*1.5+N27*2+O27*3+N(K27))</f>
        <v/>
      </c>
      <c r="Q27" s="6" t="n">
        <v>1249</v>
      </c>
      <c r="R27" s="6">
        <f>Q27-P27</f>
        <v/>
      </c>
    </row>
    <row r="28">
      <c r="A28" s="5" t="inlineStr">
        <is>
          <t>1405</t>
        </is>
      </c>
      <c r="B28" s="5" t="inlineStr">
        <is>
          <t>Adam Lewandowski</t>
        </is>
      </c>
      <c r="C28" s="5" t="inlineStr">
        <is>
          <t>"TOMAS"(Minor)</t>
        </is>
      </c>
      <c r="D28" s="5" t="inlineStr"/>
      <c r="E28" s="6" t="n">
        <v>1249</v>
      </c>
      <c r="F28" s="5" t="n"/>
      <c r="G28" s="5" t="n"/>
      <c r="H28" s="5" t="n"/>
      <c r="I28" s="5" t="n"/>
      <c r="J28" s="7">
        <f>IF(AND(N(F28)&gt;0,N(I28)&gt;0),I28-F28-IF(N(G28)&gt;0,0.5,0)-IF(N(H28)&gt;0,0.5,0),0)</f>
        <v/>
      </c>
      <c r="K28" s="5" t="n"/>
      <c r="L28" s="7">
        <f>MIN(J28,8.0)</f>
        <v/>
      </c>
      <c r="M28" s="7">
        <f>MAX(0,MIN(J28,12)-8.0)</f>
        <v/>
      </c>
      <c r="N28" s="7">
        <f>MAX(0,J28-12)</f>
        <v/>
      </c>
      <c r="O28" s="5" t="n"/>
      <c r="P28" s="6">
        <f>E28*(L28+M28*1.5+N28*2+O28*3+N(K28))</f>
        <v/>
      </c>
      <c r="Q28" s="6" t="n">
        <v>1249</v>
      </c>
      <c r="R28" s="6">
        <f>Q28-P28</f>
        <v/>
      </c>
    </row>
    <row r="29">
      <c r="A29" s="5" t="inlineStr">
        <is>
          <t>1405</t>
        </is>
      </c>
      <c r="B29" s="5" t="inlineStr">
        <is>
          <t>Paul Rodriquez Jr.</t>
        </is>
      </c>
      <c r="C29" s="5" t="inlineStr">
        <is>
          <t>"OFFICERCLARO"</t>
        </is>
      </c>
      <c r="D29" s="5" t="inlineStr"/>
      <c r="E29" s="6" t="n">
        <v>1972</v>
      </c>
      <c r="F29" s="5" t="n"/>
      <c r="G29" s="5" t="n"/>
      <c r="H29" s="5" t="n"/>
      <c r="I29" s="5" t="n"/>
      <c r="J29" s="7">
        <f>IF(AND(N(F29)&gt;0,N(I29)&gt;0),I29-F29-IF(N(G29)&gt;0,0.5,0)-IF(N(H29)&gt;0,0.5,0),0)</f>
        <v/>
      </c>
      <c r="K29" s="5" t="n"/>
      <c r="L29" s="7">
        <f>MIN(J29,8.0)</f>
        <v/>
      </c>
      <c r="M29" s="7">
        <f>MAX(0,MIN(J29,12)-8.0)</f>
        <v/>
      </c>
      <c r="N29" s="7">
        <f>MAX(0,J29-12)</f>
        <v/>
      </c>
      <c r="O29" s="5" t="n"/>
      <c r="P29" s="6">
        <f>E29*(L29+M29*1.5+N29*2+O29*3+N(K29))</f>
        <v/>
      </c>
      <c r="Q29" s="6" t="n">
        <v>1972</v>
      </c>
      <c r="R29" s="6">
        <f>Q29-P29</f>
        <v/>
      </c>
    </row>
    <row r="30">
      <c r="A30" s="5" t="inlineStr">
        <is>
          <t>1405</t>
        </is>
      </c>
      <c r="B30" s="5" t="inlineStr">
        <is>
          <t>Sophia Santi</t>
        </is>
      </c>
      <c r="C30" s="5" t="inlineStr">
        <is>
          <t>"FEMALECUSTOMER"</t>
        </is>
      </c>
      <c r="D30" s="5" t="inlineStr"/>
      <c r="E30" s="6" t="n">
        <v>1972</v>
      </c>
      <c r="F30" s="5" t="n"/>
      <c r="G30" s="5" t="n"/>
      <c r="H30" s="5" t="n"/>
      <c r="I30" s="5" t="n"/>
      <c r="J30" s="7">
        <f>IF(AND(N(F30)&gt;0,N(I30)&gt;0),I30-F30-IF(N(G30)&gt;0,0.5,0)-IF(N(H30)&gt;0,0.5,0),0)</f>
        <v/>
      </c>
      <c r="K30" s="5" t="n"/>
      <c r="L30" s="7">
        <f>MIN(J30,8.0)</f>
        <v/>
      </c>
      <c r="M30" s="7">
        <f>MAX(0,MIN(J30,12)-8.0)</f>
        <v/>
      </c>
      <c r="N30" s="7">
        <f>MAX(0,J30-12)</f>
        <v/>
      </c>
      <c r="O30" s="5" t="n"/>
      <c r="P30" s="6">
        <f>E30*(L30+M30*1.5+N30*2+O30*3+N(K30))</f>
        <v/>
      </c>
      <c r="Q30" s="6" t="n">
        <v>1972</v>
      </c>
      <c r="R30" s="6">
        <f>Q30-P30</f>
        <v/>
      </c>
    </row>
    <row r="31">
      <c r="A31" s="5" t="inlineStr">
        <is>
          <t>1405</t>
        </is>
      </c>
      <c r="B31" s="5" t="inlineStr">
        <is>
          <t>John Marshall Jones</t>
        </is>
      </c>
      <c r="C31" s="5" t="inlineStr">
        <is>
          <t>"MRHANKINS"</t>
        </is>
      </c>
      <c r="D31" s="5" t="inlineStr"/>
      <c r="E31" s="6" t="n">
        <v>1972</v>
      </c>
      <c r="F31" s="5" t="n"/>
      <c r="G31" s="5" t="n"/>
      <c r="H31" s="5" t="n"/>
      <c r="I31" s="5" t="n"/>
      <c r="J31" s="7">
        <f>IF(AND(N(F31)&gt;0,N(I31)&gt;0),I31-F31-IF(N(G31)&gt;0,0.5,0)-IF(N(H31)&gt;0,0.5,0),0)</f>
        <v/>
      </c>
      <c r="K31" s="5" t="n"/>
      <c r="L31" s="7">
        <f>MIN(J31,8.0)</f>
        <v/>
      </c>
      <c r="M31" s="7">
        <f>MAX(0,MIN(J31,12)-8.0)</f>
        <v/>
      </c>
      <c r="N31" s="7">
        <f>MAX(0,J31-12)</f>
        <v/>
      </c>
      <c r="O31" s="5" t="n"/>
      <c r="P31" s="6">
        <f>E31*(L31+M31*1.5+N31*2+O31*3+N(K31))</f>
        <v/>
      </c>
      <c r="Q31" s="6" t="n">
        <v>1972</v>
      </c>
      <c r="R31" s="6">
        <f>Q31-P31</f>
        <v/>
      </c>
    </row>
    <row r="32">
      <c r="A32" s="5" t="inlineStr">
        <is>
          <t>1405</t>
        </is>
      </c>
      <c r="B32" s="5" t="inlineStr">
        <is>
          <t>Madeleine Mcgraw</t>
        </is>
      </c>
      <c r="C32" s="5" t="inlineStr">
        <is>
          <t>"APRIL"(Minor)</t>
        </is>
      </c>
      <c r="D32" s="5" t="inlineStr"/>
      <c r="E32" s="6" t="n">
        <v>1249</v>
      </c>
      <c r="F32" s="5" t="n"/>
      <c r="G32" s="5" t="n"/>
      <c r="H32" s="5" t="n"/>
      <c r="I32" s="5" t="n"/>
      <c r="J32" s="7">
        <f>IF(AND(N(F32)&gt;0,N(I32)&gt;0),I32-F32-IF(N(G32)&gt;0,0.5,0)-IF(N(H32)&gt;0,0.5,0),0)</f>
        <v/>
      </c>
      <c r="K32" s="5" t="n"/>
      <c r="L32" s="7">
        <f>MIN(J32,8.0)</f>
        <v/>
      </c>
      <c r="M32" s="7">
        <f>MAX(0,MIN(J32,12)-8.0)</f>
        <v/>
      </c>
      <c r="N32" s="7">
        <f>MAX(0,J32-12)</f>
        <v/>
      </c>
      <c r="O32" s="5" t="n"/>
      <c r="P32" s="6">
        <f>E32*(L32+M32*1.5+N32*2+O32*3+N(K32))</f>
        <v/>
      </c>
      <c r="Q32" s="6" t="n">
        <v>1249</v>
      </c>
      <c r="R32" s="6">
        <f>Q32-P32</f>
        <v/>
      </c>
    </row>
    <row r="33">
      <c r="P33" s="2" t="inlineStr">
        <is>
          <t>DAYPLAYERS LABOR</t>
        </is>
      </c>
      <c r="R33" s="8">
        <f>SUM(R26:R32)</f>
        <v/>
      </c>
    </row>
    <row r="35">
      <c r="B35" s="2" t="inlineStr">
        <is>
          <t>STUNTCOORD</t>
        </is>
      </c>
    </row>
    <row r="36">
      <c r="A36" s="5" t="inlineStr">
        <is>
          <t>1406</t>
        </is>
      </c>
      <c r="B36" s="5" t="inlineStr">
        <is>
          <t>Rob King</t>
        </is>
      </c>
      <c r="C36" s="5" t="inlineStr">
        <is>
          <t>STUNTCOORDINATOR</t>
        </is>
      </c>
      <c r="D36" s="5" t="inlineStr"/>
      <c r="E36" s="6" t="n">
        <v>1173</v>
      </c>
      <c r="F36" s="5" t="n"/>
      <c r="G36" s="5" t="n"/>
      <c r="H36" s="5" t="n"/>
      <c r="I36" s="5" t="n"/>
      <c r="J36" s="7">
        <f>IF(AND(N(F36)&gt;0,N(I36)&gt;0),I36-F36-IF(N(G36)&gt;0,0.5,0)-IF(N(H36)&gt;0,0.5,0),0)</f>
        <v/>
      </c>
      <c r="K36" s="5" t="n"/>
      <c r="L36" s="7">
        <f>MIN(J36,8.0)</f>
        <v/>
      </c>
      <c r="M36" s="7">
        <f>MAX(0,MIN(J36,12)-8.0)</f>
        <v/>
      </c>
      <c r="N36" s="7">
        <f>MAX(0,J36-12)</f>
        <v/>
      </c>
      <c r="O36" s="5" t="n"/>
      <c r="P36" s="6">
        <f>E36*(L36+M36*1.5+N36*2+O36*3+N(K36))</f>
        <v/>
      </c>
      <c r="Q36" s="6" t="n">
        <v>1173</v>
      </c>
      <c r="R36" s="6">
        <f>Q36-P36</f>
        <v/>
      </c>
    </row>
    <row r="37">
      <c r="P37" s="2" t="inlineStr">
        <is>
          <t>STUNTCOORD LABOR</t>
        </is>
      </c>
      <c r="R37" s="8">
        <f>SUM(R36:R36)</f>
        <v/>
      </c>
    </row>
    <row r="39">
      <c r="B39" s="2" t="inlineStr">
        <is>
          <t>TEACHER/WELFAREWORKER</t>
        </is>
      </c>
    </row>
    <row r="40">
      <c r="A40" s="5" t="inlineStr">
        <is>
          <t>1412</t>
        </is>
      </c>
      <c r="B40" s="5" t="inlineStr"/>
      <c r="C40" s="5" t="inlineStr">
        <is>
          <t>WELFAREWORKER</t>
        </is>
      </c>
      <c r="D40" s="5" t="inlineStr">
        <is>
          <t>Local884</t>
        </is>
      </c>
      <c r="E40" s="6" t="n">
        <v>25.5</v>
      </c>
      <c r="F40" s="5" t="n"/>
      <c r="G40" s="5" t="n"/>
      <c r="H40" s="5" t="n"/>
      <c r="I40" s="5" t="n"/>
      <c r="J40" s="7">
        <f>IF(AND(N(F40)&gt;0,N(I40)&gt;0),I40-F40-IF(N(G40)&gt;0,0.5,0)-IF(N(H40)&gt;0,0.5,0),0)</f>
        <v/>
      </c>
      <c r="K40" s="5" t="n"/>
      <c r="L40" s="7">
        <f>MIN(J40,8.0)</f>
        <v/>
      </c>
      <c r="M40" s="7">
        <f>MAX(0,MIN(J40,12)-8.0)</f>
        <v/>
      </c>
      <c r="N40" s="7">
        <f>MAX(0,J40-12)</f>
        <v/>
      </c>
      <c r="O40" s="5" t="n"/>
      <c r="P40" s="6">
        <f>E40*(L40+M40*1.5+N40*2+O40*3+N(K40))</f>
        <v/>
      </c>
      <c r="Q40" s="6" t="n">
        <v>280.5</v>
      </c>
      <c r="R40" s="6">
        <f>Q40-P40</f>
        <v/>
      </c>
    </row>
    <row r="41">
      <c r="A41" s="5" t="inlineStr">
        <is>
          <t>1412</t>
        </is>
      </c>
      <c r="B41" s="5" t="inlineStr"/>
      <c r="C41" s="5" t="inlineStr">
        <is>
          <t>ADDLWELFAREWORKER</t>
        </is>
      </c>
      <c r="D41" s="5" t="inlineStr">
        <is>
          <t>Local884</t>
        </is>
      </c>
      <c r="E41" s="6" t="n">
        <v>25.5</v>
      </c>
      <c r="F41" s="5" t="n"/>
      <c r="G41" s="5" t="n"/>
      <c r="H41" s="5" t="n"/>
      <c r="I41" s="5" t="n"/>
      <c r="J41" s="7">
        <f>IF(AND(N(F41)&gt;0,N(I41)&gt;0),I41-F41-IF(N(G41)&gt;0,0.5,0)-IF(N(H41)&gt;0,0.5,0),0)</f>
        <v/>
      </c>
      <c r="K41" s="5" t="n"/>
      <c r="L41" s="7">
        <f>MIN(J41,8.0)</f>
        <v/>
      </c>
      <c r="M41" s="7">
        <f>MAX(0,MIN(J41,12)-8.0)</f>
        <v/>
      </c>
      <c r="N41" s="7">
        <f>MAX(0,J41-12)</f>
        <v/>
      </c>
      <c r="O41" s="5" t="n"/>
      <c r="P41" s="6">
        <f>E41*(L41+M41*1.5+N41*2+O41*3+N(K41))</f>
        <v/>
      </c>
      <c r="Q41" s="6" t="n">
        <v>280.5</v>
      </c>
      <c r="R41" s="6">
        <f>Q41-P41</f>
        <v/>
      </c>
    </row>
    <row r="42">
      <c r="P42" s="2" t="inlineStr">
        <is>
          <t>TEACHER/WELFAREWORKER LABOR</t>
        </is>
      </c>
      <c r="R42" s="8">
        <f>SUM(R40:R41)</f>
        <v/>
      </c>
    </row>
    <row r="44">
      <c r="B44" s="2" t="inlineStr">
        <is>
          <t>CASTINGDIRECTORS</t>
        </is>
      </c>
    </row>
    <row r="45">
      <c r="A45" s="5" t="inlineStr">
        <is>
          <t>1413</t>
        </is>
      </c>
      <c r="B45" s="5" t="inlineStr">
        <is>
          <t>Rich Delia</t>
        </is>
      </c>
      <c r="C45" s="5" t="inlineStr">
        <is>
          <t>CASTINGDIRECTOR</t>
        </is>
      </c>
      <c r="D45" s="5" t="inlineStr"/>
      <c r="E45" s="6" t="n">
        <v>600</v>
      </c>
      <c r="F45" s="5" t="n"/>
      <c r="G45" s="5" t="n"/>
      <c r="H45" s="5" t="n"/>
      <c r="I45" s="5" t="n"/>
      <c r="J45" s="7">
        <f>IF(AND(N(F45)&gt;0,N(I45)&gt;0),I45-F45-IF(N(G45)&gt;0,0.5,0)-IF(N(H45)&gt;0,0.5,0),0)</f>
        <v/>
      </c>
      <c r="K45" s="5" t="n"/>
      <c r="L45" s="7">
        <f>MIN(J45,8.0)</f>
        <v/>
      </c>
      <c r="M45" s="7">
        <f>MAX(0,MIN(J45,12)-8.0)</f>
        <v/>
      </c>
      <c r="N45" s="7">
        <f>MAX(0,J45-12)</f>
        <v/>
      </c>
      <c r="O45" s="5" t="n"/>
      <c r="P45" s="6">
        <f>E45*(L45+M45*1.5+N45*2+O45*3+N(K45))</f>
        <v/>
      </c>
      <c r="Q45" s="5" t="n"/>
      <c r="R45" s="6">
        <f>Q45-P45</f>
        <v/>
      </c>
    </row>
    <row r="46">
      <c r="P46" s="2" t="inlineStr">
        <is>
          <t>CASTINGDIRECTORS LABOR</t>
        </is>
      </c>
      <c r="R46" s="8">
        <f>SUM(R45:R45)</f>
        <v/>
      </c>
    </row>
    <row r="48">
      <c r="B48" s="2" t="inlineStr">
        <is>
          <t>CASTINGASSOCIATES/ASSISTANTS</t>
        </is>
      </c>
    </row>
    <row r="49">
      <c r="A49" s="5" t="inlineStr">
        <is>
          <t>1414</t>
        </is>
      </c>
      <c r="B49" s="5" t="inlineStr">
        <is>
          <t>Adam Richards</t>
        </is>
      </c>
      <c r="C49" s="5" t="inlineStr">
        <is>
          <t>CASTINGASSOCIATE</t>
        </is>
      </c>
      <c r="D49" s="5" t="inlineStr"/>
      <c r="E49" s="6" t="n">
        <v>200</v>
      </c>
      <c r="F49" s="5" t="n"/>
      <c r="G49" s="5" t="n"/>
      <c r="H49" s="5" t="n"/>
      <c r="I49" s="5" t="n"/>
      <c r="J49" s="7">
        <f>IF(AND(N(F49)&gt;0,N(I49)&gt;0),I49-F49-IF(N(G49)&gt;0,0.5,0)-IF(N(H49)&gt;0,0.5,0),0)</f>
        <v/>
      </c>
      <c r="K49" s="5" t="n"/>
      <c r="L49" s="7">
        <f>MIN(J49,8.0)</f>
        <v/>
      </c>
      <c r="M49" s="7">
        <f>MAX(0,MIN(J49,12)-8.0)</f>
        <v/>
      </c>
      <c r="N49" s="7">
        <f>MAX(0,J49-12)</f>
        <v/>
      </c>
      <c r="O49" s="5" t="n"/>
      <c r="P49" s="6">
        <f>E49*(L49+M49*1.5+N49*2+O49*3+N(K49))</f>
        <v/>
      </c>
      <c r="Q49" s="5" t="n"/>
      <c r="R49" s="6">
        <f>Q49-P49</f>
        <v/>
      </c>
    </row>
    <row r="50">
      <c r="P50" s="2" t="inlineStr">
        <is>
          <t>CASTINGASSOCIATES/ASSISTANTS LABOR</t>
        </is>
      </c>
      <c r="R50" s="8">
        <f>SUM(R49:R49)</f>
        <v/>
      </c>
    </row>
    <row r="52">
      <c r="B52" s="2" t="inlineStr">
        <is>
          <t>CASTDRIVERS/VEHICLES</t>
        </is>
      </c>
    </row>
    <row r="53">
      <c r="A53" s="5" t="inlineStr">
        <is>
          <t>1455</t>
        </is>
      </c>
      <c r="B53" s="5" t="inlineStr"/>
      <c r="C53" s="5" t="inlineStr">
        <is>
          <t>CAST 3-RMDRIVER</t>
        </is>
      </c>
      <c r="D53" s="5" t="inlineStr">
        <is>
          <t>Local399</t>
        </is>
      </c>
      <c r="E53" s="6" t="n">
        <v>32.36</v>
      </c>
      <c r="F53" s="5" t="n"/>
      <c r="G53" s="5" t="n"/>
      <c r="H53" s="5" t="n"/>
      <c r="I53" s="5" t="n"/>
      <c r="J53" s="7">
        <f>IF(AND(N(F53)&gt;0,N(I53)&gt;0),I53-F53-IF(N(G53)&gt;0,0.5,0)-IF(N(H53)&gt;0,0.5,0),0)</f>
        <v/>
      </c>
      <c r="K53" s="5" t="n"/>
      <c r="L53" s="7">
        <f>MIN(J53,8.0)</f>
        <v/>
      </c>
      <c r="M53" s="7">
        <f>MAX(0,MIN(J53,12)-8.0)</f>
        <v/>
      </c>
      <c r="N53" s="7">
        <f>MAX(0,J53-12)</f>
        <v/>
      </c>
      <c r="O53" s="5" t="n"/>
      <c r="P53" s="6">
        <f>E53*(L53+M53*1.5+N53*2+O53*3+N(K53))</f>
        <v/>
      </c>
      <c r="Q53" s="6" t="n">
        <v>501.58</v>
      </c>
      <c r="R53" s="6">
        <f>Q53-P53</f>
        <v/>
      </c>
    </row>
    <row r="54">
      <c r="A54" s="5" t="inlineStr">
        <is>
          <t>1455</t>
        </is>
      </c>
      <c r="B54" s="5" t="inlineStr"/>
      <c r="C54" s="5" t="inlineStr">
        <is>
          <t>CASTMINIVANDRIVER</t>
        </is>
      </c>
      <c r="D54" s="5" t="inlineStr">
        <is>
          <t>Local399</t>
        </is>
      </c>
      <c r="E54" s="6" t="n">
        <v>32.36</v>
      </c>
      <c r="F54" s="5" t="n"/>
      <c r="G54" s="5" t="n"/>
      <c r="H54" s="5" t="n"/>
      <c r="I54" s="5" t="n"/>
      <c r="J54" s="7">
        <f>IF(AND(N(F54)&gt;0,N(I54)&gt;0),I54-F54-IF(N(G54)&gt;0,0.5,0)-IF(N(H54)&gt;0,0.5,0),0)</f>
        <v/>
      </c>
      <c r="K54" s="5" t="n"/>
      <c r="L54" s="7">
        <f>MIN(J54,8.0)</f>
        <v/>
      </c>
      <c r="M54" s="7">
        <f>MAX(0,MIN(J54,12)-8.0)</f>
        <v/>
      </c>
      <c r="N54" s="7">
        <f>MAX(0,J54-12)</f>
        <v/>
      </c>
      <c r="O54" s="5" t="n"/>
      <c r="P54" s="6">
        <f>E54*(L54+M54*1.5+N54*2+O54*3+N(K54))</f>
        <v/>
      </c>
      <c r="Q54" s="6" t="n">
        <v>501.58</v>
      </c>
      <c r="R54" s="6">
        <f>Q54-P54</f>
        <v/>
      </c>
    </row>
    <row r="55">
      <c r="P55" s="2" t="inlineStr">
        <is>
          <t>CASTDRIVERS/VEHICLES LABOR</t>
        </is>
      </c>
      <c r="R55" s="8">
        <f>SUM(R53:R54)</f>
        <v/>
      </c>
    </row>
    <row r="57">
      <c r="B57" s="2" t="inlineStr">
        <is>
          <t>PRODUCTIONMANAGER</t>
        </is>
      </c>
    </row>
    <row r="58">
      <c r="A58" s="5" t="inlineStr">
        <is>
          <t>2001</t>
        </is>
      </c>
      <c r="B58" s="5" t="inlineStr">
        <is>
          <t>Carrie Morrow</t>
        </is>
      </c>
      <c r="C58" s="5" t="inlineStr">
        <is>
          <t>UPM</t>
        </is>
      </c>
      <c r="D58" s="5" t="inlineStr">
        <is>
          <t>DGA</t>
        </is>
      </c>
      <c r="E58" s="6" t="n">
        <v>1063.6</v>
      </c>
      <c r="F58" s="5" t="n"/>
      <c r="G58" s="5" t="n"/>
      <c r="H58" s="5" t="n"/>
      <c r="I58" s="5" t="n"/>
      <c r="J58" s="7">
        <f>IF(AND(N(F58)&gt;0,N(I58)&gt;0),I58-F58-IF(N(G58)&gt;0,0.5,0)-IF(N(H58)&gt;0,0.5,0),0)</f>
        <v/>
      </c>
      <c r="K58" s="5" t="n"/>
      <c r="L58" s="7">
        <f>MIN(J58,8.0)</f>
        <v/>
      </c>
      <c r="M58" s="7">
        <f>MAX(0,MIN(J58,12)-8.0)</f>
        <v/>
      </c>
      <c r="N58" s="7">
        <f>MAX(0,J58-12)</f>
        <v/>
      </c>
      <c r="O58" s="5" t="n"/>
      <c r="P58" s="6">
        <f>E58*(L58+M58*1.5+N58*2+O58*3+N(K58))</f>
        <v/>
      </c>
      <c r="Q58" s="6" t="n">
        <v>1063.6</v>
      </c>
      <c r="R58" s="6">
        <f>Q58-P58</f>
        <v/>
      </c>
    </row>
    <row r="59">
      <c r="P59" s="2" t="inlineStr">
        <is>
          <t>PRODUCTIONMANAGER LABOR</t>
        </is>
      </c>
      <c r="R59" s="8">
        <f>SUM(R58:R58)</f>
        <v/>
      </c>
    </row>
    <row r="61">
      <c r="B61" s="2" t="inlineStr">
        <is>
          <t>1STASSTDIRECTOR</t>
        </is>
      </c>
    </row>
    <row r="62">
      <c r="A62" s="5" t="inlineStr">
        <is>
          <t>2002</t>
        </is>
      </c>
      <c r="B62" s="5" t="inlineStr">
        <is>
          <t>James Moran</t>
        </is>
      </c>
      <c r="C62" s="5" t="inlineStr">
        <is>
          <t>1STASSTDIRECTOR</t>
        </is>
      </c>
      <c r="D62" s="5" t="inlineStr">
        <is>
          <t>DGA</t>
        </is>
      </c>
      <c r="E62" s="6" t="n">
        <v>985.6</v>
      </c>
      <c r="F62" s="5" t="n"/>
      <c r="G62" s="5" t="n"/>
      <c r="H62" s="5" t="n"/>
      <c r="I62" s="5" t="n"/>
      <c r="J62" s="7">
        <f>IF(AND(N(F62)&gt;0,N(I62)&gt;0),I62-F62-IF(N(G62)&gt;0,0.5,0)-IF(N(H62)&gt;0,0.5,0),0)</f>
        <v/>
      </c>
      <c r="K62" s="5" t="n"/>
      <c r="L62" s="7">
        <f>MIN(J62,8.0)</f>
        <v/>
      </c>
      <c r="M62" s="7">
        <f>MAX(0,MIN(J62,12)-8.0)</f>
        <v/>
      </c>
      <c r="N62" s="7">
        <f>MAX(0,J62-12)</f>
        <v/>
      </c>
      <c r="O62" s="5" t="n"/>
      <c r="P62" s="6">
        <f>E62*(L62+M62*1.5+N62*2+O62*3+N(K62))</f>
        <v/>
      </c>
      <c r="Q62" s="6" t="n">
        <v>985.6</v>
      </c>
      <c r="R62" s="6">
        <f>Q62-P62</f>
        <v/>
      </c>
    </row>
    <row r="63">
      <c r="P63" s="2" t="inlineStr">
        <is>
          <t>1STASSTDIRECTOR LABOR</t>
        </is>
      </c>
      <c r="R63" s="8">
        <f>SUM(R62:R62)</f>
        <v/>
      </c>
    </row>
    <row r="65">
      <c r="B65" s="2" t="inlineStr">
        <is>
          <t>2NDASSTDIRECTORS</t>
        </is>
      </c>
    </row>
    <row r="66">
      <c r="A66" s="5" t="inlineStr">
        <is>
          <t>2003</t>
        </is>
      </c>
      <c r="B66" s="5" t="inlineStr">
        <is>
          <t>Mark Newland</t>
        </is>
      </c>
      <c r="C66" s="5" t="inlineStr">
        <is>
          <t>KEY 2NDA. D.</t>
        </is>
      </c>
      <c r="D66" s="5" t="inlineStr">
        <is>
          <t>DGA</t>
        </is>
      </c>
      <c r="E66" s="6" t="n">
        <v>674.6</v>
      </c>
      <c r="F66" s="5" t="n"/>
      <c r="G66" s="5" t="n"/>
      <c r="H66" s="5" t="n"/>
      <c r="I66" s="5" t="n"/>
      <c r="J66" s="7">
        <f>IF(AND(N(F66)&gt;0,N(I66)&gt;0),I66-F66-IF(N(G66)&gt;0,0.5,0)-IF(N(H66)&gt;0,0.5,0),0)</f>
        <v/>
      </c>
      <c r="K66" s="5" t="n"/>
      <c r="L66" s="7">
        <f>MIN(J66,8.0)</f>
        <v/>
      </c>
      <c r="M66" s="7">
        <f>MAX(0,MIN(J66,12)-8.0)</f>
        <v/>
      </c>
      <c r="N66" s="7">
        <f>MAX(0,J66-12)</f>
        <v/>
      </c>
      <c r="O66" s="5" t="n"/>
      <c r="P66" s="6">
        <f>E66*(L66+M66*1.5+N66*2+O66*3+N(K66))</f>
        <v/>
      </c>
      <c r="Q66" s="6" t="n">
        <v>674.6</v>
      </c>
      <c r="R66" s="6">
        <f>Q66-P66</f>
        <v/>
      </c>
    </row>
    <row r="67">
      <c r="A67" s="5" t="inlineStr">
        <is>
          <t>2003</t>
        </is>
      </c>
      <c r="B67" s="5" t="inlineStr"/>
      <c r="C67" s="5" t="inlineStr">
        <is>
          <t>2ND 2NDA. D.</t>
        </is>
      </c>
      <c r="D67" s="5" t="inlineStr">
        <is>
          <t>DGA</t>
        </is>
      </c>
      <c r="E67" s="6" t="n">
        <v>526</v>
      </c>
      <c r="F67" s="5" t="n"/>
      <c r="G67" s="5" t="n"/>
      <c r="H67" s="5" t="n"/>
      <c r="I67" s="5" t="n"/>
      <c r="J67" s="7">
        <f>IF(AND(N(F67)&gt;0,N(I67)&gt;0),I67-F67-IF(N(G67)&gt;0,0.5,0)-IF(N(H67)&gt;0,0.5,0),0)</f>
        <v/>
      </c>
      <c r="K67" s="5" t="n"/>
      <c r="L67" s="7">
        <f>MIN(J67,8.0)</f>
        <v/>
      </c>
      <c r="M67" s="7">
        <f>MAX(0,MIN(J67,12)-8.0)</f>
        <v/>
      </c>
      <c r="N67" s="7">
        <f>MAX(0,J67-12)</f>
        <v/>
      </c>
      <c r="O67" s="5" t="n"/>
      <c r="P67" s="6">
        <f>E67*(L67+M67*1.5+N67*2+O67*3+N(K67))</f>
        <v/>
      </c>
      <c r="Q67" s="6" t="n">
        <v>526</v>
      </c>
      <c r="R67" s="6">
        <f>Q67-P67</f>
        <v/>
      </c>
    </row>
    <row r="68">
      <c r="P68" s="2" t="inlineStr">
        <is>
          <t>2NDASSTDIRECTORS LABOR</t>
        </is>
      </c>
      <c r="R68" s="8">
        <f>SUM(R66:R67)</f>
        <v/>
      </c>
    </row>
    <row r="70">
      <c r="B70" s="2" t="inlineStr">
        <is>
          <t>SCRIPTSUPERVISOR</t>
        </is>
      </c>
    </row>
    <row r="71">
      <c r="A71" s="5" t="inlineStr">
        <is>
          <t>2005</t>
        </is>
      </c>
      <c r="B71" s="5" t="inlineStr">
        <is>
          <t>Renata Amador</t>
        </is>
      </c>
      <c r="C71" s="5" t="inlineStr">
        <is>
          <t>SCRIPTSUPERVISOR</t>
        </is>
      </c>
      <c r="D71" s="5" t="inlineStr">
        <is>
          <t>Local871</t>
        </is>
      </c>
      <c r="E71" s="6" t="n">
        <v>25.5</v>
      </c>
      <c r="F71" s="5" t="n"/>
      <c r="G71" s="5" t="n"/>
      <c r="H71" s="5" t="n"/>
      <c r="I71" s="5" t="n"/>
      <c r="J71" s="7">
        <f>IF(AND(N(F71)&gt;0,N(I71)&gt;0),I71-F71-IF(N(G71)&gt;0,0.5,0)-IF(N(H71)&gt;0,0.5,0),0)</f>
        <v/>
      </c>
      <c r="K71" s="5" t="n"/>
      <c r="L71" s="7">
        <f>MIN(J71,10.0)</f>
        <v/>
      </c>
      <c r="M71" s="7">
        <f>MAX(0,MIN(J71,12)-10.0)</f>
        <v/>
      </c>
      <c r="N71" s="7">
        <f>MAX(0,J71-12)</f>
        <v/>
      </c>
      <c r="O71" s="5" t="n"/>
      <c r="P71" s="6">
        <f>E71*(L71+M71*1.5+N71*2+O71*3+N(K71))</f>
        <v/>
      </c>
      <c r="Q71" s="6" t="n">
        <v>439.87</v>
      </c>
      <c r="R71" s="6">
        <f>Q71-P71</f>
        <v/>
      </c>
    </row>
    <row r="72">
      <c r="P72" s="2" t="inlineStr">
        <is>
          <t>SCRIPTSUPERVISOR LABOR</t>
        </is>
      </c>
      <c r="R72" s="8">
        <f>SUM(R71:R71)</f>
        <v/>
      </c>
    </row>
    <row r="74">
      <c r="B74" s="2" t="inlineStr">
        <is>
          <t>LOCATIONMANAGERS</t>
        </is>
      </c>
    </row>
    <row r="75">
      <c r="A75" s="5" t="inlineStr">
        <is>
          <t>2007</t>
        </is>
      </c>
      <c r="B75" s="5" t="inlineStr">
        <is>
          <t>Stacey Brashear-Rodriquez</t>
        </is>
      </c>
      <c r="C75" s="5" t="inlineStr">
        <is>
          <t>LOCATIONMANAGER</t>
        </is>
      </c>
      <c r="D75" s="5" t="inlineStr">
        <is>
          <t>Local399</t>
        </is>
      </c>
      <c r="E75" s="6" t="n">
        <v>557.6</v>
      </c>
      <c r="F75" s="5" t="n"/>
      <c r="G75" s="5" t="n"/>
      <c r="H75" s="5" t="n"/>
      <c r="I75" s="5" t="n"/>
      <c r="J75" s="7">
        <f>IF(AND(N(F75)&gt;0,N(I75)&gt;0),I75-F75-IF(N(G75)&gt;0,0.5,0)-IF(N(H75)&gt;0,0.5,0),0)</f>
        <v/>
      </c>
      <c r="K75" s="5" t="n"/>
      <c r="L75" s="7">
        <f>MIN(J75,8.0)</f>
        <v/>
      </c>
      <c r="M75" s="7">
        <f>MAX(0,MIN(J75,12)-8.0)</f>
        <v/>
      </c>
      <c r="N75" s="7">
        <f>MAX(0,J75-12)</f>
        <v/>
      </c>
      <c r="O75" s="5" t="n"/>
      <c r="P75" s="6">
        <f>E75*(L75+M75*1.5+N75*2+O75*3+N(K75))</f>
        <v/>
      </c>
      <c r="Q75" s="6" t="n">
        <v>557.6</v>
      </c>
      <c r="R75" s="6">
        <f>Q75-P75</f>
        <v/>
      </c>
    </row>
    <row r="76">
      <c r="P76" s="2" t="inlineStr">
        <is>
          <t>LOCATIONMANAGERS LABOR</t>
        </is>
      </c>
      <c r="R76" s="8">
        <f>SUM(R75:R75)</f>
        <v/>
      </c>
    </row>
    <row r="78">
      <c r="B78" s="2" t="inlineStr">
        <is>
          <t>ASSISTANTLOCATIONMANAGERS</t>
        </is>
      </c>
    </row>
    <row r="79">
      <c r="A79" s="5" t="inlineStr">
        <is>
          <t>2008</t>
        </is>
      </c>
      <c r="B79" s="5" t="inlineStr">
        <is>
          <t>Rich Heichel</t>
        </is>
      </c>
      <c r="C79" s="5" t="inlineStr">
        <is>
          <t>KEYASSTLOCATIONMGR#1</t>
        </is>
      </c>
      <c r="D79" s="5" t="inlineStr">
        <is>
          <t>Local399</t>
        </is>
      </c>
      <c r="E79" s="6" t="n">
        <v>334.2</v>
      </c>
      <c r="F79" s="5" t="n"/>
      <c r="G79" s="5" t="n"/>
      <c r="H79" s="5" t="n"/>
      <c r="I79" s="5" t="n"/>
      <c r="J79" s="7">
        <f>IF(AND(N(F79)&gt;0,N(I79)&gt;0),I79-F79-IF(N(G79)&gt;0,0.5,0)-IF(N(H79)&gt;0,0.5,0),0)</f>
        <v/>
      </c>
      <c r="K79" s="5" t="n"/>
      <c r="L79" s="7">
        <f>MIN(J79,8.0)</f>
        <v/>
      </c>
      <c r="M79" s="7">
        <f>MAX(0,MIN(J79,12)-8.0)</f>
        <v/>
      </c>
      <c r="N79" s="7">
        <f>MAX(0,J79-12)</f>
        <v/>
      </c>
      <c r="O79" s="5" t="n"/>
      <c r="P79" s="6">
        <f>E79*(L79+M79*1.5+N79*2+O79*3+N(K79))</f>
        <v/>
      </c>
      <c r="Q79" s="6" t="n">
        <v>334.2</v>
      </c>
      <c r="R79" s="6">
        <f>Q79-P79</f>
        <v/>
      </c>
    </row>
    <row r="80">
      <c r="A80" s="5" t="inlineStr">
        <is>
          <t>2008</t>
        </is>
      </c>
      <c r="B80" s="5" t="inlineStr">
        <is>
          <t>Jason Mc Cauley</t>
        </is>
      </c>
      <c r="C80" s="5" t="inlineStr">
        <is>
          <t>LOCATIONASST</t>
        </is>
      </c>
      <c r="D80" s="5" t="inlineStr">
        <is>
          <t>Local399</t>
        </is>
      </c>
      <c r="E80" s="6" t="n">
        <v>229</v>
      </c>
      <c r="F80" s="5" t="n"/>
      <c r="G80" s="5" t="n"/>
      <c r="H80" s="5" t="n"/>
      <c r="I80" s="5" t="n"/>
      <c r="J80" s="7">
        <f>IF(AND(N(F80)&gt;0,N(I80)&gt;0),I80-F80-IF(N(G80)&gt;0,0.5,0)-IF(N(H80)&gt;0,0.5,0),0)</f>
        <v/>
      </c>
      <c r="K80" s="5" t="n"/>
      <c r="L80" s="7">
        <f>MIN(J80,8.0)</f>
        <v/>
      </c>
      <c r="M80" s="7">
        <f>MAX(0,MIN(J80,12)-8.0)</f>
        <v/>
      </c>
      <c r="N80" s="7">
        <f>MAX(0,J80-12)</f>
        <v/>
      </c>
      <c r="O80" s="5" t="n"/>
      <c r="P80" s="6">
        <f>E80*(L80+M80*1.5+N80*2+O80*3+N(K80))</f>
        <v/>
      </c>
      <c r="Q80" s="6" t="n">
        <v>229</v>
      </c>
      <c r="R80" s="6">
        <f>Q80-P80</f>
        <v/>
      </c>
    </row>
    <row r="81">
      <c r="P81" s="2" t="inlineStr">
        <is>
          <t>ASSISTANTLOCATIONMANAGERS LABOR</t>
        </is>
      </c>
      <c r="R81" s="8">
        <f>SUM(R79:R80)</f>
        <v/>
      </c>
    </row>
    <row r="83">
      <c r="B83" s="2" t="inlineStr">
        <is>
          <t>PRODUCTIONCOORDINATOR</t>
        </is>
      </c>
    </row>
    <row r="84">
      <c r="A84" s="5" t="inlineStr">
        <is>
          <t>2009</t>
        </is>
      </c>
      <c r="B84" s="5" t="inlineStr">
        <is>
          <t>Ali Griffith</t>
        </is>
      </c>
      <c r="C84" s="5" t="inlineStr">
        <is>
          <t>PRODUCTIONOFCCOORD</t>
        </is>
      </c>
      <c r="D84" s="5" t="inlineStr"/>
      <c r="E84" s="6" t="n">
        <v>360</v>
      </c>
      <c r="F84" s="5" t="n"/>
      <c r="G84" s="5" t="n"/>
      <c r="H84" s="5" t="n"/>
      <c r="I84" s="5" t="n"/>
      <c r="J84" s="7">
        <f>IF(AND(N(F84)&gt;0,N(I84)&gt;0),I84-F84-IF(N(G84)&gt;0,0.5,0)-IF(N(H84)&gt;0,0.5,0),0)</f>
        <v/>
      </c>
      <c r="K84" s="5" t="n"/>
      <c r="L84" s="7">
        <f>MIN(J84,8.0)</f>
        <v/>
      </c>
      <c r="M84" s="7">
        <f>MAX(0,MIN(J84,12)-8.0)</f>
        <v/>
      </c>
      <c r="N84" s="7">
        <f>MAX(0,J84-12)</f>
        <v/>
      </c>
      <c r="O84" s="5" t="n"/>
      <c r="P84" s="6">
        <f>E84*(L84+M84*1.5+N84*2+O84*3+N(K84))</f>
        <v/>
      </c>
      <c r="Q84" s="6" t="n">
        <v>360</v>
      </c>
      <c r="R84" s="6">
        <f>Q84-P84</f>
        <v/>
      </c>
    </row>
    <row r="85">
      <c r="P85" s="2" t="inlineStr">
        <is>
          <t>PRODUCTIONCOORDINATOR LABOR</t>
        </is>
      </c>
      <c r="R85" s="8">
        <f>SUM(R84:R84)</f>
        <v/>
      </c>
    </row>
    <row r="87">
      <c r="B87" s="2" t="inlineStr">
        <is>
          <t>ASSTPRODUCTIONCOORDINATOR</t>
        </is>
      </c>
    </row>
    <row r="88">
      <c r="A88" s="5" t="inlineStr">
        <is>
          <t>2010</t>
        </is>
      </c>
      <c r="B88" s="5" t="inlineStr">
        <is>
          <t>Holly Dellocono</t>
        </is>
      </c>
      <c r="C88" s="5" t="inlineStr">
        <is>
          <t>APOC</t>
        </is>
      </c>
      <c r="D88" s="5" t="inlineStr">
        <is>
          <t>Local871</t>
        </is>
      </c>
      <c r="E88" s="6" t="n">
        <v>20.57</v>
      </c>
      <c r="F88" s="5" t="n"/>
      <c r="G88" s="5" t="n"/>
      <c r="H88" s="5" t="n"/>
      <c r="I88" s="5" t="n"/>
      <c r="J88" s="7">
        <f>IF(AND(N(F88)&gt;0,N(I88)&gt;0),I88-F88-IF(N(G88)&gt;0,0.5,0)-IF(N(H88)&gt;0,0.5,0),0)</f>
        <v/>
      </c>
      <c r="K88" s="5" t="n"/>
      <c r="L88" s="7">
        <f>MIN(J88,10.0)</f>
        <v/>
      </c>
      <c r="M88" s="7">
        <f>MAX(0,MIN(J88,12)-10.0)</f>
        <v/>
      </c>
      <c r="N88" s="7">
        <f>MAX(0,J88-12)</f>
        <v/>
      </c>
      <c r="O88" s="5" t="n"/>
      <c r="P88" s="6">
        <f>E88*(L88+M88*1.5+N88*2+O88*3+N(K88))</f>
        <v/>
      </c>
      <c r="Q88" s="6" t="n">
        <v>287.98</v>
      </c>
      <c r="R88" s="6">
        <f>Q88-P88</f>
        <v/>
      </c>
    </row>
    <row r="89">
      <c r="P89" s="2" t="inlineStr">
        <is>
          <t>ASSTPRODUCTIONCOORDINATOR LABOR</t>
        </is>
      </c>
      <c r="R89" s="8">
        <f>SUM(R88:R88)</f>
        <v/>
      </c>
    </row>
    <row r="91">
      <c r="B91" s="2" t="inlineStr">
        <is>
          <t>OFFICESTAFFASSISTANTS</t>
        </is>
      </c>
    </row>
    <row r="92">
      <c r="A92" s="5" t="inlineStr">
        <is>
          <t>2011</t>
        </is>
      </c>
      <c r="B92" s="5" t="inlineStr">
        <is>
          <t>John Humber</t>
        </is>
      </c>
      <c r="C92" s="5" t="inlineStr">
        <is>
          <t>OFFICEPA#1</t>
        </is>
      </c>
      <c r="D92" s="5" t="inlineStr"/>
      <c r="E92" s="6" t="n">
        <v>22.5</v>
      </c>
      <c r="F92" s="5" t="n"/>
      <c r="G92" s="5" t="n"/>
      <c r="H92" s="5" t="n"/>
      <c r="I92" s="5" t="n"/>
      <c r="J92" s="7">
        <f>IF(AND(N(F92)&gt;0,N(I92)&gt;0),I92-F92-IF(N(G92)&gt;0,0.5,0)-IF(N(H92)&gt;0,0.5,0),0)</f>
        <v/>
      </c>
      <c r="K92" s="5" t="n"/>
      <c r="L92" s="7">
        <f>MIN(J92,8.0)</f>
        <v/>
      </c>
      <c r="M92" s="7">
        <f>MAX(0,MIN(J92,12)-8.0)</f>
        <v/>
      </c>
      <c r="N92" s="7">
        <f>MAX(0,J92-12)</f>
        <v/>
      </c>
      <c r="O92" s="5" t="n"/>
      <c r="P92" s="6">
        <f>E92*(L92+M92*1.5+N92*2+O92*3+N(K92))</f>
        <v/>
      </c>
      <c r="Q92" s="6" t="n">
        <v>168</v>
      </c>
      <c r="R92" s="6">
        <f>Q92-P92</f>
        <v/>
      </c>
    </row>
    <row r="93">
      <c r="A93" s="5" t="inlineStr">
        <is>
          <t>2011</t>
        </is>
      </c>
      <c r="B93" s="5" t="inlineStr">
        <is>
          <t>Sarah Semenas</t>
        </is>
      </c>
      <c r="C93" s="5" t="inlineStr">
        <is>
          <t>OFFICEPA#2</t>
        </is>
      </c>
      <c r="D93" s="5" t="inlineStr"/>
      <c r="E93" s="6" t="n">
        <v>22.5</v>
      </c>
      <c r="F93" s="5" t="n"/>
      <c r="G93" s="5" t="n"/>
      <c r="H93" s="5" t="n"/>
      <c r="I93" s="5" t="n"/>
      <c r="J93" s="7">
        <f>IF(AND(N(F93)&gt;0,N(I93)&gt;0),I93-F93-IF(N(G93)&gt;0,0.5,0)-IF(N(H93)&gt;0,0.5,0),0)</f>
        <v/>
      </c>
      <c r="K93" s="5" t="n"/>
      <c r="L93" s="7">
        <f>MIN(J93,8.0)</f>
        <v/>
      </c>
      <c r="M93" s="7">
        <f>MAX(0,MIN(J93,12)-8.0)</f>
        <v/>
      </c>
      <c r="N93" s="7">
        <f>MAX(0,J93-12)</f>
        <v/>
      </c>
      <c r="O93" s="5" t="n"/>
      <c r="P93" s="6">
        <f>E93*(L93+M93*1.5+N93*2+O93*3+N(K93))</f>
        <v/>
      </c>
      <c r="Q93" s="6" t="n">
        <v>168</v>
      </c>
      <c r="R93" s="6">
        <f>Q93-P93</f>
        <v/>
      </c>
    </row>
    <row r="94">
      <c r="P94" s="2" t="inlineStr">
        <is>
          <t>OFFICESTAFFASSISTANTS LABOR</t>
        </is>
      </c>
      <c r="R94" s="8">
        <f>SUM(R92:R93)</f>
        <v/>
      </c>
    </row>
    <row r="96">
      <c r="B96" s="2" t="inlineStr">
        <is>
          <t>SETSTAFFASSISTANTS</t>
        </is>
      </c>
    </row>
    <row r="97">
      <c r="A97" s="5" t="inlineStr">
        <is>
          <t>2012</t>
        </is>
      </c>
      <c r="B97" s="5" t="inlineStr">
        <is>
          <t>Paula Henry</t>
        </is>
      </c>
      <c r="C97" s="5" t="inlineStr">
        <is>
          <t>KEYSETPA</t>
        </is>
      </c>
      <c r="D97" s="5" t="inlineStr"/>
      <c r="E97" s="6" t="n">
        <v>12</v>
      </c>
      <c r="F97" s="5" t="n"/>
      <c r="G97" s="5" t="n"/>
      <c r="H97" s="5" t="n"/>
      <c r="I97" s="5" t="n"/>
      <c r="J97" s="7">
        <f>IF(AND(N(F97)&gt;0,N(I97)&gt;0),I97-F97-IF(N(G97)&gt;0,0.5,0)-IF(N(H97)&gt;0,0.5,0),0)</f>
        <v/>
      </c>
      <c r="K97" s="5" t="n"/>
      <c r="L97" s="7">
        <f>MIN(J97,8.0)</f>
        <v/>
      </c>
      <c r="M97" s="7">
        <f>MAX(0,MIN(J97,12)-8.0)</f>
        <v/>
      </c>
      <c r="N97" s="7">
        <f>MAX(0,J97-12)</f>
        <v/>
      </c>
      <c r="O97" s="5" t="n"/>
      <c r="P97" s="6">
        <f>E97*(L97+M97*1.5+N97*2+O97*3+N(K97))</f>
        <v/>
      </c>
      <c r="Q97" s="6" t="n">
        <v>216</v>
      </c>
      <c r="R97" s="6">
        <f>Q97-P97</f>
        <v/>
      </c>
    </row>
    <row r="98">
      <c r="A98" s="5" t="inlineStr">
        <is>
          <t>2012</t>
        </is>
      </c>
      <c r="B98" s="5" t="inlineStr"/>
      <c r="C98" s="5" t="inlineStr">
        <is>
          <t>SETPA#2</t>
        </is>
      </c>
      <c r="D98" s="5" t="inlineStr"/>
      <c r="E98" s="6" t="n">
        <v>12</v>
      </c>
      <c r="F98" s="5" t="n"/>
      <c r="G98" s="5" t="n"/>
      <c r="H98" s="5" t="n"/>
      <c r="I98" s="5" t="n"/>
      <c r="J98" s="7">
        <f>IF(AND(N(F98)&gt;0,N(I98)&gt;0),I98-F98-IF(N(G98)&gt;0,0.5,0)-IF(N(H98)&gt;0,0.5,0),0)</f>
        <v/>
      </c>
      <c r="K98" s="5" t="n"/>
      <c r="L98" s="7">
        <f>MIN(J98,8.0)</f>
        <v/>
      </c>
      <c r="M98" s="7">
        <f>MAX(0,MIN(J98,12)-8.0)</f>
        <v/>
      </c>
      <c r="N98" s="7">
        <f>MAX(0,J98-12)</f>
        <v/>
      </c>
      <c r="O98" s="5" t="n"/>
      <c r="P98" s="6">
        <f>E98*(L98+M98*1.5+N98*2+O98*3+N(K98))</f>
        <v/>
      </c>
      <c r="Q98" s="6" t="n">
        <v>216</v>
      </c>
      <c r="R98" s="6">
        <f>Q98-P98</f>
        <v/>
      </c>
    </row>
    <row r="99">
      <c r="A99" s="5" t="inlineStr">
        <is>
          <t>2012</t>
        </is>
      </c>
      <c r="B99" s="5" t="inlineStr"/>
      <c r="C99" s="5" t="inlineStr">
        <is>
          <t>SETPA#3</t>
        </is>
      </c>
      <c r="D99" s="5" t="inlineStr"/>
      <c r="E99" s="6" t="n">
        <v>12</v>
      </c>
      <c r="F99" s="5" t="n"/>
      <c r="G99" s="5" t="n"/>
      <c r="H99" s="5" t="n"/>
      <c r="I99" s="5" t="n"/>
      <c r="J99" s="7">
        <f>IF(AND(N(F99)&gt;0,N(I99)&gt;0),I99-F99-IF(N(G99)&gt;0,0.5,0)-IF(N(H99)&gt;0,0.5,0),0)</f>
        <v/>
      </c>
      <c r="K99" s="5" t="n"/>
      <c r="L99" s="7">
        <f>MIN(J99,8.0)</f>
        <v/>
      </c>
      <c r="M99" s="7">
        <f>MAX(0,MIN(J99,12)-8.0)</f>
        <v/>
      </c>
      <c r="N99" s="7">
        <f>MAX(0,J99-12)</f>
        <v/>
      </c>
      <c r="O99" s="5" t="n"/>
      <c r="P99" s="6">
        <f>E99*(L99+M99*1.5+N99*2+O99*3+N(K99))</f>
        <v/>
      </c>
      <c r="Q99" s="6" t="n">
        <v>216</v>
      </c>
      <c r="R99" s="6">
        <f>Q99-P99</f>
        <v/>
      </c>
    </row>
    <row r="100">
      <c r="A100" s="5" t="inlineStr">
        <is>
          <t>2012</t>
        </is>
      </c>
      <c r="B100" s="5" t="inlineStr"/>
      <c r="C100" s="5" t="inlineStr">
        <is>
          <t>SETPA#4</t>
        </is>
      </c>
      <c r="D100" s="5" t="inlineStr"/>
      <c r="E100" s="6" t="n">
        <v>12</v>
      </c>
      <c r="F100" s="5" t="n"/>
      <c r="G100" s="5" t="n"/>
      <c r="H100" s="5" t="n"/>
      <c r="I100" s="5" t="n"/>
      <c r="J100" s="7">
        <f>IF(AND(N(F100)&gt;0,N(I100)&gt;0),I100-F100-IF(N(G100)&gt;0,0.5,0)-IF(N(H100)&gt;0,0.5,0),0)</f>
        <v/>
      </c>
      <c r="K100" s="5" t="n"/>
      <c r="L100" s="7">
        <f>MIN(J100,8.0)</f>
        <v/>
      </c>
      <c r="M100" s="7">
        <f>MAX(0,MIN(J100,12)-8.0)</f>
        <v/>
      </c>
      <c r="N100" s="7">
        <f>MAX(0,J100-12)</f>
        <v/>
      </c>
      <c r="O100" s="5" t="n"/>
      <c r="P100" s="6">
        <f>E100*(L100+M100*1.5+N100*2+O100*3+N(K100))</f>
        <v/>
      </c>
      <c r="Q100" s="6" t="n">
        <v>216</v>
      </c>
      <c r="R100" s="6">
        <f>Q100-P100</f>
        <v/>
      </c>
    </row>
    <row r="101">
      <c r="P101" s="2" t="inlineStr">
        <is>
          <t>SETSTAFFASSISTANTS LABOR</t>
        </is>
      </c>
      <c r="R101" s="8">
        <f>SUM(R97:R100)</f>
        <v/>
      </c>
    </row>
    <row r="103">
      <c r="B103" s="2" t="inlineStr">
        <is>
          <t>PRODUCTIONACCOUNTANT</t>
        </is>
      </c>
    </row>
    <row r="104">
      <c r="A104" s="5" t="inlineStr">
        <is>
          <t>2013</t>
        </is>
      </c>
      <c r="B104" s="5" t="inlineStr">
        <is>
          <t>Joel Tokarsky</t>
        </is>
      </c>
      <c r="C104" s="5" t="inlineStr">
        <is>
          <t>PRODUCTIONACCOUNTANT</t>
        </is>
      </c>
      <c r="D104" s="5" t="inlineStr">
        <is>
          <t>Local871</t>
        </is>
      </c>
      <c r="E104" s="6" t="n">
        <v>740</v>
      </c>
      <c r="F104" s="5" t="n"/>
      <c r="G104" s="5" t="n"/>
      <c r="H104" s="5" t="n"/>
      <c r="I104" s="5" t="n"/>
      <c r="J104" s="7">
        <f>IF(AND(N(F104)&gt;0,N(I104)&gt;0),I104-F104-IF(N(G104)&gt;0,0.5,0)-IF(N(H104)&gt;0,0.5,0),0)</f>
        <v/>
      </c>
      <c r="K104" s="5" t="n"/>
      <c r="L104" s="7">
        <f>MIN(J104,10.0)</f>
        <v/>
      </c>
      <c r="M104" s="7">
        <f>MAX(0,MIN(J104,12)-10.0)</f>
        <v/>
      </c>
      <c r="N104" s="7">
        <f>MAX(0,J104-12)</f>
        <v/>
      </c>
      <c r="O104" s="5" t="n"/>
      <c r="P104" s="6">
        <f>E104*(L104+M104*1.5+N104*2+O104*3+N(K104))</f>
        <v/>
      </c>
      <c r="Q104" s="6" t="n">
        <v>740</v>
      </c>
      <c r="R104" s="6">
        <f>Q104-P104</f>
        <v/>
      </c>
    </row>
    <row r="105">
      <c r="P105" s="2" t="inlineStr">
        <is>
          <t>PRODUCTIONACCOUNTANT LABOR</t>
        </is>
      </c>
      <c r="R105" s="8">
        <f>SUM(R104:R104)</f>
        <v/>
      </c>
    </row>
    <row r="107">
      <c r="B107" s="2" t="inlineStr">
        <is>
          <t>ASSTPRODUCTIONACCOUNTANTS</t>
        </is>
      </c>
    </row>
    <row r="108">
      <c r="A108" s="5" t="inlineStr">
        <is>
          <t>2014</t>
        </is>
      </c>
      <c r="B108" s="5" t="inlineStr">
        <is>
          <t>Co-Co Aiello</t>
        </is>
      </c>
      <c r="C108" s="5" t="inlineStr">
        <is>
          <t>1STASSTACCT</t>
        </is>
      </c>
      <c r="D108" s="5" t="inlineStr">
        <is>
          <t>Local871</t>
        </is>
      </c>
      <c r="E108" s="6" t="n">
        <v>480</v>
      </c>
      <c r="F108" s="5" t="n"/>
      <c r="G108" s="5" t="n"/>
      <c r="H108" s="5" t="n"/>
      <c r="I108" s="5" t="n"/>
      <c r="J108" s="7">
        <f>IF(AND(N(F108)&gt;0,N(I108)&gt;0),I108-F108-IF(N(G108)&gt;0,0.5,0)-IF(N(H108)&gt;0,0.5,0),0)</f>
        <v/>
      </c>
      <c r="K108" s="5" t="n"/>
      <c r="L108" s="7">
        <f>MIN(J108,10.0)</f>
        <v/>
      </c>
      <c r="M108" s="7">
        <f>MAX(0,MIN(J108,12)-10.0)</f>
        <v/>
      </c>
      <c r="N108" s="7">
        <f>MAX(0,J108-12)</f>
        <v/>
      </c>
      <c r="O108" s="5" t="n"/>
      <c r="P108" s="6">
        <f>E108*(L108+M108*1.5+N108*2+O108*3+N(K108))</f>
        <v/>
      </c>
      <c r="Q108" s="6" t="n">
        <v>480</v>
      </c>
      <c r="R108" s="6">
        <f>Q108-P108</f>
        <v/>
      </c>
    </row>
    <row r="109">
      <c r="A109" s="5" t="inlineStr">
        <is>
          <t>2014</t>
        </is>
      </c>
      <c r="B109" s="5" t="inlineStr">
        <is>
          <t>Steve Goldstein</t>
        </is>
      </c>
      <c r="C109" s="5" t="inlineStr">
        <is>
          <t>PAYROLLACCT</t>
        </is>
      </c>
      <c r="D109" s="5" t="inlineStr">
        <is>
          <t>Local871</t>
        </is>
      </c>
      <c r="E109" s="6" t="n">
        <v>420</v>
      </c>
      <c r="F109" s="5" t="n"/>
      <c r="G109" s="5" t="n"/>
      <c r="H109" s="5" t="n"/>
      <c r="I109" s="5" t="n"/>
      <c r="J109" s="7">
        <f>IF(AND(N(F109)&gt;0,N(I109)&gt;0),I109-F109-IF(N(G109)&gt;0,0.5,0)-IF(N(H109)&gt;0,0.5,0),0)</f>
        <v/>
      </c>
      <c r="K109" s="5" t="n"/>
      <c r="L109" s="7">
        <f>MIN(J109,10.0)</f>
        <v/>
      </c>
      <c r="M109" s="7">
        <f>MAX(0,MIN(J109,12)-10.0)</f>
        <v/>
      </c>
      <c r="N109" s="7">
        <f>MAX(0,J109-12)</f>
        <v/>
      </c>
      <c r="O109" s="5" t="n"/>
      <c r="P109" s="6">
        <f>E109*(L109+M109*1.5+N109*2+O109*3+N(K109))</f>
        <v/>
      </c>
      <c r="Q109" s="6" t="n">
        <v>420</v>
      </c>
      <c r="R109" s="6">
        <f>Q109-P109</f>
        <v/>
      </c>
    </row>
    <row r="110">
      <c r="P110" s="2" t="inlineStr">
        <is>
          <t>ASSTPRODUCTIONACCOUNTANTS LABOR</t>
        </is>
      </c>
      <c r="R110" s="8">
        <f>SUM(R108:R109)</f>
        <v/>
      </c>
    </row>
    <row r="112">
      <c r="B112" s="2" t="inlineStr">
        <is>
          <t>CONSTRUCTIONCOORDINATOR</t>
        </is>
      </c>
    </row>
    <row r="113">
      <c r="A113" s="5" t="inlineStr">
        <is>
          <t>2302</t>
        </is>
      </c>
      <c r="B113" s="5" t="inlineStr">
        <is>
          <t>Drew Rebelin</t>
        </is>
      </c>
      <c r="C113" s="5" t="inlineStr">
        <is>
          <t>CONSTCOORDINATOR</t>
        </is>
      </c>
      <c r="D113" s="5" t="inlineStr">
        <is>
          <t>Local44</t>
        </is>
      </c>
      <c r="E113" s="6" t="n">
        <v>400</v>
      </c>
      <c r="F113" s="5" t="n"/>
      <c r="G113" s="5" t="n"/>
      <c r="H113" s="5" t="n"/>
      <c r="I113" s="5" t="n"/>
      <c r="J113" s="7">
        <f>IF(AND(N(F113)&gt;0,N(I113)&gt;0),I113-F113-IF(N(G113)&gt;0,0.5,0)-IF(N(H113)&gt;0,0.5,0),0)</f>
        <v/>
      </c>
      <c r="K113" s="5" t="n"/>
      <c r="L113" s="7">
        <f>MIN(J113,10.0)</f>
        <v/>
      </c>
      <c r="M113" s="7">
        <f>MAX(0,MIN(J113,12)-10.0)</f>
        <v/>
      </c>
      <c r="N113" s="7">
        <f>MAX(0,J113-12)</f>
        <v/>
      </c>
      <c r="O113" s="5" t="n"/>
      <c r="P113" s="6">
        <f>E113*(L113+M113*1.5+N113*2+O113*3+N(K113))</f>
        <v/>
      </c>
      <c r="Q113" s="5" t="n"/>
      <c r="R113" s="6">
        <f>Q113-P113</f>
        <v/>
      </c>
    </row>
    <row r="114">
      <c r="P114" s="2" t="inlineStr">
        <is>
          <t>CONSTRUCTIONCOORDINATOR LABOR</t>
        </is>
      </c>
      <c r="R114" s="8">
        <f>SUM(R113:R113)</f>
        <v/>
      </c>
    </row>
    <row r="116">
      <c r="B116" s="2" t="inlineStr">
        <is>
          <t>PAINTFOREMAN</t>
        </is>
      </c>
    </row>
    <row r="117">
      <c r="A117" s="5" t="inlineStr">
        <is>
          <t>2304</t>
        </is>
      </c>
      <c r="B117" s="5" t="inlineStr">
        <is>
          <t>Kristeen Reimnitz</t>
        </is>
      </c>
      <c r="C117" s="5" t="inlineStr">
        <is>
          <t>PAINTER</t>
        </is>
      </c>
      <c r="D117" s="5" t="inlineStr">
        <is>
          <t>Local729</t>
        </is>
      </c>
      <c r="E117" s="6" t="n">
        <v>23.04</v>
      </c>
      <c r="F117" s="5" t="n"/>
      <c r="G117" s="5" t="n"/>
      <c r="H117" s="5" t="n"/>
      <c r="I117" s="5" t="n"/>
      <c r="J117" s="7">
        <f>IF(AND(N(F117)&gt;0,N(I117)&gt;0),I117-F117-IF(N(G117)&gt;0,0.5,0)-IF(N(H117)&gt;0,0.5,0),0)</f>
        <v/>
      </c>
      <c r="K117" s="5" t="n"/>
      <c r="L117" s="7">
        <f>MIN(J117,10.0)</f>
        <v/>
      </c>
      <c r="M117" s="7">
        <f>MAX(0,MIN(J117,12)-10.0)</f>
        <v/>
      </c>
      <c r="N117" s="7">
        <f>MAX(0,J117-12)</f>
        <v/>
      </c>
      <c r="O117" s="5" t="n"/>
      <c r="P117" s="6">
        <f>E117*(L117+M117*1.5+N117*2+O117*3+N(K117))</f>
        <v/>
      </c>
      <c r="Q117" s="5" t="n"/>
      <c r="R117" s="6">
        <f>Q117-P117</f>
        <v/>
      </c>
    </row>
    <row r="118">
      <c r="P118" s="2" t="inlineStr">
        <is>
          <t>PAINTFOREMAN LABOR</t>
        </is>
      </c>
      <c r="R118" s="8">
        <f>SUM(R117:R117)</f>
        <v/>
      </c>
    </row>
    <row r="120">
      <c r="B120" s="2" t="inlineStr">
        <is>
          <t>FIRSTAIDLABOR</t>
        </is>
      </c>
    </row>
    <row r="121">
      <c r="A121" s="5" t="inlineStr">
        <is>
          <t>2310</t>
        </is>
      </c>
      <c r="B121" s="5" t="inlineStr"/>
      <c r="C121" s="5" t="inlineStr">
        <is>
          <t>CONSTRUCTIONMEDIC</t>
        </is>
      </c>
      <c r="D121" s="5" t="inlineStr">
        <is>
          <t>Local80</t>
        </is>
      </c>
      <c r="E121" s="6" t="n">
        <v>23.04</v>
      </c>
      <c r="F121" s="5" t="n"/>
      <c r="G121" s="5" t="n"/>
      <c r="H121" s="5" t="n"/>
      <c r="I121" s="5" t="n"/>
      <c r="J121" s="7">
        <f>IF(AND(N(F121)&gt;0,N(I121)&gt;0),I121-F121-IF(N(G121)&gt;0,0.5,0)-IF(N(H121)&gt;0,0.5,0),0)</f>
        <v/>
      </c>
      <c r="K121" s="5" t="n"/>
      <c r="L121" s="7">
        <f>MIN(J121,10.0)</f>
        <v/>
      </c>
      <c r="M121" s="7">
        <f>MAX(0,MIN(J121,12)-10.0)</f>
        <v/>
      </c>
      <c r="N121" s="7">
        <f>MAX(0,J121-12)</f>
        <v/>
      </c>
      <c r="O121" s="5" t="n"/>
      <c r="P121" s="6">
        <f>E121*(L121+M121*1.5+N121*2+O121*3+N(K121))</f>
        <v/>
      </c>
      <c r="Q121" s="5" t="n"/>
      <c r="R121" s="6">
        <f>Q121-P121</f>
        <v/>
      </c>
    </row>
    <row r="122">
      <c r="P122" s="2" t="inlineStr">
        <is>
          <t>FIRSTAIDLABOR LABOR</t>
        </is>
      </c>
      <c r="R122" s="8">
        <f>SUM(R121:R121)</f>
        <v/>
      </c>
    </row>
    <row r="124">
      <c r="B124" s="2" t="inlineStr">
        <is>
          <t>KEYGRIP</t>
        </is>
      </c>
    </row>
    <row r="125">
      <c r="A125" s="5" t="inlineStr">
        <is>
          <t>2501</t>
        </is>
      </c>
      <c r="B125" s="5" t="inlineStr">
        <is>
          <t>Pat O'Mara</t>
        </is>
      </c>
      <c r="C125" s="5" t="inlineStr">
        <is>
          <t>KEYGRIP</t>
        </is>
      </c>
      <c r="D125" s="5" t="inlineStr">
        <is>
          <t>Local80</t>
        </is>
      </c>
      <c r="E125" s="6" t="n">
        <v>25.5</v>
      </c>
      <c r="F125" s="5" t="n"/>
      <c r="G125" s="5" t="n"/>
      <c r="H125" s="5" t="n"/>
      <c r="I125" s="5" t="n"/>
      <c r="J125" s="7">
        <f>IF(AND(N(F125)&gt;0,N(I125)&gt;0),I125-F125-IF(N(G125)&gt;0,0.5,0)-IF(N(H125)&gt;0,0.5,0),0)</f>
        <v/>
      </c>
      <c r="K125" s="5" t="n"/>
      <c r="L125" s="7">
        <f>MIN(J125,10.0)</f>
        <v/>
      </c>
      <c r="M125" s="7">
        <f>MAX(0,MIN(J125,12)-10.0)</f>
        <v/>
      </c>
      <c r="N125" s="7">
        <f>MAX(0,J125-12)</f>
        <v/>
      </c>
      <c r="O125" s="5" t="n"/>
      <c r="P125" s="6">
        <f>E125*(L125+M125*1.5+N125*2+O125*3+N(K125))</f>
        <v/>
      </c>
      <c r="Q125" s="6" t="n">
        <v>395.25</v>
      </c>
      <c r="R125" s="6">
        <f>Q125-P125</f>
        <v/>
      </c>
    </row>
    <row r="126">
      <c r="P126" s="2" t="inlineStr">
        <is>
          <t>KEYGRIP LABOR</t>
        </is>
      </c>
      <c r="R126" s="8">
        <f>SUM(R125:R125)</f>
        <v/>
      </c>
    </row>
    <row r="128">
      <c r="B128" s="2" t="inlineStr">
        <is>
          <t>BESTBOYGRIP</t>
        </is>
      </c>
    </row>
    <row r="129">
      <c r="A129" s="5" t="inlineStr">
        <is>
          <t>2502</t>
        </is>
      </c>
      <c r="B129" s="5" t="inlineStr">
        <is>
          <t>Aaron Fairley</t>
        </is>
      </c>
      <c r="C129" s="5" t="inlineStr">
        <is>
          <t>BESTBOYGRIP</t>
        </is>
      </c>
      <c r="D129" s="5" t="inlineStr">
        <is>
          <t>Local80</t>
        </is>
      </c>
      <c r="E129" s="6" t="n">
        <v>23.04</v>
      </c>
      <c r="F129" s="5" t="n"/>
      <c r="G129" s="5" t="n"/>
      <c r="H129" s="5" t="n"/>
      <c r="I129" s="5" t="n"/>
      <c r="J129" s="7">
        <f>IF(AND(N(F129)&gt;0,N(I129)&gt;0),I129-F129-IF(N(G129)&gt;0,0.5,0)-IF(N(H129)&gt;0,0.5,0),0)</f>
        <v/>
      </c>
      <c r="K129" s="5" t="n"/>
      <c r="L129" s="7">
        <f>MIN(J129,10.0)</f>
        <v/>
      </c>
      <c r="M129" s="7">
        <f>MAX(0,MIN(J129,12)-10.0)</f>
        <v/>
      </c>
      <c r="N129" s="7">
        <f>MAX(0,J129-12)</f>
        <v/>
      </c>
      <c r="O129" s="5" t="n"/>
      <c r="P129" s="6">
        <f>E129*(L129+M129*1.5+N129*2+O129*3+N(K129))</f>
        <v/>
      </c>
      <c r="Q129" s="6" t="n">
        <v>357.12</v>
      </c>
      <c r="R129" s="6">
        <f>Q129-P129</f>
        <v/>
      </c>
    </row>
    <row r="130">
      <c r="A130" s="5" t="inlineStr">
        <is>
          <t>2502</t>
        </is>
      </c>
      <c r="B130" s="5" t="inlineStr"/>
      <c r="C130" s="5" t="inlineStr">
        <is>
          <t>STUDIOBESTBOYGRIP</t>
        </is>
      </c>
      <c r="D130" s="5" t="inlineStr">
        <is>
          <t>Local80</t>
        </is>
      </c>
      <c r="E130" s="6" t="n">
        <v>43.05</v>
      </c>
      <c r="F130" s="5" t="n"/>
      <c r="G130" s="5" t="n"/>
      <c r="H130" s="5" t="n"/>
      <c r="I130" s="5" t="n"/>
      <c r="J130" s="7">
        <f>IF(AND(N(F130)&gt;0,N(I130)&gt;0),I130-F130-IF(N(G130)&gt;0,0.5,0)-IF(N(H130)&gt;0,0.5,0),0)</f>
        <v/>
      </c>
      <c r="K130" s="5" t="n"/>
      <c r="L130" s="7">
        <f>MIN(J130,10.0)</f>
        <v/>
      </c>
      <c r="M130" s="7">
        <f>MAX(0,MIN(J130,12)-10.0)</f>
        <v/>
      </c>
      <c r="N130" s="7">
        <f>MAX(0,J130-12)</f>
        <v/>
      </c>
      <c r="O130" s="5" t="n"/>
      <c r="P130" s="6">
        <f>E130*(L130+M130*1.5+N130*2+O130*3+N(K130))</f>
        <v/>
      </c>
      <c r="Q130" s="6" t="n">
        <v>667.27</v>
      </c>
      <c r="R130" s="6">
        <f>Q130-P130</f>
        <v/>
      </c>
    </row>
    <row r="131">
      <c r="P131" s="2" t="inlineStr">
        <is>
          <t>BESTBOYGRIP LABOR</t>
        </is>
      </c>
      <c r="R131" s="8">
        <f>SUM(R129:R130)</f>
        <v/>
      </c>
    </row>
    <row r="133">
      <c r="B133" s="2" t="inlineStr">
        <is>
          <t>DOLLYGRIP</t>
        </is>
      </c>
    </row>
    <row r="134">
      <c r="A134" s="5" t="inlineStr">
        <is>
          <t>2503</t>
        </is>
      </c>
      <c r="B134" s="5" t="inlineStr">
        <is>
          <t>Peter Weidenfeller</t>
        </is>
      </c>
      <c r="C134" s="5" t="inlineStr">
        <is>
          <t>"A"DOLLYGRIP</t>
        </is>
      </c>
      <c r="D134" s="5" t="inlineStr">
        <is>
          <t>Local80</t>
        </is>
      </c>
      <c r="E134" s="6" t="n">
        <v>23.04</v>
      </c>
      <c r="F134" s="5" t="n"/>
      <c r="G134" s="5" t="n"/>
      <c r="H134" s="5" t="n"/>
      <c r="I134" s="5" t="n"/>
      <c r="J134" s="7">
        <f>IF(AND(N(F134)&gt;0,N(I134)&gt;0),I134-F134-IF(N(G134)&gt;0,0.5,0)-IF(N(H134)&gt;0,0.5,0),0)</f>
        <v/>
      </c>
      <c r="K134" s="5" t="n"/>
      <c r="L134" s="7">
        <f>MIN(J134,10.0)</f>
        <v/>
      </c>
      <c r="M134" s="7">
        <f>MAX(0,MIN(J134,12)-10.0)</f>
        <v/>
      </c>
      <c r="N134" s="7">
        <f>MAX(0,J134-12)</f>
        <v/>
      </c>
      <c r="O134" s="5" t="n"/>
      <c r="P134" s="6">
        <f>E134*(L134+M134*1.5+N134*2+O134*3+N(K134))</f>
        <v/>
      </c>
      <c r="Q134" s="6" t="n">
        <v>357.12</v>
      </c>
      <c r="R134" s="6">
        <f>Q134-P134</f>
        <v/>
      </c>
    </row>
    <row r="135">
      <c r="P135" s="2" t="inlineStr">
        <is>
          <t>DOLLYGRIP LABOR</t>
        </is>
      </c>
      <c r="R135" s="8">
        <f>SUM(R134:R134)</f>
        <v/>
      </c>
    </row>
    <row r="137">
      <c r="B137" s="2" t="inlineStr">
        <is>
          <t>CRANEGRIPS</t>
        </is>
      </c>
    </row>
    <row r="138">
      <c r="A138" s="5" t="inlineStr">
        <is>
          <t>2504</t>
        </is>
      </c>
      <c r="B138" s="5" t="inlineStr"/>
      <c r="C138" s="5" t="inlineStr">
        <is>
          <t>CRANEOPERATOR</t>
        </is>
      </c>
      <c r="D138" s="5" t="inlineStr">
        <is>
          <t>Local80</t>
        </is>
      </c>
      <c r="E138" s="6" t="n">
        <v>792</v>
      </c>
      <c r="F138" s="5" t="n"/>
      <c r="G138" s="5" t="n"/>
      <c r="H138" s="5" t="n"/>
      <c r="I138" s="5" t="n"/>
      <c r="J138" s="7">
        <f>IF(AND(N(F138)&gt;0,N(I138)&gt;0),I138-F138-IF(N(G138)&gt;0,0.5,0)-IF(N(H138)&gt;0,0.5,0),0)</f>
        <v/>
      </c>
      <c r="K138" s="5" t="n"/>
      <c r="L138" s="7">
        <f>MIN(J138,10.0)</f>
        <v/>
      </c>
      <c r="M138" s="7">
        <f>MAX(0,MIN(J138,12)-10.0)</f>
        <v/>
      </c>
      <c r="N138" s="7">
        <f>MAX(0,J138-12)</f>
        <v/>
      </c>
      <c r="O138" s="5" t="n"/>
      <c r="P138" s="6">
        <f>E138*(L138+M138*1.5+N138*2+O138*3+N(K138))</f>
        <v/>
      </c>
      <c r="Q138" s="6" t="n">
        <v>924</v>
      </c>
      <c r="R138" s="6">
        <f>Q138-P138</f>
        <v/>
      </c>
    </row>
    <row r="139">
      <c r="A139" s="5" t="inlineStr">
        <is>
          <t>2504</t>
        </is>
      </c>
      <c r="B139" s="5" t="inlineStr"/>
      <c r="C139" s="5" t="inlineStr">
        <is>
          <t>CRANEASSISTANT</t>
        </is>
      </c>
      <c r="D139" s="5" t="inlineStr">
        <is>
          <t>Local80</t>
        </is>
      </c>
      <c r="E139" s="6" t="n">
        <v>660</v>
      </c>
      <c r="F139" s="5" t="n"/>
      <c r="G139" s="5" t="n"/>
      <c r="H139" s="5" t="n"/>
      <c r="I139" s="5" t="n"/>
      <c r="J139" s="7">
        <f>IF(AND(N(F139)&gt;0,N(I139)&gt;0),I139-F139-IF(N(G139)&gt;0,0.5,0)-IF(N(H139)&gt;0,0.5,0),0)</f>
        <v/>
      </c>
      <c r="K139" s="5" t="n"/>
      <c r="L139" s="7">
        <f>MIN(J139,10.0)</f>
        <v/>
      </c>
      <c r="M139" s="7">
        <f>MAX(0,MIN(J139,12)-10.0)</f>
        <v/>
      </c>
      <c r="N139" s="7">
        <f>MAX(0,J139-12)</f>
        <v/>
      </c>
      <c r="O139" s="5" t="n"/>
      <c r="P139" s="6">
        <f>E139*(L139+M139*1.5+N139*2+O139*3+N(K139))</f>
        <v/>
      </c>
      <c r="Q139" s="6" t="n">
        <v>770</v>
      </c>
      <c r="R139" s="6">
        <f>Q139-P139</f>
        <v/>
      </c>
    </row>
    <row r="140">
      <c r="P140" s="2" t="inlineStr">
        <is>
          <t>CRANEGRIPS LABOR</t>
        </is>
      </c>
      <c r="R140" s="8">
        <f>SUM(R138:R139)</f>
        <v/>
      </c>
    </row>
    <row r="142">
      <c r="B142" s="2" t="inlineStr">
        <is>
          <t>COMPANYGRIPS</t>
        </is>
      </c>
    </row>
    <row r="143">
      <c r="A143" s="5" t="inlineStr">
        <is>
          <t>2505</t>
        </is>
      </c>
      <c r="B143" s="5" t="inlineStr"/>
      <c r="C143" s="5" t="inlineStr">
        <is>
          <t>GRIP#1</t>
        </is>
      </c>
      <c r="D143" s="5" t="inlineStr">
        <is>
          <t>Local80</t>
        </is>
      </c>
      <c r="E143" s="6" t="n">
        <v>20.57</v>
      </c>
      <c r="F143" s="5" t="n"/>
      <c r="G143" s="5" t="n"/>
      <c r="H143" s="5" t="n"/>
      <c r="I143" s="5" t="n"/>
      <c r="J143" s="7">
        <f>IF(AND(N(F143)&gt;0,N(I143)&gt;0),I143-F143-IF(N(G143)&gt;0,0.5,0)-IF(N(H143)&gt;0,0.5,0),0)</f>
        <v/>
      </c>
      <c r="K143" s="5" t="n"/>
      <c r="L143" s="7">
        <f>MIN(J143,10.0)</f>
        <v/>
      </c>
      <c r="M143" s="7">
        <f>MAX(0,MIN(J143,12)-10.0)</f>
        <v/>
      </c>
      <c r="N143" s="7">
        <f>MAX(0,J143-12)</f>
        <v/>
      </c>
      <c r="O143" s="5" t="n"/>
      <c r="P143" s="6">
        <f>E143*(L143+M143*1.5+N143*2+O143*3+N(K143))</f>
        <v/>
      </c>
      <c r="Q143" s="6" t="n">
        <v>318.83</v>
      </c>
      <c r="R143" s="6">
        <f>Q143-P143</f>
        <v/>
      </c>
    </row>
    <row r="144">
      <c r="A144" s="5" t="inlineStr">
        <is>
          <t>2505</t>
        </is>
      </c>
      <c r="B144" s="5" t="inlineStr"/>
      <c r="C144" s="5" t="inlineStr">
        <is>
          <t>GRIP#2</t>
        </is>
      </c>
      <c r="D144" s="5" t="inlineStr">
        <is>
          <t>Local80</t>
        </is>
      </c>
      <c r="E144" s="6" t="n">
        <v>20.57</v>
      </c>
      <c r="F144" s="5" t="n"/>
      <c r="G144" s="5" t="n"/>
      <c r="H144" s="5" t="n"/>
      <c r="I144" s="5" t="n"/>
      <c r="J144" s="7">
        <f>IF(AND(N(F144)&gt;0,N(I144)&gt;0),I144-F144-IF(N(G144)&gt;0,0.5,0)-IF(N(H144)&gt;0,0.5,0),0)</f>
        <v/>
      </c>
      <c r="K144" s="5" t="n"/>
      <c r="L144" s="7">
        <f>MIN(J144,10.0)</f>
        <v/>
      </c>
      <c r="M144" s="7">
        <f>MAX(0,MIN(J144,12)-10.0)</f>
        <v/>
      </c>
      <c r="N144" s="7">
        <f>MAX(0,J144-12)</f>
        <v/>
      </c>
      <c r="O144" s="5" t="n"/>
      <c r="P144" s="6">
        <f>E144*(L144+M144*1.5+N144*2+O144*3+N(K144))</f>
        <v/>
      </c>
      <c r="Q144" s="6" t="n">
        <v>318.83</v>
      </c>
      <c r="R144" s="6">
        <f>Q144-P144</f>
        <v/>
      </c>
    </row>
    <row r="145">
      <c r="A145" s="5" t="inlineStr">
        <is>
          <t>2505</t>
        </is>
      </c>
      <c r="B145" s="5" t="inlineStr"/>
      <c r="C145" s="5" t="inlineStr">
        <is>
          <t>GRIP#3</t>
        </is>
      </c>
      <c r="D145" s="5" t="inlineStr">
        <is>
          <t>Local80</t>
        </is>
      </c>
      <c r="E145" s="6" t="n">
        <v>20.57</v>
      </c>
      <c r="F145" s="5" t="n"/>
      <c r="G145" s="5" t="n"/>
      <c r="H145" s="5" t="n"/>
      <c r="I145" s="5" t="n"/>
      <c r="J145" s="7">
        <f>IF(AND(N(F145)&gt;0,N(I145)&gt;0),I145-F145-IF(N(G145)&gt;0,0.5,0)-IF(N(H145)&gt;0,0.5,0),0)</f>
        <v/>
      </c>
      <c r="K145" s="5" t="n"/>
      <c r="L145" s="7">
        <f>MIN(J145,10.0)</f>
        <v/>
      </c>
      <c r="M145" s="7">
        <f>MAX(0,MIN(J145,12)-10.0)</f>
        <v/>
      </c>
      <c r="N145" s="7">
        <f>MAX(0,J145-12)</f>
        <v/>
      </c>
      <c r="O145" s="5" t="n"/>
      <c r="P145" s="6">
        <f>E145*(L145+M145*1.5+N145*2+O145*3+N(K145))</f>
        <v/>
      </c>
      <c r="Q145" s="6" t="n">
        <v>318.83</v>
      </c>
      <c r="R145" s="6">
        <f>Q145-P145</f>
        <v/>
      </c>
    </row>
    <row r="146">
      <c r="P146" s="2" t="inlineStr">
        <is>
          <t>COMPANYGRIPS LABOR</t>
        </is>
      </c>
      <c r="R146" s="8">
        <f>SUM(R143:R145)</f>
        <v/>
      </c>
    </row>
    <row r="148">
      <c r="B148" s="2" t="inlineStr">
        <is>
          <t>OTHERLABOR</t>
        </is>
      </c>
    </row>
    <row r="149">
      <c r="A149" s="5" t="inlineStr">
        <is>
          <t>2506</t>
        </is>
      </c>
      <c r="B149" s="5" t="inlineStr"/>
      <c r="C149" s="5" t="inlineStr">
        <is>
          <t>GRIPMANDAYS&amp;RIGGINGMANDAYS</t>
        </is>
      </c>
      <c r="D149" s="5" t="inlineStr">
        <is>
          <t>Local80</t>
        </is>
      </c>
      <c r="E149" s="6" t="n">
        <v>20.57</v>
      </c>
      <c r="F149" s="5" t="n"/>
      <c r="G149" s="5" t="n"/>
      <c r="H149" s="5" t="n"/>
      <c r="I149" s="5" t="n"/>
      <c r="J149" s="7">
        <f>IF(AND(N(F149)&gt;0,N(I149)&gt;0),I149-F149-IF(N(G149)&gt;0,0.5,0)-IF(N(H149)&gt;0,0.5,0),0)</f>
        <v/>
      </c>
      <c r="K149" s="5" t="n"/>
      <c r="L149" s="7">
        <f>MIN(J149,10.0)</f>
        <v/>
      </c>
      <c r="M149" s="7">
        <f>MAX(0,MIN(J149,12)-10.0)</f>
        <v/>
      </c>
      <c r="N149" s="7">
        <f>MAX(0,J149-12)</f>
        <v/>
      </c>
      <c r="O149" s="5" t="n"/>
      <c r="P149" s="6">
        <f>E149*(L149+M149*1.5+N149*2+O149*3+N(K149))</f>
        <v/>
      </c>
      <c r="Q149" s="6" t="n">
        <v>318.83</v>
      </c>
      <c r="R149" s="6">
        <f>Q149-P149</f>
        <v/>
      </c>
    </row>
    <row r="150">
      <c r="P150" s="2" t="inlineStr">
        <is>
          <t>OTHERLABOR LABOR</t>
        </is>
      </c>
      <c r="R150" s="8">
        <f>SUM(R149:R149)</f>
        <v/>
      </c>
    </row>
    <row r="152">
      <c r="B152" s="2" t="inlineStr">
        <is>
          <t>STANDBYLABOR</t>
        </is>
      </c>
    </row>
    <row r="153">
      <c r="A153" s="5" t="inlineStr">
        <is>
          <t>2510</t>
        </is>
      </c>
      <c r="B153" s="5" t="inlineStr"/>
      <c r="C153" s="5" t="inlineStr">
        <is>
          <t>LAYOUTBOARD</t>
        </is>
      </c>
      <c r="D153" s="5" t="inlineStr">
        <is>
          <t>Local729</t>
        </is>
      </c>
      <c r="E153" s="6" t="n">
        <v>25.5</v>
      </c>
      <c r="F153" s="5" t="n"/>
      <c r="G153" s="5" t="n"/>
      <c r="H153" s="5" t="n"/>
      <c r="I153" s="5" t="n"/>
      <c r="J153" s="7">
        <f>IF(AND(N(F153)&gt;0,N(I153)&gt;0),I153-F153-IF(N(G153)&gt;0,0.5,0)-IF(N(H153)&gt;0,0.5,0),0)</f>
        <v/>
      </c>
      <c r="K153" s="5" t="n"/>
      <c r="L153" s="7">
        <f>MIN(J153,10.0)</f>
        <v/>
      </c>
      <c r="M153" s="7">
        <f>MAX(0,MIN(J153,12)-10.0)</f>
        <v/>
      </c>
      <c r="N153" s="7">
        <f>MAX(0,J153-12)</f>
        <v/>
      </c>
      <c r="O153" s="5" t="n"/>
      <c r="P153" s="6">
        <f>E153*(L153+M153*1.5+N153*2+O153*3+N(K153))</f>
        <v/>
      </c>
      <c r="Q153" s="6" t="n">
        <v>395.25</v>
      </c>
      <c r="R153" s="6">
        <f>Q153-P153</f>
        <v/>
      </c>
    </row>
    <row r="154">
      <c r="P154" s="2" t="inlineStr">
        <is>
          <t>STANDBYLABOR LABOR</t>
        </is>
      </c>
      <c r="R154" s="8">
        <f>SUM(R153:R153)</f>
        <v/>
      </c>
    </row>
    <row r="156">
      <c r="B156" s="2" t="inlineStr">
        <is>
          <t>SETCRAFTSERVICELABOR</t>
        </is>
      </c>
    </row>
    <row r="157">
      <c r="A157" s="5" t="inlineStr">
        <is>
          <t>2511</t>
        </is>
      </c>
      <c r="B157" s="5" t="inlineStr">
        <is>
          <t>Maurico Solis</t>
        </is>
      </c>
      <c r="C157" s="5" t="inlineStr">
        <is>
          <t>KEYCRAFTSERVICE</t>
        </is>
      </c>
      <c r="D157" s="5" t="inlineStr">
        <is>
          <t>Local80</t>
        </is>
      </c>
      <c r="E157" s="6" t="n">
        <v>25.5</v>
      </c>
      <c r="F157" s="5" t="n"/>
      <c r="G157" s="5" t="n"/>
      <c r="H157" s="5" t="n"/>
      <c r="I157" s="5" t="n"/>
      <c r="J157" s="7">
        <f>IF(AND(N(F157)&gt;0,N(I157)&gt;0),I157-F157-IF(N(G157)&gt;0,0.5,0)-IF(N(H157)&gt;0,0.5,0),0)</f>
        <v/>
      </c>
      <c r="K157" s="5" t="n"/>
      <c r="L157" s="7">
        <f>MIN(J157,10.0)</f>
        <v/>
      </c>
      <c r="M157" s="7">
        <f>MAX(0,MIN(J157,12)-10.0)</f>
        <v/>
      </c>
      <c r="N157" s="7">
        <f>MAX(0,J157-12)</f>
        <v/>
      </c>
      <c r="O157" s="5" t="n"/>
      <c r="P157" s="6">
        <f>E157*(L157+M157*1.5+N157*2+O157*3+N(K157))</f>
        <v/>
      </c>
      <c r="Q157" s="6" t="n">
        <v>439.87</v>
      </c>
      <c r="R157" s="6">
        <f>Q157-P157</f>
        <v/>
      </c>
    </row>
    <row r="158">
      <c r="A158" s="5" t="inlineStr">
        <is>
          <t>2511</t>
        </is>
      </c>
      <c r="B158" s="5" t="inlineStr"/>
      <c r="C158" s="5" t="inlineStr">
        <is>
          <t>ASSTCRAFTSERVICE</t>
        </is>
      </c>
      <c r="D158" s="5" t="inlineStr">
        <is>
          <t>Local80</t>
        </is>
      </c>
      <c r="E158" s="6" t="n">
        <v>23.04</v>
      </c>
      <c r="F158" s="5" t="n"/>
      <c r="G158" s="5" t="n"/>
      <c r="H158" s="5" t="n"/>
      <c r="I158" s="5" t="n"/>
      <c r="J158" s="7">
        <f>IF(AND(N(F158)&gt;0,N(I158)&gt;0),I158-F158-IF(N(G158)&gt;0,0.5,0)-IF(N(H158)&gt;0,0.5,0),0)</f>
        <v/>
      </c>
      <c r="K158" s="5" t="n"/>
      <c r="L158" s="7">
        <f>MIN(J158,10.0)</f>
        <v/>
      </c>
      <c r="M158" s="7">
        <f>MAX(0,MIN(J158,12)-10.0)</f>
        <v/>
      </c>
      <c r="N158" s="7">
        <f>MAX(0,J158-12)</f>
        <v/>
      </c>
      <c r="O158" s="5" t="n"/>
      <c r="P158" s="6">
        <f>E158*(L158+M158*1.5+N158*2+O158*3+N(K158))</f>
        <v/>
      </c>
      <c r="Q158" s="6" t="n">
        <v>397.43</v>
      </c>
      <c r="R158" s="6">
        <f>Q158-P158</f>
        <v/>
      </c>
    </row>
    <row r="159">
      <c r="P159" s="2" t="inlineStr">
        <is>
          <t>SETCRAFTSERVICELABOR LABOR</t>
        </is>
      </c>
      <c r="R159" s="8">
        <f>SUM(R157:R158)</f>
        <v/>
      </c>
    </row>
    <row r="161">
      <c r="B161" s="2" t="inlineStr">
        <is>
          <t>SETFIRSTAIDLABOR</t>
        </is>
      </c>
    </row>
    <row r="162">
      <c r="A162" s="5" t="inlineStr">
        <is>
          <t>2514</t>
        </is>
      </c>
      <c r="B162" s="5" t="inlineStr">
        <is>
          <t>Robert Hill</t>
        </is>
      </c>
      <c r="C162" s="5" t="inlineStr">
        <is>
          <t>SETMEDIC</t>
        </is>
      </c>
      <c r="D162" s="5" t="inlineStr">
        <is>
          <t>Local80</t>
        </is>
      </c>
      <c r="E162" s="6" t="n">
        <v>23.04</v>
      </c>
      <c r="F162" s="5" t="n"/>
      <c r="G162" s="5" t="n"/>
      <c r="H162" s="5" t="n"/>
      <c r="I162" s="5" t="n"/>
      <c r="J162" s="7">
        <f>IF(AND(N(F162)&gt;0,N(I162)&gt;0),I162-F162-IF(N(G162)&gt;0,0.5,0)-IF(N(H162)&gt;0,0.5,0),0)</f>
        <v/>
      </c>
      <c r="K162" s="5" t="n"/>
      <c r="L162" s="7">
        <f>MIN(J162,10.0)</f>
        <v/>
      </c>
      <c r="M162" s="7">
        <f>MAX(0,MIN(J162,12)-10.0)</f>
        <v/>
      </c>
      <c r="N162" s="7">
        <f>MAX(0,J162-12)</f>
        <v/>
      </c>
      <c r="O162" s="5" t="n"/>
      <c r="P162" s="6">
        <f>E162*(L162+M162*1.5+N162*2+O162*3+N(K162))</f>
        <v/>
      </c>
      <c r="Q162" s="6" t="n">
        <v>397.43</v>
      </c>
      <c r="R162" s="6">
        <f>Q162-P162</f>
        <v/>
      </c>
    </row>
    <row r="163">
      <c r="A163" s="5" t="inlineStr">
        <is>
          <t>2514</t>
        </is>
      </c>
      <c r="B163" s="5" t="inlineStr"/>
      <c r="C163" s="5" t="inlineStr">
        <is>
          <t>RIGGINGMEDICMANDAYS</t>
        </is>
      </c>
      <c r="D163" s="5" t="inlineStr">
        <is>
          <t>Local80</t>
        </is>
      </c>
      <c r="E163" s="6" t="n">
        <v>23.04</v>
      </c>
      <c r="F163" s="5" t="n"/>
      <c r="G163" s="5" t="n"/>
      <c r="H163" s="5" t="n"/>
      <c r="I163" s="5" t="n"/>
      <c r="J163" s="7">
        <f>IF(AND(N(F163)&gt;0,N(I163)&gt;0),I163-F163-IF(N(G163)&gt;0,0.5,0)-IF(N(H163)&gt;0,0.5,0),0)</f>
        <v/>
      </c>
      <c r="K163" s="5" t="n"/>
      <c r="L163" s="7">
        <f>MIN(J163,10.0)</f>
        <v/>
      </c>
      <c r="M163" s="7">
        <f>MAX(0,MIN(J163,12)-10.0)</f>
        <v/>
      </c>
      <c r="N163" s="7">
        <f>MAX(0,J163-12)</f>
        <v/>
      </c>
      <c r="O163" s="5" t="n"/>
      <c r="P163" s="6">
        <f>E163*(L163+M163*1.5+N163*2+O163*3+N(K163))</f>
        <v/>
      </c>
      <c r="Q163" s="5" t="n"/>
      <c r="R163" s="6">
        <f>Q163-P163</f>
        <v/>
      </c>
    </row>
    <row r="164">
      <c r="P164" s="2" t="inlineStr">
        <is>
          <t>SETFIRSTAIDLABOR LABOR</t>
        </is>
      </c>
      <c r="R164" s="8">
        <f>SUM(R162:R163)</f>
        <v/>
      </c>
    </row>
    <row r="166">
      <c r="B166" s="2" t="inlineStr">
        <is>
          <t>SFXCOORDINATOR</t>
        </is>
      </c>
    </row>
    <row r="167">
      <c r="A167" s="5" t="inlineStr">
        <is>
          <t>2601</t>
        </is>
      </c>
      <c r="B167" s="5" t="inlineStr">
        <is>
          <t>Zak Knight</t>
        </is>
      </c>
      <c r="C167" s="5" t="inlineStr">
        <is>
          <t>SPFXCOORDINATOR</t>
        </is>
      </c>
      <c r="D167" s="5" t="inlineStr">
        <is>
          <t>Local44</t>
        </is>
      </c>
      <c r="E167" s="6" t="n">
        <v>42</v>
      </c>
      <c r="F167" s="5" t="n"/>
      <c r="G167" s="5" t="n"/>
      <c r="H167" s="5" t="n"/>
      <c r="I167" s="5" t="n"/>
      <c r="J167" s="7">
        <f>IF(AND(N(F167)&gt;0,N(I167)&gt;0),I167-F167-IF(N(G167)&gt;0,0.5,0)-IF(N(H167)&gt;0,0.5,0),0)</f>
        <v/>
      </c>
      <c r="K167" s="5" t="n"/>
      <c r="L167" s="7">
        <f>MIN(J167,10.0)</f>
        <v/>
      </c>
      <c r="M167" s="7">
        <f>MAX(0,MIN(J167,12)-10.0)</f>
        <v/>
      </c>
      <c r="N167" s="7">
        <f>MAX(0,J167-12)</f>
        <v/>
      </c>
      <c r="O167" s="5" t="n"/>
      <c r="P167" s="6">
        <f>E167*(L167+M167*1.5+N167*2+O167*3+N(K167))</f>
        <v/>
      </c>
      <c r="Q167" s="6" t="n">
        <v>651</v>
      </c>
      <c r="R167" s="6">
        <f>Q167-P167</f>
        <v/>
      </c>
    </row>
    <row r="168">
      <c r="P168" s="2" t="inlineStr">
        <is>
          <t>SFXCOORDINATOR LABOR</t>
        </is>
      </c>
      <c r="R168" s="8">
        <f>SUM(R167:R167)</f>
        <v/>
      </c>
    </row>
    <row r="170">
      <c r="B170" s="2" t="inlineStr">
        <is>
          <t>SFXTECHMANDAYS</t>
        </is>
      </c>
    </row>
    <row r="171">
      <c r="A171" s="5" t="inlineStr">
        <is>
          <t>2609</t>
        </is>
      </c>
      <c r="B171" s="5" t="inlineStr"/>
      <c r="C171" s="5" t="inlineStr">
        <is>
          <t>SPFXTECHMANDAYS</t>
        </is>
      </c>
      <c r="D171" s="5" t="inlineStr">
        <is>
          <t>Local44</t>
        </is>
      </c>
      <c r="E171" s="6" t="n">
        <v>40</v>
      </c>
      <c r="F171" s="5" t="n"/>
      <c r="G171" s="5" t="n"/>
      <c r="H171" s="5" t="n"/>
      <c r="I171" s="5" t="n"/>
      <c r="J171" s="7">
        <f>IF(AND(N(F171)&gt;0,N(I171)&gt;0),I171-F171-IF(N(G171)&gt;0,0.5,0)-IF(N(H171)&gt;0,0.5,0),0)</f>
        <v/>
      </c>
      <c r="K171" s="5" t="n"/>
      <c r="L171" s="7">
        <f>MIN(J171,10.0)</f>
        <v/>
      </c>
      <c r="M171" s="7">
        <f>MAX(0,MIN(J171,12)-10.0)</f>
        <v/>
      </c>
      <c r="N171" s="7">
        <f>MAX(0,J171-12)</f>
        <v/>
      </c>
      <c r="O171" s="5" t="n"/>
      <c r="P171" s="6">
        <f>E171*(L171+M171*1.5+N171*2+O171*3+N(K171))</f>
        <v/>
      </c>
      <c r="Q171" s="6" t="n">
        <v>620</v>
      </c>
      <c r="R171" s="6">
        <f>Q171-P171</f>
        <v/>
      </c>
    </row>
    <row r="172">
      <c r="A172" s="5" t="inlineStr">
        <is>
          <t>2609</t>
        </is>
      </c>
      <c r="B172" s="5" t="inlineStr"/>
      <c r="C172" s="5" t="inlineStr">
        <is>
          <t>SPFXASSISTANTMANDAYS</t>
        </is>
      </c>
      <c r="D172" s="5" t="inlineStr">
        <is>
          <t>Local44</t>
        </is>
      </c>
      <c r="E172" s="6" t="n">
        <v>25.5</v>
      </c>
      <c r="F172" s="5" t="n"/>
      <c r="G172" s="5" t="n"/>
      <c r="H172" s="5" t="n"/>
      <c r="I172" s="5" t="n"/>
      <c r="J172" s="7">
        <f>IF(AND(N(F172)&gt;0,N(I172)&gt;0),I172-F172-IF(N(G172)&gt;0,0.5,0)-IF(N(H172)&gt;0,0.5,0),0)</f>
        <v/>
      </c>
      <c r="K172" s="5" t="n"/>
      <c r="L172" s="7">
        <f>MIN(J172,10.0)</f>
        <v/>
      </c>
      <c r="M172" s="7">
        <f>MAX(0,MIN(J172,12)-10.0)</f>
        <v/>
      </c>
      <c r="N172" s="7">
        <f>MAX(0,J172-12)</f>
        <v/>
      </c>
      <c r="O172" s="5" t="n"/>
      <c r="P172" s="6">
        <f>E172*(L172+M172*1.5+N172*2+O172*3+N(K172))</f>
        <v/>
      </c>
      <c r="Q172" s="6" t="n">
        <v>395.25</v>
      </c>
      <c r="R172" s="6">
        <f>Q172-P172</f>
        <v/>
      </c>
    </row>
    <row r="173">
      <c r="A173" s="5" t="inlineStr">
        <is>
          <t>2609</t>
        </is>
      </c>
      <c r="B173" s="5" t="inlineStr"/>
      <c r="C173" s="5" t="inlineStr">
        <is>
          <t>PYROMANDAYS</t>
        </is>
      </c>
      <c r="D173" s="5" t="inlineStr">
        <is>
          <t>Local44</t>
        </is>
      </c>
      <c r="E173" s="6" t="n">
        <v>68.18000000000001</v>
      </c>
      <c r="F173" s="5" t="n"/>
      <c r="G173" s="5" t="n"/>
      <c r="H173" s="5" t="n"/>
      <c r="I173" s="5" t="n"/>
      <c r="J173" s="7">
        <f>IF(AND(N(F173)&gt;0,N(I173)&gt;0),I173-F173-IF(N(G173)&gt;0,0.5,0)-IF(N(H173)&gt;0,0.5,0),0)</f>
        <v/>
      </c>
      <c r="K173" s="5" t="n"/>
      <c r="L173" s="7">
        <f>MIN(J173,10.0)</f>
        <v/>
      </c>
      <c r="M173" s="7">
        <f>MAX(0,MIN(J173,12)-10.0)</f>
        <v/>
      </c>
      <c r="N173" s="7">
        <f>MAX(0,J173-12)</f>
        <v/>
      </c>
      <c r="O173" s="5" t="n"/>
      <c r="P173" s="6">
        <f>E173*(L173+M173*1.5+N173*2+O173*3+N(K173))</f>
        <v/>
      </c>
      <c r="Q173" s="6" t="n">
        <v>749.98</v>
      </c>
      <c r="R173" s="6">
        <f>Q173-P173</f>
        <v/>
      </c>
    </row>
    <row r="174">
      <c r="P174" s="2" t="inlineStr">
        <is>
          <t>SFXTECHMANDAYS LABOR</t>
        </is>
      </c>
      <c r="R174" s="8">
        <f>SUM(R171:R173)</f>
        <v/>
      </c>
    </row>
    <row r="176">
      <c r="B176" s="2" t="inlineStr">
        <is>
          <t>SETDECORATOR</t>
        </is>
      </c>
    </row>
    <row r="177">
      <c r="A177" s="5" t="inlineStr">
        <is>
          <t>2701</t>
        </is>
      </c>
      <c r="B177" s="5" t="inlineStr">
        <is>
          <t>Sandy Skora</t>
        </is>
      </c>
      <c r="C177" s="5" t="inlineStr">
        <is>
          <t>SETDECORATOR</t>
        </is>
      </c>
      <c r="D177" s="5" t="inlineStr">
        <is>
          <t>Local44</t>
        </is>
      </c>
      <c r="E177" s="6" t="n">
        <v>400</v>
      </c>
      <c r="F177" s="5" t="n"/>
      <c r="G177" s="5" t="n"/>
      <c r="H177" s="5" t="n"/>
      <c r="I177" s="5" t="n"/>
      <c r="J177" s="7">
        <f>IF(AND(N(F177)&gt;0,N(I177)&gt;0),I177-F177-IF(N(G177)&gt;0,0.5,0)-IF(N(H177)&gt;0,0.5,0),0)</f>
        <v/>
      </c>
      <c r="K177" s="5" t="n"/>
      <c r="L177" s="7">
        <f>MIN(J177,10.0)</f>
        <v/>
      </c>
      <c r="M177" s="7">
        <f>MAX(0,MIN(J177,12)-10.0)</f>
        <v/>
      </c>
      <c r="N177" s="7">
        <f>MAX(0,J177-12)</f>
        <v/>
      </c>
      <c r="O177" s="5" t="n"/>
      <c r="P177" s="6">
        <f>E177*(L177+M177*1.5+N177*2+O177*3+N(K177))</f>
        <v/>
      </c>
      <c r="Q177" s="6" t="n">
        <v>400</v>
      </c>
      <c r="R177" s="6">
        <f>Q177-P177</f>
        <v/>
      </c>
    </row>
    <row r="178">
      <c r="P178" s="2" t="inlineStr">
        <is>
          <t>SETDECORATOR LABOR</t>
        </is>
      </c>
      <c r="R178" s="8">
        <f>SUM(R177:R177)</f>
        <v/>
      </c>
    </row>
    <row r="180">
      <c r="B180" s="2" t="inlineStr">
        <is>
          <t>LEADPERSON</t>
        </is>
      </c>
    </row>
    <row r="181">
      <c r="A181" s="5" t="inlineStr">
        <is>
          <t>2702</t>
        </is>
      </c>
      <c r="B181" s="5" t="inlineStr">
        <is>
          <t>Josh Richmond</t>
        </is>
      </c>
      <c r="C181" s="5" t="inlineStr">
        <is>
          <t>LEADPERSON</t>
        </is>
      </c>
      <c r="D181" s="5" t="inlineStr">
        <is>
          <t>Local44</t>
        </is>
      </c>
      <c r="E181" s="6" t="n">
        <v>23.04</v>
      </c>
      <c r="F181" s="5" t="n"/>
      <c r="G181" s="5" t="n"/>
      <c r="H181" s="5" t="n"/>
      <c r="I181" s="5" t="n"/>
      <c r="J181" s="7">
        <f>IF(AND(N(F181)&gt;0,N(I181)&gt;0),I181-F181-IF(N(G181)&gt;0,0.5,0)-IF(N(H181)&gt;0,0.5,0),0)</f>
        <v/>
      </c>
      <c r="K181" s="5" t="n"/>
      <c r="L181" s="7">
        <f>MIN(J181,10.0)</f>
        <v/>
      </c>
      <c r="M181" s="7">
        <f>MAX(0,MIN(J181,12)-10.0)</f>
        <v/>
      </c>
      <c r="N181" s="7">
        <f>MAX(0,J181-12)</f>
        <v/>
      </c>
      <c r="O181" s="5" t="n"/>
      <c r="P181" s="6">
        <f>E181*(L181+M181*1.5+N181*2+O181*3+N(K181))</f>
        <v/>
      </c>
      <c r="Q181" s="6" t="n">
        <v>322.56</v>
      </c>
      <c r="R181" s="6">
        <f>Q181-P181</f>
        <v/>
      </c>
    </row>
    <row r="182">
      <c r="P182" s="2" t="inlineStr">
        <is>
          <t>LEADPERSON LABOR</t>
        </is>
      </c>
      <c r="R182" s="8">
        <f>SUM(R181:R181)</f>
        <v/>
      </c>
    </row>
    <row r="184">
      <c r="B184" s="2" t="inlineStr">
        <is>
          <t>SWINGLABOR</t>
        </is>
      </c>
    </row>
    <row r="185">
      <c r="A185" s="5" t="inlineStr">
        <is>
          <t>2703</t>
        </is>
      </c>
      <c r="B185" s="5" t="inlineStr">
        <is>
          <t>Tim Dodge</t>
        </is>
      </c>
      <c r="C185" s="5" t="inlineStr">
        <is>
          <t>SWING#1</t>
        </is>
      </c>
      <c r="D185" s="5" t="inlineStr">
        <is>
          <t>Local44</t>
        </is>
      </c>
      <c r="E185" s="6" t="n">
        <v>20.57</v>
      </c>
      <c r="F185" s="5" t="n"/>
      <c r="G185" s="5" t="n"/>
      <c r="H185" s="5" t="n"/>
      <c r="I185" s="5" t="n"/>
      <c r="J185" s="7">
        <f>IF(AND(N(F185)&gt;0,N(I185)&gt;0),I185-F185-IF(N(G185)&gt;0,0.5,0)-IF(N(H185)&gt;0,0.5,0),0)</f>
        <v/>
      </c>
      <c r="K185" s="5" t="n"/>
      <c r="L185" s="7">
        <f>MIN(J185,10.0)</f>
        <v/>
      </c>
      <c r="M185" s="7">
        <f>MAX(0,MIN(J185,12)-10.0)</f>
        <v/>
      </c>
      <c r="N185" s="7">
        <f>MAX(0,J185-12)</f>
        <v/>
      </c>
      <c r="O185" s="5" t="n"/>
      <c r="P185" s="6">
        <f>E185*(L185+M185*1.5+N185*2+O185*3+N(K185))</f>
        <v/>
      </c>
      <c r="Q185" s="6" t="n">
        <v>287.98</v>
      </c>
      <c r="R185" s="6">
        <f>Q185-P185</f>
        <v/>
      </c>
    </row>
    <row r="186">
      <c r="A186" s="5" t="inlineStr">
        <is>
          <t>2703</t>
        </is>
      </c>
      <c r="B186" s="5" t="inlineStr"/>
      <c r="C186" s="5" t="inlineStr">
        <is>
          <t>SWING#2</t>
        </is>
      </c>
      <c r="D186" s="5" t="inlineStr">
        <is>
          <t>Local44</t>
        </is>
      </c>
      <c r="E186" s="6" t="n">
        <v>20.57</v>
      </c>
      <c r="F186" s="5" t="n"/>
      <c r="G186" s="5" t="n"/>
      <c r="H186" s="5" t="n"/>
      <c r="I186" s="5" t="n"/>
      <c r="J186" s="7">
        <f>IF(AND(N(F186)&gt;0,N(I186)&gt;0),I186-F186-IF(N(G186)&gt;0,0.5,0)-IF(N(H186)&gt;0,0.5,0),0)</f>
        <v/>
      </c>
      <c r="K186" s="5" t="n"/>
      <c r="L186" s="7">
        <f>MIN(J186,10.0)</f>
        <v/>
      </c>
      <c r="M186" s="7">
        <f>MAX(0,MIN(J186,12)-10.0)</f>
        <v/>
      </c>
      <c r="N186" s="7">
        <f>MAX(0,J186-12)</f>
        <v/>
      </c>
      <c r="O186" s="5" t="n"/>
      <c r="P186" s="6">
        <f>E186*(L186+M186*1.5+N186*2+O186*3+N(K186))</f>
        <v/>
      </c>
      <c r="Q186" s="6" t="n">
        <v>287.98</v>
      </c>
      <c r="R186" s="6">
        <f>Q186-P186</f>
        <v/>
      </c>
    </row>
    <row r="187">
      <c r="A187" s="5" t="inlineStr">
        <is>
          <t>2703</t>
        </is>
      </c>
      <c r="B187" s="5" t="inlineStr"/>
      <c r="C187" s="5" t="inlineStr">
        <is>
          <t>ADDITIONALSWINGMANDAYS</t>
        </is>
      </c>
      <c r="D187" s="5" t="inlineStr">
        <is>
          <t>Local44</t>
        </is>
      </c>
      <c r="E187" s="6" t="n">
        <v>20.57</v>
      </c>
      <c r="F187" s="5" t="n"/>
      <c r="G187" s="5" t="n"/>
      <c r="H187" s="5" t="n"/>
      <c r="I187" s="5" t="n"/>
      <c r="J187" s="7">
        <f>IF(AND(N(F187)&gt;0,N(I187)&gt;0),I187-F187-IF(N(G187)&gt;0,0.5,0)-IF(N(H187)&gt;0,0.5,0),0)</f>
        <v/>
      </c>
      <c r="K187" s="5" t="n"/>
      <c r="L187" s="7">
        <f>MIN(J187,10.0)</f>
        <v/>
      </c>
      <c r="M187" s="7">
        <f>MAX(0,MIN(J187,12)-10.0)</f>
        <v/>
      </c>
      <c r="N187" s="7">
        <f>MAX(0,J187-12)</f>
        <v/>
      </c>
      <c r="O187" s="5" t="n"/>
      <c r="P187" s="6">
        <f>E187*(L187+M187*1.5+N187*2+O187*3+N(K187))</f>
        <v/>
      </c>
      <c r="Q187" s="6" t="n">
        <v>287.98</v>
      </c>
      <c r="R187" s="6">
        <f>Q187-P187</f>
        <v/>
      </c>
    </row>
    <row r="188">
      <c r="P188" s="2" t="inlineStr">
        <is>
          <t>SWINGLABOR LABOR</t>
        </is>
      </c>
      <c r="R188" s="8">
        <f>SUM(R185:R187)</f>
        <v/>
      </c>
    </row>
    <row r="190">
      <c r="B190" s="2" t="inlineStr">
        <is>
          <t>ON-SETDRESSER</t>
        </is>
      </c>
    </row>
    <row r="191">
      <c r="A191" s="5" t="inlineStr">
        <is>
          <t>2705</t>
        </is>
      </c>
      <c r="B191" s="5" t="inlineStr">
        <is>
          <t>Khamisi Thurman</t>
        </is>
      </c>
      <c r="C191" s="5" t="inlineStr">
        <is>
          <t>ON-SETDRESSER</t>
        </is>
      </c>
      <c r="D191" s="5" t="inlineStr">
        <is>
          <t>Local44</t>
        </is>
      </c>
      <c r="E191" s="6" t="n">
        <v>20.57</v>
      </c>
      <c r="F191" s="5" t="n"/>
      <c r="G191" s="5" t="n"/>
      <c r="H191" s="5" t="n"/>
      <c r="I191" s="5" t="n"/>
      <c r="J191" s="7">
        <f>IF(AND(N(F191)&gt;0,N(I191)&gt;0),I191-F191-IF(N(G191)&gt;0,0.5,0)-IF(N(H191)&gt;0,0.5,0),0)</f>
        <v/>
      </c>
      <c r="K191" s="5" t="n"/>
      <c r="L191" s="7">
        <f>MIN(J191,10.0)</f>
        <v/>
      </c>
      <c r="M191" s="7">
        <f>MAX(0,MIN(J191,12)-10.0)</f>
        <v/>
      </c>
      <c r="N191" s="7">
        <f>MAX(0,J191-12)</f>
        <v/>
      </c>
      <c r="O191" s="5" t="n"/>
      <c r="P191" s="6">
        <f>E191*(L191+M191*1.5+N191*2+O191*3+N(K191))</f>
        <v/>
      </c>
      <c r="Q191" s="6" t="n">
        <v>318.83</v>
      </c>
      <c r="R191" s="6">
        <f>Q191-P191</f>
        <v/>
      </c>
    </row>
    <row r="192">
      <c r="P192" s="2" t="inlineStr">
        <is>
          <t>ON-SETDRESSER LABOR</t>
        </is>
      </c>
      <c r="R192" s="8">
        <f>SUM(R191:R191)</f>
        <v/>
      </c>
    </row>
    <row r="194">
      <c r="B194" s="2" t="inlineStr">
        <is>
          <t>BUYERS</t>
        </is>
      </c>
    </row>
    <row r="195">
      <c r="A195" s="5" t="inlineStr">
        <is>
          <t>2706</t>
        </is>
      </c>
      <c r="B195" s="5" t="inlineStr">
        <is>
          <t>Sarah Hickman</t>
        </is>
      </c>
      <c r="C195" s="5" t="inlineStr">
        <is>
          <t>BUYER</t>
        </is>
      </c>
      <c r="D195" s="5" t="inlineStr">
        <is>
          <t>Local44</t>
        </is>
      </c>
      <c r="E195" s="6" t="n">
        <v>23.04</v>
      </c>
      <c r="F195" s="5" t="n"/>
      <c r="G195" s="5" t="n"/>
      <c r="H195" s="5" t="n"/>
      <c r="I195" s="5" t="n"/>
      <c r="J195" s="7">
        <f>IF(AND(N(F195)&gt;0,N(I195)&gt;0),I195-F195-IF(N(G195)&gt;0,0.5,0)-IF(N(H195)&gt;0,0.5,0),0)</f>
        <v/>
      </c>
      <c r="K195" s="5" t="n"/>
      <c r="L195" s="7">
        <f>MIN(J195,10.0)</f>
        <v/>
      </c>
      <c r="M195" s="7">
        <f>MAX(0,MIN(J195,12)-10.0)</f>
        <v/>
      </c>
      <c r="N195" s="7">
        <f>MAX(0,J195-12)</f>
        <v/>
      </c>
      <c r="O195" s="5" t="n"/>
      <c r="P195" s="6">
        <f>E195*(L195+M195*1.5+N195*2+O195*3+N(K195))</f>
        <v/>
      </c>
      <c r="Q195" s="5" t="n"/>
      <c r="R195" s="6">
        <f>Q195-P195</f>
        <v/>
      </c>
    </row>
    <row r="196">
      <c r="P196" s="2" t="inlineStr">
        <is>
          <t>BUYERS LABOR</t>
        </is>
      </c>
      <c r="R196" s="8">
        <f>SUM(R195:R195)</f>
        <v/>
      </c>
    </row>
    <row r="198">
      <c r="B198" s="2" t="inlineStr">
        <is>
          <t>PROPMASTER</t>
        </is>
      </c>
    </row>
    <row r="199">
      <c r="A199" s="5" t="inlineStr">
        <is>
          <t>2801</t>
        </is>
      </c>
      <c r="B199" s="5" t="inlineStr">
        <is>
          <t>Annie Brandt</t>
        </is>
      </c>
      <c r="C199" s="5" t="inlineStr">
        <is>
          <t>PROPMASTER</t>
        </is>
      </c>
      <c r="D199" s="5" t="inlineStr">
        <is>
          <t>Local44</t>
        </is>
      </c>
      <c r="E199" s="6" t="n">
        <v>25.5</v>
      </c>
      <c r="F199" s="5" t="n"/>
      <c r="G199" s="5" t="n"/>
      <c r="H199" s="5" t="n"/>
      <c r="I199" s="5" t="n"/>
      <c r="J199" s="7">
        <f>IF(AND(N(F199)&gt;0,N(I199)&gt;0),I199-F199-IF(N(G199)&gt;0,0.5,0)-IF(N(H199)&gt;0,0.5,0),0)</f>
        <v/>
      </c>
      <c r="K199" s="5" t="n"/>
      <c r="L199" s="7">
        <f>MIN(J199,10.0)</f>
        <v/>
      </c>
      <c r="M199" s="7">
        <f>MAX(0,MIN(J199,12)-10.0)</f>
        <v/>
      </c>
      <c r="N199" s="7">
        <f>MAX(0,J199-12)</f>
        <v/>
      </c>
      <c r="O199" s="5" t="n"/>
      <c r="P199" s="6">
        <f>E199*(L199+M199*1.5+N199*2+O199*3+N(K199))</f>
        <v/>
      </c>
      <c r="Q199" s="6" t="n">
        <v>395.25</v>
      </c>
      <c r="R199" s="6">
        <f>Q199-P199</f>
        <v/>
      </c>
    </row>
    <row r="200">
      <c r="P200" s="2" t="inlineStr">
        <is>
          <t>PROPMASTER LABOR</t>
        </is>
      </c>
      <c r="R200" s="8">
        <f>SUM(R199:R199)</f>
        <v/>
      </c>
    </row>
    <row r="202">
      <c r="B202" s="2" t="inlineStr">
        <is>
          <t>ASSTPROPMASTER</t>
        </is>
      </c>
    </row>
    <row r="203">
      <c r="A203" s="5" t="inlineStr">
        <is>
          <t>2802</t>
        </is>
      </c>
      <c r="B203" s="5" t="inlineStr">
        <is>
          <t>Nate Bakes</t>
        </is>
      </c>
      <c r="C203" s="5" t="inlineStr">
        <is>
          <t>ASSTPROPMASTER</t>
        </is>
      </c>
      <c r="D203" s="5" t="inlineStr">
        <is>
          <t>Local44</t>
        </is>
      </c>
      <c r="E203" s="6" t="n">
        <v>23.04</v>
      </c>
      <c r="F203" s="5" t="n"/>
      <c r="G203" s="5" t="n"/>
      <c r="H203" s="5" t="n"/>
      <c r="I203" s="5" t="n"/>
      <c r="J203" s="7">
        <f>IF(AND(N(F203)&gt;0,N(I203)&gt;0),I203-F203-IF(N(G203)&gt;0,0.5,0)-IF(N(H203)&gt;0,0.5,0),0)</f>
        <v/>
      </c>
      <c r="K203" s="5" t="n"/>
      <c r="L203" s="7">
        <f>MIN(J203,10.0)</f>
        <v/>
      </c>
      <c r="M203" s="7">
        <f>MAX(0,MIN(J203,12)-10.0)</f>
        <v/>
      </c>
      <c r="N203" s="7">
        <f>MAX(0,J203-12)</f>
        <v/>
      </c>
      <c r="O203" s="5" t="n"/>
      <c r="P203" s="6">
        <f>E203*(L203+M203*1.5+N203*2+O203*3+N(K203))</f>
        <v/>
      </c>
      <c r="Q203" s="6" t="n">
        <v>357.12</v>
      </c>
      <c r="R203" s="6">
        <f>Q203-P203</f>
        <v/>
      </c>
    </row>
    <row r="204">
      <c r="P204" s="2" t="inlineStr">
        <is>
          <t>ASSTPROPMASTER LABOR</t>
        </is>
      </c>
      <c r="R204" s="8">
        <f>SUM(R203:R203)</f>
        <v/>
      </c>
    </row>
    <row r="206">
      <c r="B206" s="2" t="inlineStr">
        <is>
          <t>COSTUMEDESIGNER</t>
        </is>
      </c>
    </row>
    <row r="207">
      <c r="A207" s="5" t="inlineStr">
        <is>
          <t>2901</t>
        </is>
      </c>
      <c r="B207" s="5" t="inlineStr">
        <is>
          <t>Megan Spatz</t>
        </is>
      </c>
      <c r="C207" s="5" t="inlineStr">
        <is>
          <t>COSTUMEDESIGNER</t>
        </is>
      </c>
      <c r="D207" s="5" t="inlineStr">
        <is>
          <t>Local892</t>
        </is>
      </c>
      <c r="E207" s="6" t="n">
        <v>540</v>
      </c>
      <c r="F207" s="5" t="n"/>
      <c r="G207" s="5" t="n"/>
      <c r="H207" s="5" t="n"/>
      <c r="I207" s="5" t="n"/>
      <c r="J207" s="7">
        <f>IF(AND(N(F207)&gt;0,N(I207)&gt;0),I207-F207-IF(N(G207)&gt;0,0.5,0)-IF(N(H207)&gt;0,0.5,0),0)</f>
        <v/>
      </c>
      <c r="K207" s="5" t="n"/>
      <c r="L207" s="7">
        <f>MIN(J207,8.0)</f>
        <v/>
      </c>
      <c r="M207" s="7">
        <f>MAX(0,MIN(J207,12)-8.0)</f>
        <v/>
      </c>
      <c r="N207" s="7">
        <f>MAX(0,J207-12)</f>
        <v/>
      </c>
      <c r="O207" s="5" t="n"/>
      <c r="P207" s="6">
        <f>E207*(L207+M207*1.5+N207*2+O207*3+N(K207))</f>
        <v/>
      </c>
      <c r="Q207" s="6" t="n">
        <v>540</v>
      </c>
      <c r="R207" s="6">
        <f>Q207-P207</f>
        <v/>
      </c>
    </row>
    <row r="208">
      <c r="P208" s="2" t="inlineStr">
        <is>
          <t>COSTUMEDESIGNER LABOR</t>
        </is>
      </c>
      <c r="R208" s="8">
        <f>SUM(R207:R207)</f>
        <v/>
      </c>
    </row>
    <row r="210">
      <c r="B210" s="2" t="inlineStr">
        <is>
          <t>COSTUMESUPERVISOR</t>
        </is>
      </c>
    </row>
    <row r="211">
      <c r="A211" s="5" t="inlineStr">
        <is>
          <t>2903</t>
        </is>
      </c>
      <c r="B211" s="5" t="inlineStr">
        <is>
          <t>Danielle Schuck</t>
        </is>
      </c>
      <c r="C211" s="5" t="inlineStr">
        <is>
          <t>COSTUMESUPERVISOR</t>
        </is>
      </c>
      <c r="D211" s="5" t="inlineStr">
        <is>
          <t>Local705</t>
        </is>
      </c>
      <c r="E211" s="6" t="n">
        <v>25.5</v>
      </c>
      <c r="F211" s="5" t="n"/>
      <c r="G211" s="5" t="n"/>
      <c r="H211" s="5" t="n"/>
      <c r="I211" s="5" t="n"/>
      <c r="J211" s="7">
        <f>IF(AND(N(F211)&gt;0,N(I211)&gt;0),I211-F211-IF(N(G211)&gt;0,0.5,0)-IF(N(H211)&gt;0,0.5,0),0)</f>
        <v/>
      </c>
      <c r="K211" s="5" t="n"/>
      <c r="L211" s="7">
        <f>MIN(J211,8.0)</f>
        <v/>
      </c>
      <c r="M211" s="7">
        <f>MAX(0,MIN(J211,12)-8.0)</f>
        <v/>
      </c>
      <c r="N211" s="7">
        <f>MAX(0,J211-12)</f>
        <v/>
      </c>
      <c r="O211" s="5" t="n"/>
      <c r="P211" s="6">
        <f>E211*(L211+M211*1.5+N211*2+O211*3+N(K211))</f>
        <v/>
      </c>
      <c r="Q211" s="6" t="n">
        <v>395.25</v>
      </c>
      <c r="R211" s="6">
        <f>Q211-P211</f>
        <v/>
      </c>
    </row>
    <row r="212">
      <c r="P212" s="2" t="inlineStr">
        <is>
          <t>COSTUMESUPERVISOR LABOR</t>
        </is>
      </c>
      <c r="R212" s="8">
        <f>SUM(R211:R211)</f>
        <v/>
      </c>
    </row>
    <row r="214">
      <c r="B214" s="2" t="inlineStr">
        <is>
          <t>SETCOSTUMERS</t>
        </is>
      </c>
    </row>
    <row r="215">
      <c r="A215" s="5" t="inlineStr">
        <is>
          <t>2905</t>
        </is>
      </c>
      <c r="B215" s="5" t="inlineStr">
        <is>
          <t>Monavie Tutop</t>
        </is>
      </c>
      <c r="C215" s="5" t="inlineStr">
        <is>
          <t>COSTUMER#1</t>
        </is>
      </c>
      <c r="D215" s="5" t="inlineStr">
        <is>
          <t>Local705</t>
        </is>
      </c>
      <c r="E215" s="6" t="n">
        <v>23.04</v>
      </c>
      <c r="F215" s="5" t="n"/>
      <c r="G215" s="5" t="n"/>
      <c r="H215" s="5" t="n"/>
      <c r="I215" s="5" t="n"/>
      <c r="J215" s="7">
        <f>IF(AND(N(F215)&gt;0,N(I215)&gt;0),I215-F215-IF(N(G215)&gt;0,0.5,0)-IF(N(H215)&gt;0,0.5,0),0)</f>
        <v/>
      </c>
      <c r="K215" s="5" t="n"/>
      <c r="L215" s="7">
        <f>MIN(J215,8.0)</f>
        <v/>
      </c>
      <c r="M215" s="7">
        <f>MAX(0,MIN(J215,12)-8.0)</f>
        <v/>
      </c>
      <c r="N215" s="7">
        <f>MAX(0,J215-12)</f>
        <v/>
      </c>
      <c r="O215" s="5" t="n"/>
      <c r="P215" s="6">
        <f>E215*(L215+M215*1.5+N215*2+O215*3+N(K215))</f>
        <v/>
      </c>
      <c r="Q215" s="6" t="n">
        <v>397.43</v>
      </c>
      <c r="R215" s="6">
        <f>Q215-P215</f>
        <v/>
      </c>
    </row>
    <row r="216">
      <c r="A216" s="5" t="inlineStr">
        <is>
          <t>2905</t>
        </is>
      </c>
      <c r="B216" s="5" t="inlineStr"/>
      <c r="C216" s="5" t="inlineStr">
        <is>
          <t>COSTUMER#2</t>
        </is>
      </c>
      <c r="D216" s="5" t="inlineStr">
        <is>
          <t>Local705</t>
        </is>
      </c>
      <c r="E216" s="6" t="n">
        <v>20.57</v>
      </c>
      <c r="F216" s="5" t="n"/>
      <c r="G216" s="5" t="n"/>
      <c r="H216" s="5" t="n"/>
      <c r="I216" s="5" t="n"/>
      <c r="J216" s="7">
        <f>IF(AND(N(F216)&gt;0,N(I216)&gt;0),I216-F216-IF(N(G216)&gt;0,0.5,0)-IF(N(H216)&gt;0,0.5,0),0)</f>
        <v/>
      </c>
      <c r="K216" s="5" t="n"/>
      <c r="L216" s="7">
        <f>MIN(J216,8.0)</f>
        <v/>
      </c>
      <c r="M216" s="7">
        <f>MAX(0,MIN(J216,12)-8.0)</f>
        <v/>
      </c>
      <c r="N216" s="7">
        <f>MAX(0,J216-12)</f>
        <v/>
      </c>
      <c r="O216" s="5" t="n"/>
      <c r="P216" s="6">
        <f>E216*(L216+M216*1.5+N216*2+O216*3+N(K216))</f>
        <v/>
      </c>
      <c r="Q216" s="6" t="n">
        <v>354.83</v>
      </c>
      <c r="R216" s="6">
        <f>Q216-P216</f>
        <v/>
      </c>
    </row>
    <row r="217">
      <c r="P217" s="2" t="inlineStr">
        <is>
          <t>SETCOSTUMERS LABOR</t>
        </is>
      </c>
      <c r="R217" s="8">
        <f>SUM(R215:R216)</f>
        <v/>
      </c>
    </row>
    <row r="219">
      <c r="B219" s="2" t="inlineStr">
        <is>
          <t>KEYMAKE-UP</t>
        </is>
      </c>
    </row>
    <row r="220">
      <c r="A220" s="5" t="inlineStr">
        <is>
          <t>3101</t>
        </is>
      </c>
      <c r="B220" s="5" t="inlineStr">
        <is>
          <t>Eleanor Sabaduquia</t>
        </is>
      </c>
      <c r="C220" s="5" t="inlineStr">
        <is>
          <t>KEYMAKEUPARTIST</t>
        </is>
      </c>
      <c r="D220" s="5" t="inlineStr">
        <is>
          <t>Local706</t>
        </is>
      </c>
      <c r="E220" s="6" t="n">
        <v>25.5</v>
      </c>
      <c r="F220" s="5" t="n"/>
      <c r="G220" s="5" t="n"/>
      <c r="H220" s="5" t="n"/>
      <c r="I220" s="5" t="n"/>
      <c r="J220" s="7">
        <f>IF(AND(N(F220)&gt;0,N(I220)&gt;0),I220-F220-IF(N(G220)&gt;0,0.5,0)-IF(N(H220)&gt;0,0.5,0),0)</f>
        <v/>
      </c>
      <c r="K220" s="5" t="n"/>
      <c r="L220" s="7">
        <f>MIN(J220,10.0)</f>
        <v/>
      </c>
      <c r="M220" s="7">
        <f>MAX(0,MIN(J220,12)-10.0)</f>
        <v/>
      </c>
      <c r="N220" s="7">
        <f>MAX(0,J220-12)</f>
        <v/>
      </c>
      <c r="O220" s="5" t="n"/>
      <c r="P220" s="6">
        <f>E220*(L220+M220*1.5+N220*2+O220*3+N(K220))</f>
        <v/>
      </c>
      <c r="Q220" s="6" t="n">
        <v>439.87</v>
      </c>
      <c r="R220" s="6">
        <f>Q220-P220</f>
        <v/>
      </c>
    </row>
    <row r="221">
      <c r="P221" s="2" t="inlineStr">
        <is>
          <t>KEYMAKE-UP LABOR</t>
        </is>
      </c>
      <c r="R221" s="8">
        <f>SUM(R220:R220)</f>
        <v/>
      </c>
    </row>
    <row r="223">
      <c r="B223" s="2" t="inlineStr">
        <is>
          <t>ASSTMAKE-UP</t>
        </is>
      </c>
    </row>
    <row r="224">
      <c r="A224" s="5" t="inlineStr">
        <is>
          <t>3102</t>
        </is>
      </c>
      <c r="B224" s="5" t="inlineStr">
        <is>
          <t>Yoko Nobushi</t>
        </is>
      </c>
      <c r="C224" s="5" t="inlineStr">
        <is>
          <t>ASSTMAKEUPARTIST#1</t>
        </is>
      </c>
      <c r="D224" s="5" t="inlineStr">
        <is>
          <t>Local706</t>
        </is>
      </c>
      <c r="E224" s="6" t="n">
        <v>23.04</v>
      </c>
      <c r="F224" s="5" t="n"/>
      <c r="G224" s="5" t="n"/>
      <c r="H224" s="5" t="n"/>
      <c r="I224" s="5" t="n"/>
      <c r="J224" s="7">
        <f>IF(AND(N(F224)&gt;0,N(I224)&gt;0),I224-F224-IF(N(G224)&gt;0,0.5,0)-IF(N(H224)&gt;0,0.5,0),0)</f>
        <v/>
      </c>
      <c r="K224" s="5" t="n"/>
      <c r="L224" s="7">
        <f>MIN(J224,10.0)</f>
        <v/>
      </c>
      <c r="M224" s="7">
        <f>MAX(0,MIN(J224,12)-10.0)</f>
        <v/>
      </c>
      <c r="N224" s="7">
        <f>MAX(0,J224-12)</f>
        <v/>
      </c>
      <c r="O224" s="5" t="n"/>
      <c r="P224" s="6">
        <f>E224*(L224+M224*1.5+N224*2+O224*3+N(K224))</f>
        <v/>
      </c>
      <c r="Q224" s="6" t="n">
        <v>397.43</v>
      </c>
      <c r="R224" s="6">
        <f>Q224-P224</f>
        <v/>
      </c>
    </row>
    <row r="225">
      <c r="P225" s="2" t="inlineStr">
        <is>
          <t>ASSTMAKE-UP LABOR</t>
        </is>
      </c>
      <c r="R225" s="8">
        <f>SUM(R224:R224)</f>
        <v/>
      </c>
    </row>
    <row r="227">
      <c r="B227" s="2" t="inlineStr">
        <is>
          <t>ADDITIONALMAKE-UPLABOR</t>
        </is>
      </c>
    </row>
    <row r="228">
      <c r="A228" s="5" t="inlineStr">
        <is>
          <t>3103</t>
        </is>
      </c>
      <c r="B228" s="5" t="inlineStr"/>
      <c r="C228" s="5" t="inlineStr">
        <is>
          <t>ADDLMAKEUPARTISTDAYS</t>
        </is>
      </c>
      <c r="D228" s="5" t="inlineStr">
        <is>
          <t>Local706</t>
        </is>
      </c>
      <c r="E228" s="6" t="n">
        <v>23.04</v>
      </c>
      <c r="F228" s="5" t="n"/>
      <c r="G228" s="5" t="n"/>
      <c r="H228" s="5" t="n"/>
      <c r="I228" s="5" t="n"/>
      <c r="J228" s="7">
        <f>IF(AND(N(F228)&gt;0,N(I228)&gt;0),I228-F228-IF(N(G228)&gt;0,0.5,0)-IF(N(H228)&gt;0,0.5,0),0)</f>
        <v/>
      </c>
      <c r="K228" s="5" t="n"/>
      <c r="L228" s="7">
        <f>MIN(J228,10.0)</f>
        <v/>
      </c>
      <c r="M228" s="7">
        <f>MAX(0,MIN(J228,12)-10.0)</f>
        <v/>
      </c>
      <c r="N228" s="7">
        <f>MAX(0,J228-12)</f>
        <v/>
      </c>
      <c r="O228" s="5" t="n"/>
      <c r="P228" s="6">
        <f>E228*(L228+M228*1.5+N228*2+O228*3+N(K228))</f>
        <v/>
      </c>
      <c r="Q228" s="6" t="n">
        <v>397.43</v>
      </c>
      <c r="R228" s="6">
        <f>Q228-P228</f>
        <v/>
      </c>
    </row>
    <row r="229">
      <c r="P229" s="2" t="inlineStr">
        <is>
          <t>ADDITIONALMAKE-UPLABOR LABOR</t>
        </is>
      </c>
      <c r="R229" s="8">
        <f>SUM(R228:R228)</f>
        <v/>
      </c>
    </row>
    <row r="231">
      <c r="B231" s="2" t="inlineStr">
        <is>
          <t>PROSTHETICS</t>
        </is>
      </c>
    </row>
    <row r="232">
      <c r="A232" s="5" t="inlineStr">
        <is>
          <t>3105</t>
        </is>
      </c>
      <c r="B232" s="5" t="inlineStr"/>
      <c r="C232" s="5" t="inlineStr">
        <is>
          <t>PROSTHETICMAKEUPARTIST</t>
        </is>
      </c>
      <c r="D232" s="5" t="inlineStr">
        <is>
          <t>Local706</t>
        </is>
      </c>
      <c r="E232" s="6" t="n">
        <v>25.5</v>
      </c>
      <c r="F232" s="5" t="n"/>
      <c r="G232" s="5" t="n"/>
      <c r="H232" s="5" t="n"/>
      <c r="I232" s="5" t="n"/>
      <c r="J232" s="7">
        <f>IF(AND(N(F232)&gt;0,N(I232)&gt;0),I232-F232-IF(N(G232)&gt;0,0.5,0)-IF(N(H232)&gt;0,0.5,0),0)</f>
        <v/>
      </c>
      <c r="K232" s="5" t="n"/>
      <c r="L232" s="7">
        <f>MIN(J232,10.0)</f>
        <v/>
      </c>
      <c r="M232" s="7">
        <f>MAX(0,MIN(J232,12)-10.0)</f>
        <v/>
      </c>
      <c r="N232" s="7">
        <f>MAX(0,J232-12)</f>
        <v/>
      </c>
      <c r="O232" s="5" t="n"/>
      <c r="P232" s="6">
        <f>E232*(L232+M232*1.5+N232*2+O232*3+N(K232))</f>
        <v/>
      </c>
      <c r="Q232" s="6" t="n">
        <v>439.87</v>
      </c>
      <c r="R232" s="6">
        <f>Q232-P232</f>
        <v/>
      </c>
    </row>
    <row r="233">
      <c r="A233" s="5" t="inlineStr">
        <is>
          <t>3105</t>
        </is>
      </c>
      <c r="B233" s="5" t="inlineStr"/>
      <c r="C233" s="5" t="inlineStr">
        <is>
          <t>LENSCONSULTANT</t>
        </is>
      </c>
      <c r="D233" s="5" t="inlineStr"/>
      <c r="E233" s="6" t="n">
        <v>50</v>
      </c>
      <c r="F233" s="5" t="n"/>
      <c r="G233" s="5" t="n"/>
      <c r="H233" s="5" t="n"/>
      <c r="I233" s="5" t="n"/>
      <c r="J233" s="7">
        <f>IF(AND(N(F233)&gt;0,N(I233)&gt;0),I233-F233-IF(N(G233)&gt;0,0.5,0)-IF(N(H233)&gt;0,0.5,0),0)</f>
        <v/>
      </c>
      <c r="K233" s="5" t="n"/>
      <c r="L233" s="7">
        <f>MIN(J233,8.0)</f>
        <v/>
      </c>
      <c r="M233" s="7">
        <f>MAX(0,MIN(J233,12)-8.0)</f>
        <v/>
      </c>
      <c r="N233" s="7">
        <f>MAX(0,J233-12)</f>
        <v/>
      </c>
      <c r="O233" s="5" t="n"/>
      <c r="P233" s="6">
        <f>E233*(L233+M233*1.5+N233*2+O233*3+N(K233))</f>
        <v/>
      </c>
      <c r="Q233" s="6" t="n">
        <v>862.53</v>
      </c>
      <c r="R233" s="6">
        <f>Q233-P233</f>
        <v/>
      </c>
    </row>
    <row r="234">
      <c r="P234" s="2" t="inlineStr">
        <is>
          <t>PROSTHETICS LABOR</t>
        </is>
      </c>
      <c r="R234" s="8">
        <f>SUM(R232:R233)</f>
        <v/>
      </c>
    </row>
    <row r="236">
      <c r="B236" s="2" t="inlineStr">
        <is>
          <t>KEYHAIR</t>
        </is>
      </c>
    </row>
    <row r="237">
      <c r="A237" s="5" t="inlineStr">
        <is>
          <t>3111</t>
        </is>
      </c>
      <c r="B237" s="5" t="inlineStr">
        <is>
          <t>Traci Smithe</t>
        </is>
      </c>
      <c r="C237" s="5" t="inlineStr">
        <is>
          <t>KEYHAIR</t>
        </is>
      </c>
      <c r="D237" s="5" t="inlineStr">
        <is>
          <t>Local706</t>
        </is>
      </c>
      <c r="E237" s="6" t="n">
        <v>25.5</v>
      </c>
      <c r="F237" s="5" t="n"/>
      <c r="G237" s="5" t="n"/>
      <c r="H237" s="5" t="n"/>
      <c r="I237" s="5" t="n"/>
      <c r="J237" s="7">
        <f>IF(AND(N(F237)&gt;0,N(I237)&gt;0),I237-F237-IF(N(G237)&gt;0,0.5,0)-IF(N(H237)&gt;0,0.5,0),0)</f>
        <v/>
      </c>
      <c r="K237" s="5" t="n"/>
      <c r="L237" s="7">
        <f>MIN(J237,10.0)</f>
        <v/>
      </c>
      <c r="M237" s="7">
        <f>MAX(0,MIN(J237,12)-10.0)</f>
        <v/>
      </c>
      <c r="N237" s="7">
        <f>MAX(0,J237-12)</f>
        <v/>
      </c>
      <c r="O237" s="5" t="n"/>
      <c r="P237" s="6">
        <f>E237*(L237+M237*1.5+N237*2+O237*3+N(K237))</f>
        <v/>
      </c>
      <c r="Q237" s="6" t="n">
        <v>439.87</v>
      </c>
      <c r="R237" s="6">
        <f>Q237-P237</f>
        <v/>
      </c>
    </row>
    <row r="238">
      <c r="P238" s="2" t="inlineStr">
        <is>
          <t>KEYHAIR LABOR</t>
        </is>
      </c>
      <c r="R238" s="8">
        <f>SUM(R237:R237)</f>
        <v/>
      </c>
    </row>
    <row r="240">
      <c r="B240" s="2" t="inlineStr">
        <is>
          <t>ASSTHAIR</t>
        </is>
      </c>
    </row>
    <row r="241">
      <c r="A241" s="5" t="inlineStr">
        <is>
          <t>3112</t>
        </is>
      </c>
      <c r="B241" s="5" t="inlineStr">
        <is>
          <t>Yunea Cruz</t>
        </is>
      </c>
      <c r="C241" s="5" t="inlineStr">
        <is>
          <t>ASSTHAIRSTYLIST#1</t>
        </is>
      </c>
      <c r="D241" s="5" t="inlineStr">
        <is>
          <t>Local706</t>
        </is>
      </c>
      <c r="E241" s="6" t="n">
        <v>23.04</v>
      </c>
      <c r="F241" s="5" t="n"/>
      <c r="G241" s="5" t="n"/>
      <c r="H241" s="5" t="n"/>
      <c r="I241" s="5" t="n"/>
      <c r="J241" s="7">
        <f>IF(AND(N(F241)&gt;0,N(I241)&gt;0),I241-F241-IF(N(G241)&gt;0,0.5,0)-IF(N(H241)&gt;0,0.5,0),0)</f>
        <v/>
      </c>
      <c r="K241" s="5" t="n"/>
      <c r="L241" s="7">
        <f>MIN(J241,10.0)</f>
        <v/>
      </c>
      <c r="M241" s="7">
        <f>MAX(0,MIN(J241,12)-10.0)</f>
        <v/>
      </c>
      <c r="N241" s="7">
        <f>MAX(0,J241-12)</f>
        <v/>
      </c>
      <c r="O241" s="5" t="n"/>
      <c r="P241" s="6">
        <f>E241*(L241+M241*1.5+N241*2+O241*3+N(K241))</f>
        <v/>
      </c>
      <c r="Q241" s="6" t="n">
        <v>397.43</v>
      </c>
      <c r="R241" s="6">
        <f>Q241-P241</f>
        <v/>
      </c>
    </row>
    <row r="242">
      <c r="P242" s="2" t="inlineStr">
        <is>
          <t>ASSTHAIR LABOR</t>
        </is>
      </c>
      <c r="R242" s="8">
        <f>SUM(R241:R241)</f>
        <v/>
      </c>
    </row>
    <row r="244">
      <c r="B244" s="2" t="inlineStr">
        <is>
          <t>ADDITIONALHAIRLABOR</t>
        </is>
      </c>
    </row>
    <row r="245">
      <c r="A245" s="5" t="inlineStr">
        <is>
          <t>3113</t>
        </is>
      </c>
      <c r="B245" s="5" t="inlineStr"/>
      <c r="C245" s="5" t="inlineStr">
        <is>
          <t>ADDLHAIRSTYLISTDAYS</t>
        </is>
      </c>
      <c r="D245" s="5" t="inlineStr">
        <is>
          <t>Local706</t>
        </is>
      </c>
      <c r="E245" s="6" t="n">
        <v>23.04</v>
      </c>
      <c r="F245" s="5" t="n"/>
      <c r="G245" s="5" t="n"/>
      <c r="H245" s="5" t="n"/>
      <c r="I245" s="5" t="n"/>
      <c r="J245" s="7">
        <f>IF(AND(N(F245)&gt;0,N(I245)&gt;0),I245-F245-IF(N(G245)&gt;0,0.5,0)-IF(N(H245)&gt;0,0.5,0),0)</f>
        <v/>
      </c>
      <c r="K245" s="5" t="n"/>
      <c r="L245" s="7">
        <f>MIN(J245,10.0)</f>
        <v/>
      </c>
      <c r="M245" s="7">
        <f>MAX(0,MIN(J245,12)-10.0)</f>
        <v/>
      </c>
      <c r="N245" s="7">
        <f>MAX(0,J245-12)</f>
        <v/>
      </c>
      <c r="O245" s="5" t="n"/>
      <c r="P245" s="6">
        <f>E245*(L245+M245*1.5+N245*2+O245*3+N(K245))</f>
        <v/>
      </c>
      <c r="Q245" s="6" t="n">
        <v>397.43</v>
      </c>
      <c r="R245" s="6">
        <f>Q245-P245</f>
        <v/>
      </c>
    </row>
    <row r="246">
      <c r="P246" s="2" t="inlineStr">
        <is>
          <t>ADDITIONALHAIRLABOR LABOR</t>
        </is>
      </c>
      <c r="R246" s="8">
        <f>SUM(R245:R245)</f>
        <v/>
      </c>
    </row>
    <row r="248">
      <c r="B248" s="2" t="inlineStr">
        <is>
          <t>GAFFER</t>
        </is>
      </c>
    </row>
    <row r="249">
      <c r="A249" s="5" t="inlineStr">
        <is>
          <t>3201</t>
        </is>
      </c>
      <c r="B249" s="5" t="inlineStr">
        <is>
          <t>Nicholas Kaat</t>
        </is>
      </c>
      <c r="C249" s="5" t="inlineStr">
        <is>
          <t>GAFFER</t>
        </is>
      </c>
      <c r="D249" s="5" t="inlineStr">
        <is>
          <t>Local728</t>
        </is>
      </c>
      <c r="E249" s="6" t="n">
        <v>25.5</v>
      </c>
      <c r="F249" s="5" t="n"/>
      <c r="G249" s="5" t="n"/>
      <c r="H249" s="5" t="n"/>
      <c r="I249" s="5" t="n"/>
      <c r="J249" s="7">
        <f>IF(AND(N(F249)&gt;0,N(I249)&gt;0),I249-F249-IF(N(G249)&gt;0,0.5,0)-IF(N(H249)&gt;0,0.5,0),0)</f>
        <v/>
      </c>
      <c r="K249" s="5" t="n"/>
      <c r="L249" s="7">
        <f>MIN(J249,10.0)</f>
        <v/>
      </c>
      <c r="M249" s="7">
        <f>MAX(0,MIN(J249,12)-10.0)</f>
        <v/>
      </c>
      <c r="N249" s="7">
        <f>MAX(0,J249-12)</f>
        <v/>
      </c>
      <c r="O249" s="5" t="n"/>
      <c r="P249" s="6">
        <f>E249*(L249+M249*1.5+N249*2+O249*3+N(K249))</f>
        <v/>
      </c>
      <c r="Q249" s="6" t="n">
        <v>395.25</v>
      </c>
      <c r="R249" s="6">
        <f>Q249-P249</f>
        <v/>
      </c>
    </row>
    <row r="250">
      <c r="P250" s="2" t="inlineStr">
        <is>
          <t>GAFFER LABOR</t>
        </is>
      </c>
      <c r="R250" s="8">
        <f>SUM(R249:R249)</f>
        <v/>
      </c>
    </row>
    <row r="252">
      <c r="B252" s="2" t="inlineStr">
        <is>
          <t>BESTBOYELECTRIC</t>
        </is>
      </c>
    </row>
    <row r="253">
      <c r="A253" s="5" t="inlineStr">
        <is>
          <t>3202</t>
        </is>
      </c>
      <c r="B253" s="5" t="inlineStr">
        <is>
          <t>Nathan Fetzer</t>
        </is>
      </c>
      <c r="C253" s="5" t="inlineStr">
        <is>
          <t>BESTBOYELECTRIC</t>
        </is>
      </c>
      <c r="D253" s="5" t="inlineStr">
        <is>
          <t>Local728</t>
        </is>
      </c>
      <c r="E253" s="6" t="n">
        <v>23.04</v>
      </c>
      <c r="F253" s="5" t="n"/>
      <c r="G253" s="5" t="n"/>
      <c r="H253" s="5" t="n"/>
      <c r="I253" s="5" t="n"/>
      <c r="J253" s="7">
        <f>IF(AND(N(F253)&gt;0,N(I253)&gt;0),I253-F253-IF(N(G253)&gt;0,0.5,0)-IF(N(H253)&gt;0,0.5,0),0)</f>
        <v/>
      </c>
      <c r="K253" s="5" t="n"/>
      <c r="L253" s="7">
        <f>MIN(J253,10.0)</f>
        <v/>
      </c>
      <c r="M253" s="7">
        <f>MAX(0,MIN(J253,12)-10.0)</f>
        <v/>
      </c>
      <c r="N253" s="7">
        <f>MAX(0,J253-12)</f>
        <v/>
      </c>
      <c r="O253" s="5" t="n"/>
      <c r="P253" s="6">
        <f>E253*(L253+M253*1.5+N253*2+O253*3+N(K253))</f>
        <v/>
      </c>
      <c r="Q253" s="6" t="n">
        <v>357.12</v>
      </c>
      <c r="R253" s="6">
        <f>Q253-P253</f>
        <v/>
      </c>
    </row>
    <row r="254">
      <c r="A254" s="5" t="inlineStr">
        <is>
          <t>3202</t>
        </is>
      </c>
      <c r="B254" s="5" t="inlineStr"/>
      <c r="C254" s="5" t="inlineStr">
        <is>
          <t>STUDIOBESTBOYELECTRIC</t>
        </is>
      </c>
      <c r="D254" s="5" t="inlineStr">
        <is>
          <t>Local728</t>
        </is>
      </c>
      <c r="E254" s="6" t="n">
        <v>43.05</v>
      </c>
      <c r="F254" s="5" t="n"/>
      <c r="G254" s="5" t="n"/>
      <c r="H254" s="5" t="n"/>
      <c r="I254" s="5" t="n"/>
      <c r="J254" s="7">
        <f>IF(AND(N(F254)&gt;0,N(I254)&gt;0),I254-F254-IF(N(G254)&gt;0,0.5,0)-IF(N(H254)&gt;0,0.5,0),0)</f>
        <v/>
      </c>
      <c r="K254" s="5" t="n"/>
      <c r="L254" s="7">
        <f>MIN(J254,10.0)</f>
        <v/>
      </c>
      <c r="M254" s="7">
        <f>MAX(0,MIN(J254,12)-10.0)</f>
        <v/>
      </c>
      <c r="N254" s="7">
        <f>MAX(0,J254-12)</f>
        <v/>
      </c>
      <c r="O254" s="5" t="n"/>
      <c r="P254" s="6">
        <f>E254*(L254+M254*1.5+N254*2+O254*3+N(K254))</f>
        <v/>
      </c>
      <c r="Q254" s="6" t="n">
        <v>667.27</v>
      </c>
      <c r="R254" s="6">
        <f>Q254-P254</f>
        <v/>
      </c>
    </row>
    <row r="255">
      <c r="P255" s="2" t="inlineStr">
        <is>
          <t>BESTBOYELECTRIC LABOR</t>
        </is>
      </c>
      <c r="R255" s="8">
        <f>SUM(R253:R254)</f>
        <v/>
      </c>
    </row>
    <row r="257">
      <c r="B257" s="2" t="inlineStr">
        <is>
          <t>ELECTRICIANS</t>
        </is>
      </c>
    </row>
    <row r="258">
      <c r="A258" s="5" t="inlineStr">
        <is>
          <t>3204</t>
        </is>
      </c>
      <c r="B258" s="5" t="inlineStr"/>
      <c r="C258" s="5" t="inlineStr">
        <is>
          <t>ELECTRICIAN#1</t>
        </is>
      </c>
      <c r="D258" s="5" t="inlineStr">
        <is>
          <t>Local728</t>
        </is>
      </c>
      <c r="E258" s="6" t="n">
        <v>20.57</v>
      </c>
      <c r="F258" s="5" t="n"/>
      <c r="G258" s="5" t="n"/>
      <c r="H258" s="5" t="n"/>
      <c r="I258" s="5" t="n"/>
      <c r="J258" s="7">
        <f>IF(AND(N(F258)&gt;0,N(I258)&gt;0),I258-F258-IF(N(G258)&gt;0,0.5,0)-IF(N(H258)&gt;0,0.5,0),0)</f>
        <v/>
      </c>
      <c r="K258" s="5" t="n"/>
      <c r="L258" s="7">
        <f>MIN(J258,10.0)</f>
        <v/>
      </c>
      <c r="M258" s="7">
        <f>MAX(0,MIN(J258,12)-10.0)</f>
        <v/>
      </c>
      <c r="N258" s="7">
        <f>MAX(0,J258-12)</f>
        <v/>
      </c>
      <c r="O258" s="5" t="n"/>
      <c r="P258" s="6">
        <f>E258*(L258+M258*1.5+N258*2+O258*3+N(K258))</f>
        <v/>
      </c>
      <c r="Q258" s="6" t="n">
        <v>318.83</v>
      </c>
      <c r="R258" s="6">
        <f>Q258-P258</f>
        <v/>
      </c>
    </row>
    <row r="259">
      <c r="A259" s="5" t="inlineStr">
        <is>
          <t>3204</t>
        </is>
      </c>
      <c r="B259" s="5" t="inlineStr"/>
      <c r="C259" s="5" t="inlineStr">
        <is>
          <t>ELECTRICIAN#2</t>
        </is>
      </c>
      <c r="D259" s="5" t="inlineStr">
        <is>
          <t>Local728</t>
        </is>
      </c>
      <c r="E259" s="6" t="n">
        <v>20.57</v>
      </c>
      <c r="F259" s="5" t="n"/>
      <c r="G259" s="5" t="n"/>
      <c r="H259" s="5" t="n"/>
      <c r="I259" s="5" t="n"/>
      <c r="J259" s="7">
        <f>IF(AND(N(F259)&gt;0,N(I259)&gt;0),I259-F259-IF(N(G259)&gt;0,0.5,0)-IF(N(H259)&gt;0,0.5,0),0)</f>
        <v/>
      </c>
      <c r="K259" s="5" t="n"/>
      <c r="L259" s="7">
        <f>MIN(J259,10.0)</f>
        <v/>
      </c>
      <c r="M259" s="7">
        <f>MAX(0,MIN(J259,12)-10.0)</f>
        <v/>
      </c>
      <c r="N259" s="7">
        <f>MAX(0,J259-12)</f>
        <v/>
      </c>
      <c r="O259" s="5" t="n"/>
      <c r="P259" s="6">
        <f>E259*(L259+M259*1.5+N259*2+O259*3+N(K259))</f>
        <v/>
      </c>
      <c r="Q259" s="6" t="n">
        <v>318.83</v>
      </c>
      <c r="R259" s="6">
        <f>Q259-P259</f>
        <v/>
      </c>
    </row>
    <row r="260">
      <c r="A260" s="5" t="inlineStr">
        <is>
          <t>3204</t>
        </is>
      </c>
      <c r="B260" s="5" t="inlineStr"/>
      <c r="C260" s="5" t="inlineStr">
        <is>
          <t>ELECTRICIAN#3</t>
        </is>
      </c>
      <c r="D260" s="5" t="inlineStr">
        <is>
          <t>Local728</t>
        </is>
      </c>
      <c r="E260" s="6" t="n">
        <v>20.57</v>
      </c>
      <c r="F260" s="5" t="n"/>
      <c r="G260" s="5" t="n"/>
      <c r="H260" s="5" t="n"/>
      <c r="I260" s="5" t="n"/>
      <c r="J260" s="7">
        <f>IF(AND(N(F260)&gt;0,N(I260)&gt;0),I260-F260-IF(N(G260)&gt;0,0.5,0)-IF(N(H260)&gt;0,0.5,0),0)</f>
        <v/>
      </c>
      <c r="K260" s="5" t="n"/>
      <c r="L260" s="7">
        <f>MIN(J260,10.0)</f>
        <v/>
      </c>
      <c r="M260" s="7">
        <f>MAX(0,MIN(J260,12)-10.0)</f>
        <v/>
      </c>
      <c r="N260" s="7">
        <f>MAX(0,J260-12)</f>
        <v/>
      </c>
      <c r="O260" s="5" t="n"/>
      <c r="P260" s="6">
        <f>E260*(L260+M260*1.5+N260*2+O260*3+N(K260))</f>
        <v/>
      </c>
      <c r="Q260" s="6" t="n">
        <v>318.83</v>
      </c>
      <c r="R260" s="6">
        <f>Q260-P260</f>
        <v/>
      </c>
    </row>
    <row r="261">
      <c r="P261" s="2" t="inlineStr">
        <is>
          <t>ELECTRICIANS LABOR</t>
        </is>
      </c>
      <c r="R261" s="8">
        <f>SUM(R258:R260)</f>
        <v/>
      </c>
    </row>
    <row r="263">
      <c r="B263" s="2" t="inlineStr">
        <is>
          <t>ADDITIONALELECTRICLABOR</t>
        </is>
      </c>
    </row>
    <row r="264">
      <c r="A264" s="5" t="inlineStr">
        <is>
          <t>3206</t>
        </is>
      </c>
      <c r="B264" s="5" t="inlineStr"/>
      <c r="C264" s="5" t="inlineStr">
        <is>
          <t>ELECTRICMANDAYS&amp;RIGGINGMANDAYS</t>
        </is>
      </c>
      <c r="D264" s="5" t="inlineStr">
        <is>
          <t>Local728</t>
        </is>
      </c>
      <c r="E264" s="6" t="n">
        <v>20.57</v>
      </c>
      <c r="F264" s="5" t="n"/>
      <c r="G264" s="5" t="n"/>
      <c r="H264" s="5" t="n"/>
      <c r="I264" s="5" t="n"/>
      <c r="J264" s="7">
        <f>IF(AND(N(F264)&gt;0,N(I264)&gt;0),I264-F264-IF(N(G264)&gt;0,0.5,0)-IF(N(H264)&gt;0,0.5,0),0)</f>
        <v/>
      </c>
      <c r="K264" s="5" t="n"/>
      <c r="L264" s="7">
        <f>MIN(J264,10.0)</f>
        <v/>
      </c>
      <c r="M264" s="7">
        <f>MAX(0,MIN(J264,12)-10.0)</f>
        <v/>
      </c>
      <c r="N264" s="7">
        <f>MAX(0,J264-12)</f>
        <v/>
      </c>
      <c r="O264" s="5" t="n"/>
      <c r="P264" s="6">
        <f>E264*(L264+M264*1.5+N264*2+O264*3+N(K264))</f>
        <v/>
      </c>
      <c r="Q264" s="6" t="n">
        <v>318.83</v>
      </c>
      <c r="R264" s="6">
        <f>Q264-P264</f>
        <v/>
      </c>
    </row>
    <row r="265">
      <c r="P265" s="2" t="inlineStr">
        <is>
          <t>ADDITIONALELECTRICLABOR LABOR</t>
        </is>
      </c>
      <c r="R265" s="8">
        <f>SUM(R264:R264)</f>
        <v/>
      </c>
    </row>
    <row r="267">
      <c r="B267" s="2" t="inlineStr">
        <is>
          <t>DIRECTOROFPHOTOGRAPHY</t>
        </is>
      </c>
    </row>
    <row r="268">
      <c r="A268" s="5" t="inlineStr">
        <is>
          <t>3301</t>
        </is>
      </c>
      <c r="B268" s="5" t="inlineStr">
        <is>
          <t>Michael Burgess</t>
        </is>
      </c>
      <c r="C268" s="5" t="inlineStr">
        <is>
          <t>DIRECTOROFPHOTOGRAPHY</t>
        </is>
      </c>
      <c r="D268" s="5" t="inlineStr">
        <is>
          <t>Local600</t>
        </is>
      </c>
      <c r="E268" s="6" t="n">
        <v>700</v>
      </c>
      <c r="F268" s="5" t="n"/>
      <c r="G268" s="5" t="n"/>
      <c r="H268" s="5" t="n"/>
      <c r="I268" s="5" t="n"/>
      <c r="J268" s="7">
        <f>IF(AND(N(F268)&gt;0,N(I268)&gt;0),I268-F268-IF(N(G268)&gt;0,0.5,0)-IF(N(H268)&gt;0,0.5,0),0)</f>
        <v/>
      </c>
      <c r="K268" s="5" t="n"/>
      <c r="L268" s="7">
        <f>MIN(J268,8.0)</f>
        <v/>
      </c>
      <c r="M268" s="7">
        <f>MAX(0,MIN(J268,12)-8.0)</f>
        <v/>
      </c>
      <c r="N268" s="7">
        <f>MAX(0,J268-12)</f>
        <v/>
      </c>
      <c r="O268" s="5" t="n"/>
      <c r="P268" s="6">
        <f>E268*(L268+M268*1.5+N268*2+O268*3+N(K268))</f>
        <v/>
      </c>
      <c r="Q268" s="6" t="n">
        <v>700</v>
      </c>
      <c r="R268" s="6">
        <f>Q268-P268</f>
        <v/>
      </c>
    </row>
    <row r="269">
      <c r="P269" s="2" t="inlineStr">
        <is>
          <t>DIRECTOROFPHOTOGRAPHY LABOR</t>
        </is>
      </c>
      <c r="R269" s="8">
        <f>SUM(R268:R268)</f>
        <v/>
      </c>
    </row>
    <row r="271">
      <c r="B271" s="2" t="inlineStr">
        <is>
          <t>CAMERAOPERATORS</t>
        </is>
      </c>
    </row>
    <row r="272">
      <c r="A272" s="5" t="inlineStr">
        <is>
          <t>3302</t>
        </is>
      </c>
      <c r="B272" s="5" t="inlineStr">
        <is>
          <t>Craig Bauer</t>
        </is>
      </c>
      <c r="C272" s="5" t="inlineStr">
        <is>
          <t>"B"CAMERAOP</t>
        </is>
      </c>
      <c r="D272" s="5" t="inlineStr">
        <is>
          <t>Local600</t>
        </is>
      </c>
      <c r="E272" s="6" t="n">
        <v>45</v>
      </c>
      <c r="F272" s="5" t="n"/>
      <c r="G272" s="5" t="n"/>
      <c r="H272" s="5" t="n"/>
      <c r="I272" s="5" t="n"/>
      <c r="J272" s="7">
        <f>IF(AND(N(F272)&gt;0,N(I272)&gt;0),I272-F272-IF(N(G272)&gt;0,0.5,0)-IF(N(H272)&gt;0,0.5,0),0)</f>
        <v/>
      </c>
      <c r="K272" s="5" t="n"/>
      <c r="L272" s="7">
        <f>MIN(J272,8.0)</f>
        <v/>
      </c>
      <c r="M272" s="7">
        <f>MAX(0,MIN(J272,12)-8.0)</f>
        <v/>
      </c>
      <c r="N272" s="7">
        <f>MAX(0,J272-12)</f>
        <v/>
      </c>
      <c r="O272" s="5" t="n"/>
      <c r="P272" s="6">
        <f>E272*(L272+M272*1.5+N272*2+O272*3+N(K272))</f>
        <v/>
      </c>
      <c r="Q272" s="6" t="n">
        <v>630</v>
      </c>
      <c r="R272" s="6">
        <f>Q272-P272</f>
        <v/>
      </c>
    </row>
    <row r="273">
      <c r="P273" s="2" t="inlineStr">
        <is>
          <t>CAMERAOPERATORS LABOR</t>
        </is>
      </c>
      <c r="R273" s="8">
        <f>SUM(R272:R272)</f>
        <v/>
      </c>
    </row>
    <row r="275">
      <c r="B275" s="2" t="inlineStr">
        <is>
          <t>DIGITALIMAGINGTECHS</t>
        </is>
      </c>
    </row>
    <row r="276">
      <c r="A276" s="5" t="inlineStr">
        <is>
          <t>3304</t>
        </is>
      </c>
      <c r="B276" s="5" t="inlineStr">
        <is>
          <t>Oliver Mancebo</t>
        </is>
      </c>
      <c r="C276" s="5" t="inlineStr">
        <is>
          <t>DIT</t>
        </is>
      </c>
      <c r="D276" s="5" t="inlineStr">
        <is>
          <t>Local600</t>
        </is>
      </c>
      <c r="E276" s="6" t="n">
        <v>35</v>
      </c>
      <c r="F276" s="5" t="n"/>
      <c r="G276" s="5" t="n"/>
      <c r="H276" s="5" t="n"/>
      <c r="I276" s="5" t="n"/>
      <c r="J276" s="7">
        <f>IF(AND(N(F276)&gt;0,N(I276)&gt;0),I276-F276-IF(N(G276)&gt;0,0.5,0)-IF(N(H276)&gt;0,0.5,0),0)</f>
        <v/>
      </c>
      <c r="K276" s="5" t="n"/>
      <c r="L276" s="7">
        <f>MIN(J276,8.0)</f>
        <v/>
      </c>
      <c r="M276" s="7">
        <f>MAX(0,MIN(J276,12)-8.0)</f>
        <v/>
      </c>
      <c r="N276" s="7">
        <f>MAX(0,J276-12)</f>
        <v/>
      </c>
      <c r="O276" s="5" t="n"/>
      <c r="P276" s="6">
        <f>E276*(L276+M276*1.5+N276*2+O276*3+N(K276))</f>
        <v/>
      </c>
      <c r="Q276" s="6" t="n">
        <v>542.5</v>
      </c>
      <c r="R276" s="6">
        <f>Q276-P276</f>
        <v/>
      </c>
    </row>
    <row r="277">
      <c r="P277" s="2" t="inlineStr">
        <is>
          <t>DIGITALIMAGINGTECHS LABOR</t>
        </is>
      </c>
      <c r="R277" s="8">
        <f>SUM(R276:R276)</f>
        <v/>
      </c>
    </row>
    <row r="279">
      <c r="B279" s="2" t="inlineStr">
        <is>
          <t>1STASSTCAMERA</t>
        </is>
      </c>
    </row>
    <row r="280">
      <c r="A280" s="5" t="inlineStr">
        <is>
          <t>3305</t>
        </is>
      </c>
      <c r="B280" s="5" t="inlineStr">
        <is>
          <t>Steve Cueva</t>
        </is>
      </c>
      <c r="C280" s="5" t="inlineStr">
        <is>
          <t>"A"CAMERA 1STAC</t>
        </is>
      </c>
      <c r="D280" s="5" t="inlineStr">
        <is>
          <t>Local600</t>
        </is>
      </c>
      <c r="E280" s="6" t="n">
        <v>25.5</v>
      </c>
      <c r="F280" s="5" t="n"/>
      <c r="G280" s="5" t="n"/>
      <c r="H280" s="5" t="n"/>
      <c r="I280" s="5" t="n"/>
      <c r="J280" s="7">
        <f>IF(AND(N(F280)&gt;0,N(I280)&gt;0),I280-F280-IF(N(G280)&gt;0,0.5,0)-IF(N(H280)&gt;0,0.5,0),0)</f>
        <v/>
      </c>
      <c r="K280" s="5" t="n"/>
      <c r="L280" s="7">
        <f>MIN(J280,8.0)</f>
        <v/>
      </c>
      <c r="M280" s="7">
        <f>MAX(0,MIN(J280,12)-8.0)</f>
        <v/>
      </c>
      <c r="N280" s="7">
        <f>MAX(0,J280-12)</f>
        <v/>
      </c>
      <c r="O280" s="5" t="n"/>
      <c r="P280" s="6">
        <f>E280*(L280+M280*1.5+N280*2+O280*3+N(K280))</f>
        <v/>
      </c>
      <c r="Q280" s="6" t="n">
        <v>395.25</v>
      </c>
      <c r="R280" s="6">
        <f>Q280-P280</f>
        <v/>
      </c>
    </row>
    <row r="281">
      <c r="A281" s="5" t="inlineStr">
        <is>
          <t>3305</t>
        </is>
      </c>
      <c r="B281" s="5" t="inlineStr">
        <is>
          <t>Chris Garcia</t>
        </is>
      </c>
      <c r="C281" s="5" t="inlineStr">
        <is>
          <t>"B"CAMERA 1STAC</t>
        </is>
      </c>
      <c r="D281" s="5" t="inlineStr">
        <is>
          <t>Local600</t>
        </is>
      </c>
      <c r="E281" s="6" t="n">
        <v>25.5</v>
      </c>
      <c r="F281" s="5" t="n"/>
      <c r="G281" s="5" t="n"/>
      <c r="H281" s="5" t="n"/>
      <c r="I281" s="5" t="n"/>
      <c r="J281" s="7">
        <f>IF(AND(N(F281)&gt;0,N(I281)&gt;0),I281-F281-IF(N(G281)&gt;0,0.5,0)-IF(N(H281)&gt;0,0.5,0),0)</f>
        <v/>
      </c>
      <c r="K281" s="5" t="n"/>
      <c r="L281" s="7">
        <f>MIN(J281,8.0)</f>
        <v/>
      </c>
      <c r="M281" s="7">
        <f>MAX(0,MIN(J281,12)-8.0)</f>
        <v/>
      </c>
      <c r="N281" s="7">
        <f>MAX(0,J281-12)</f>
        <v/>
      </c>
      <c r="O281" s="5" t="n"/>
      <c r="P281" s="6">
        <f>E281*(L281+M281*1.5+N281*2+O281*3+N(K281))</f>
        <v/>
      </c>
      <c r="Q281" s="6" t="n">
        <v>395.25</v>
      </c>
      <c r="R281" s="6">
        <f>Q281-P281</f>
        <v/>
      </c>
    </row>
    <row r="282">
      <c r="P282" s="2" t="inlineStr">
        <is>
          <t>1STASSTCAMERA LABOR</t>
        </is>
      </c>
      <c r="R282" s="8">
        <f>SUM(R280:R281)</f>
        <v/>
      </c>
    </row>
    <row r="284">
      <c r="B284" s="2" t="inlineStr">
        <is>
          <t>2NDASSTCAMERA</t>
        </is>
      </c>
    </row>
    <row r="285">
      <c r="A285" s="5" t="inlineStr">
        <is>
          <t>3306</t>
        </is>
      </c>
      <c r="B285" s="5" t="inlineStr">
        <is>
          <t>Manny Serrano</t>
        </is>
      </c>
      <c r="C285" s="5" t="inlineStr">
        <is>
          <t>"A"CAMERA 2NDAC</t>
        </is>
      </c>
      <c r="D285" s="5" t="inlineStr">
        <is>
          <t>Local600</t>
        </is>
      </c>
      <c r="E285" s="6" t="n">
        <v>23.04</v>
      </c>
      <c r="F285" s="5" t="n"/>
      <c r="G285" s="5" t="n"/>
      <c r="H285" s="5" t="n"/>
      <c r="I285" s="5" t="n"/>
      <c r="J285" s="7">
        <f>IF(AND(N(F285)&gt;0,N(I285)&gt;0),I285-F285-IF(N(G285)&gt;0,0.5,0)-IF(N(H285)&gt;0,0.5,0),0)</f>
        <v/>
      </c>
      <c r="K285" s="5" t="n"/>
      <c r="L285" s="7">
        <f>MIN(J285,8.0)</f>
        <v/>
      </c>
      <c r="M285" s="7">
        <f>MAX(0,MIN(J285,12)-8.0)</f>
        <v/>
      </c>
      <c r="N285" s="7">
        <f>MAX(0,J285-12)</f>
        <v/>
      </c>
      <c r="O285" s="5" t="n"/>
      <c r="P285" s="6">
        <f>E285*(L285+M285*1.5+N285*2+O285*3+N(K285))</f>
        <v/>
      </c>
      <c r="Q285" s="6" t="n">
        <v>357.12</v>
      </c>
      <c r="R285" s="6">
        <f>Q285-P285</f>
        <v/>
      </c>
    </row>
    <row r="286">
      <c r="A286" s="5" t="inlineStr">
        <is>
          <t>3306</t>
        </is>
      </c>
      <c r="B286" s="5" t="inlineStr"/>
      <c r="C286" s="5" t="inlineStr">
        <is>
          <t>"B"CAMERA 2NDAC</t>
        </is>
      </c>
      <c r="D286" s="5" t="inlineStr">
        <is>
          <t>Local600</t>
        </is>
      </c>
      <c r="E286" s="6" t="n">
        <v>23.04</v>
      </c>
      <c r="F286" s="5" t="n"/>
      <c r="G286" s="5" t="n"/>
      <c r="H286" s="5" t="n"/>
      <c r="I286" s="5" t="n"/>
      <c r="J286" s="7">
        <f>IF(AND(N(F286)&gt;0,N(I286)&gt;0),I286-F286-IF(N(G286)&gt;0,0.5,0)-IF(N(H286)&gt;0,0.5,0),0)</f>
        <v/>
      </c>
      <c r="K286" s="5" t="n"/>
      <c r="L286" s="7">
        <f>MIN(J286,8.0)</f>
        <v/>
      </c>
      <c r="M286" s="7">
        <f>MAX(0,MIN(J286,12)-8.0)</f>
        <v/>
      </c>
      <c r="N286" s="7">
        <f>MAX(0,J286-12)</f>
        <v/>
      </c>
      <c r="O286" s="5" t="n"/>
      <c r="P286" s="6">
        <f>E286*(L286+M286*1.5+N286*2+O286*3+N(K286))</f>
        <v/>
      </c>
      <c r="Q286" s="6" t="n">
        <v>357.12</v>
      </c>
      <c r="R286" s="6">
        <f>Q286-P286</f>
        <v/>
      </c>
    </row>
    <row r="287">
      <c r="P287" s="2" t="inlineStr">
        <is>
          <t>2NDASSTCAMERA LABOR</t>
        </is>
      </c>
      <c r="R287" s="8">
        <f>SUM(R285:R286)</f>
        <v/>
      </c>
    </row>
    <row r="289">
      <c r="B289" s="2" t="inlineStr">
        <is>
          <t>STILLPHOTOGRAPHER</t>
        </is>
      </c>
    </row>
    <row r="290">
      <c r="A290" s="5" t="inlineStr">
        <is>
          <t>3308</t>
        </is>
      </c>
      <c r="B290" s="5" t="inlineStr">
        <is>
          <t>Scott Patrick Green</t>
        </is>
      </c>
      <c r="C290" s="5" t="inlineStr">
        <is>
          <t>STILLPHOTOGRAPHER</t>
        </is>
      </c>
      <c r="D290" s="5" t="inlineStr">
        <is>
          <t>Local600</t>
        </is>
      </c>
      <c r="E290" s="6" t="n">
        <v>26.5</v>
      </c>
      <c r="F290" s="5" t="n"/>
      <c r="G290" s="5" t="n"/>
      <c r="H290" s="5" t="n"/>
      <c r="I290" s="5" t="n"/>
      <c r="J290" s="7">
        <f>IF(AND(N(F290)&gt;0,N(I290)&gt;0),I290-F290-IF(N(G290)&gt;0,0.5,0)-IF(N(H290)&gt;0,0.5,0),0)</f>
        <v/>
      </c>
      <c r="K290" s="5" t="n"/>
      <c r="L290" s="7">
        <f>MIN(J290,8.0)</f>
        <v/>
      </c>
      <c r="M290" s="7">
        <f>MAX(0,MIN(J290,12)-8.0)</f>
        <v/>
      </c>
      <c r="N290" s="7">
        <f>MAX(0,J290-12)</f>
        <v/>
      </c>
      <c r="O290" s="5" t="n"/>
      <c r="P290" s="6">
        <f>E290*(L290+M290*1.5+N290*2+O290*3+N(K290))</f>
        <v/>
      </c>
      <c r="Q290" s="6" t="n">
        <v>291.5</v>
      </c>
      <c r="R290" s="6">
        <f>Q290-P290</f>
        <v/>
      </c>
    </row>
    <row r="291">
      <c r="P291" s="2" t="inlineStr">
        <is>
          <t>STILLPHOTOGRAPHER LABOR</t>
        </is>
      </c>
      <c r="R291" s="8">
        <f>SUM(R290:R290)</f>
        <v/>
      </c>
    </row>
    <row r="293">
      <c r="B293" s="2" t="inlineStr">
        <is>
          <t>AERIAL/UNDERWATERPHOTOGRAPHY</t>
        </is>
      </c>
    </row>
    <row r="294">
      <c r="A294" s="5" t="inlineStr">
        <is>
          <t>3385</t>
        </is>
      </c>
      <c r="B294" s="5" t="inlineStr"/>
      <c r="C294" s="5" t="inlineStr">
        <is>
          <t>UNDERWATEROPERATOR</t>
        </is>
      </c>
      <c r="D294" s="5" t="inlineStr">
        <is>
          <t>Local600</t>
        </is>
      </c>
      <c r="E294" s="6" t="n">
        <v>65</v>
      </c>
      <c r="F294" s="5" t="n"/>
      <c r="G294" s="5" t="n"/>
      <c r="H294" s="5" t="n"/>
      <c r="I294" s="5" t="n"/>
      <c r="J294" s="7">
        <f>IF(AND(N(F294)&gt;0,N(I294)&gt;0),I294-F294-IF(N(G294)&gt;0,0.5,0)-IF(N(H294)&gt;0,0.5,0),0)</f>
        <v/>
      </c>
      <c r="K294" s="5" t="n"/>
      <c r="L294" s="7">
        <f>MIN(J294,8.0)</f>
        <v/>
      </c>
      <c r="M294" s="7">
        <f>MAX(0,MIN(J294,12)-8.0)</f>
        <v/>
      </c>
      <c r="N294" s="7">
        <f>MAX(0,J294-12)</f>
        <v/>
      </c>
      <c r="O294" s="5" t="n"/>
      <c r="P294" s="6">
        <f>E294*(L294+M294*1.5+N294*2+O294*3+N(K294))</f>
        <v/>
      </c>
      <c r="Q294" s="6" t="n">
        <v>910</v>
      </c>
      <c r="R294" s="6">
        <f>Q294-P294</f>
        <v/>
      </c>
    </row>
    <row r="295">
      <c r="P295" s="2" t="inlineStr">
        <is>
          <t>AERIAL/UNDERWATERPHOTOGRAPHY LABOR</t>
        </is>
      </c>
      <c r="R295" s="8">
        <f>SUM(R294:R294)</f>
        <v/>
      </c>
    </row>
    <row r="297">
      <c r="B297" s="2" t="inlineStr">
        <is>
          <t>SOUNDMIXER</t>
        </is>
      </c>
    </row>
    <row r="298">
      <c r="A298" s="5" t="inlineStr">
        <is>
          <t>3401</t>
        </is>
      </c>
      <c r="B298" s="5" t="inlineStr">
        <is>
          <t>Julian Howarth</t>
        </is>
      </c>
      <c r="C298" s="5" t="inlineStr">
        <is>
          <t>SOUNDMIXER</t>
        </is>
      </c>
      <c r="D298" s="5" t="inlineStr">
        <is>
          <t>Local695</t>
        </is>
      </c>
      <c r="E298" s="6" t="n">
        <v>26.5</v>
      </c>
      <c r="F298" s="5" t="n"/>
      <c r="G298" s="5" t="n"/>
      <c r="H298" s="5" t="n"/>
      <c r="I298" s="5" t="n"/>
      <c r="J298" s="7">
        <f>IF(AND(N(F298)&gt;0,N(I298)&gt;0),I298-F298-IF(N(G298)&gt;0,0.5,0)-IF(N(H298)&gt;0,0.5,0),0)</f>
        <v/>
      </c>
      <c r="K298" s="5" t="n"/>
      <c r="L298" s="7">
        <f>MIN(J298,10.0)</f>
        <v/>
      </c>
      <c r="M298" s="7">
        <f>MAX(0,MIN(J298,12)-10.0)</f>
        <v/>
      </c>
      <c r="N298" s="7">
        <f>MAX(0,J298-12)</f>
        <v/>
      </c>
      <c r="O298" s="5" t="n"/>
      <c r="P298" s="6">
        <f>E298*(L298+M298*1.5+N298*2+O298*3+N(K298))</f>
        <v/>
      </c>
      <c r="Q298" s="6" t="n">
        <v>410.75</v>
      </c>
      <c r="R298" s="6">
        <f>Q298-P298</f>
        <v/>
      </c>
    </row>
    <row r="299">
      <c r="P299" s="2" t="inlineStr">
        <is>
          <t>SOUNDMIXER LABOR</t>
        </is>
      </c>
      <c r="R299" s="8">
        <f>SUM(R298:R298)</f>
        <v/>
      </c>
    </row>
    <row r="301">
      <c r="B301" s="2" t="inlineStr">
        <is>
          <t>BOOMOPERATOR</t>
        </is>
      </c>
    </row>
    <row r="302">
      <c r="A302" s="5" t="inlineStr">
        <is>
          <t>3402</t>
        </is>
      </c>
      <c r="B302" s="5" t="inlineStr">
        <is>
          <t>Tim Song Jones</t>
        </is>
      </c>
      <c r="C302" s="5" t="inlineStr">
        <is>
          <t>BOOMOPERATOR</t>
        </is>
      </c>
      <c r="D302" s="5" t="inlineStr">
        <is>
          <t>Local695</t>
        </is>
      </c>
      <c r="E302" s="6" t="n">
        <v>23.04</v>
      </c>
      <c r="F302" s="5" t="n"/>
      <c r="G302" s="5" t="n"/>
      <c r="H302" s="5" t="n"/>
      <c r="I302" s="5" t="n"/>
      <c r="J302" s="7">
        <f>IF(AND(N(F302)&gt;0,N(I302)&gt;0),I302-F302-IF(N(G302)&gt;0,0.5,0)-IF(N(H302)&gt;0,0.5,0),0)</f>
        <v/>
      </c>
      <c r="K302" s="5" t="n"/>
      <c r="L302" s="7">
        <f>MIN(J302,10.0)</f>
        <v/>
      </c>
      <c r="M302" s="7">
        <f>MAX(0,MIN(J302,12)-10.0)</f>
        <v/>
      </c>
      <c r="N302" s="7">
        <f>MAX(0,J302-12)</f>
        <v/>
      </c>
      <c r="O302" s="5" t="n"/>
      <c r="P302" s="6">
        <f>E302*(L302+M302*1.5+N302*2+O302*3+N(K302))</f>
        <v/>
      </c>
      <c r="Q302" s="6" t="n">
        <v>357.12</v>
      </c>
      <c r="R302" s="6">
        <f>Q302-P302</f>
        <v/>
      </c>
    </row>
    <row r="303">
      <c r="P303" s="2" t="inlineStr">
        <is>
          <t>BOOMOPERATOR LABOR</t>
        </is>
      </c>
      <c r="R303" s="8">
        <f>SUM(R302:R302)</f>
        <v/>
      </c>
    </row>
    <row r="305">
      <c r="B305" s="2" t="inlineStr">
        <is>
          <t>CABLEPERSON</t>
        </is>
      </c>
    </row>
    <row r="306">
      <c r="A306" s="5" t="inlineStr">
        <is>
          <t>3403</t>
        </is>
      </c>
      <c r="B306" s="5" t="inlineStr"/>
      <c r="C306" s="5" t="inlineStr">
        <is>
          <t>UTILITYSOUND</t>
        </is>
      </c>
      <c r="D306" s="5" t="inlineStr">
        <is>
          <t>Local695</t>
        </is>
      </c>
      <c r="E306" s="6" t="n">
        <v>20.57</v>
      </c>
      <c r="F306" s="5" t="n"/>
      <c r="G306" s="5" t="n"/>
      <c r="H306" s="5" t="n"/>
      <c r="I306" s="5" t="n"/>
      <c r="J306" s="7">
        <f>IF(AND(N(F306)&gt;0,N(I306)&gt;0),I306-F306-IF(N(G306)&gt;0,0.5,0)-IF(N(H306)&gt;0,0.5,0),0)</f>
        <v/>
      </c>
      <c r="K306" s="5" t="n"/>
      <c r="L306" s="7">
        <f>MIN(J306,10.0)</f>
        <v/>
      </c>
      <c r="M306" s="7">
        <f>MAX(0,MIN(J306,12)-10.0)</f>
        <v/>
      </c>
      <c r="N306" s="7">
        <f>MAX(0,J306-12)</f>
        <v/>
      </c>
      <c r="O306" s="5" t="n"/>
      <c r="P306" s="6">
        <f>E306*(L306+M306*1.5+N306*2+O306*3+N(K306))</f>
        <v/>
      </c>
      <c r="Q306" s="6" t="n">
        <v>318.83</v>
      </c>
      <c r="R306" s="6">
        <f>Q306-P306</f>
        <v/>
      </c>
    </row>
    <row r="307">
      <c r="P307" s="2" t="inlineStr">
        <is>
          <t>CABLEPERSON LABOR</t>
        </is>
      </c>
      <c r="R307" s="8">
        <f>SUM(R306:R306)</f>
        <v/>
      </c>
    </row>
    <row r="309">
      <c r="B309" s="2" t="inlineStr">
        <is>
          <t>VIDEOASSIST</t>
        </is>
      </c>
    </row>
    <row r="310">
      <c r="A310" s="5" t="inlineStr">
        <is>
          <t>3404</t>
        </is>
      </c>
      <c r="B310" s="5" t="inlineStr">
        <is>
          <t>Jeff Snyder</t>
        </is>
      </c>
      <c r="C310" s="5" t="inlineStr">
        <is>
          <t>VIDEOASSISTOPERATOR</t>
        </is>
      </c>
      <c r="D310" s="5" t="inlineStr">
        <is>
          <t>Local695</t>
        </is>
      </c>
      <c r="E310" s="6" t="n">
        <v>23.04</v>
      </c>
      <c r="F310" s="5" t="n"/>
      <c r="G310" s="5" t="n"/>
      <c r="H310" s="5" t="n"/>
      <c r="I310" s="5" t="n"/>
      <c r="J310" s="7">
        <f>IF(AND(N(F310)&gt;0,N(I310)&gt;0),I310-F310-IF(N(G310)&gt;0,0.5,0)-IF(N(H310)&gt;0,0.5,0),0)</f>
        <v/>
      </c>
      <c r="K310" s="5" t="n"/>
      <c r="L310" s="7">
        <f>MIN(J310,10.0)</f>
        <v/>
      </c>
      <c r="M310" s="7">
        <f>MAX(0,MIN(J310,12)-10.0)</f>
        <v/>
      </c>
      <c r="N310" s="7">
        <f>MAX(0,J310-12)</f>
        <v/>
      </c>
      <c r="O310" s="5" t="n"/>
      <c r="P310" s="6">
        <f>E310*(L310+M310*1.5+N310*2+O310*3+N(K310))</f>
        <v/>
      </c>
      <c r="Q310" s="6" t="n">
        <v>357.12</v>
      </c>
      <c r="R310" s="6">
        <f>Q310-P310</f>
        <v/>
      </c>
    </row>
    <row r="311">
      <c r="P311" s="2" t="inlineStr">
        <is>
          <t>VIDEOASSIST LABOR</t>
        </is>
      </c>
      <c r="R311" s="8">
        <f>SUM(R310:R310)</f>
        <v/>
      </c>
    </row>
    <row r="313">
      <c r="B313" s="2" t="inlineStr">
        <is>
          <t>CAPTAIN</t>
        </is>
      </c>
    </row>
    <row r="314">
      <c r="A314" s="5" t="inlineStr">
        <is>
          <t>3502</t>
        </is>
      </c>
      <c r="B314" s="5" t="inlineStr">
        <is>
          <t>Kevin Caira</t>
        </is>
      </c>
      <c r="C314" s="5" t="inlineStr">
        <is>
          <t>TRANSPOCAPTAIN(LA)</t>
        </is>
      </c>
      <c r="D314" s="5" t="inlineStr">
        <is>
          <t>Local399</t>
        </is>
      </c>
      <c r="E314" s="6" t="n">
        <v>37.21</v>
      </c>
      <c r="F314" s="5" t="n"/>
      <c r="G314" s="5" t="n"/>
      <c r="H314" s="5" t="n"/>
      <c r="I314" s="5" t="n"/>
      <c r="J314" s="7">
        <f>IF(AND(N(F314)&gt;0,N(I314)&gt;0),I314-F314-IF(N(G314)&gt;0,0.5,0)-IF(N(H314)&gt;0,0.5,0),0)</f>
        <v/>
      </c>
      <c r="K314" s="5" t="n"/>
      <c r="L314" s="7">
        <f>MIN(J314,8.0)</f>
        <v/>
      </c>
      <c r="M314" s="7">
        <f>MAX(0,MIN(J314,12)-8.0)</f>
        <v/>
      </c>
      <c r="N314" s="7">
        <f>MAX(0,J314-12)</f>
        <v/>
      </c>
      <c r="O314" s="5" t="n"/>
      <c r="P314" s="6">
        <f>E314*(L314+M314*1.5+N314*2+O314*3+N(K314))</f>
        <v/>
      </c>
      <c r="Q314" s="6" t="n">
        <v>651.17</v>
      </c>
      <c r="R314" s="6">
        <f>Q314-P314</f>
        <v/>
      </c>
    </row>
    <row r="315">
      <c r="A315" s="5" t="inlineStr">
        <is>
          <t>3502</t>
        </is>
      </c>
      <c r="B315" s="5" t="inlineStr">
        <is>
          <t>Tina Peterson</t>
        </is>
      </c>
      <c r="C315" s="5" t="inlineStr">
        <is>
          <t>CO-CAPTAIN</t>
        </is>
      </c>
      <c r="D315" s="5" t="inlineStr">
        <is>
          <t>Local399</t>
        </is>
      </c>
      <c r="E315" s="6" t="n">
        <v>37.21</v>
      </c>
      <c r="F315" s="5" t="n"/>
      <c r="G315" s="5" t="n"/>
      <c r="H315" s="5" t="n"/>
      <c r="I315" s="5" t="n"/>
      <c r="J315" s="7">
        <f>IF(AND(N(F315)&gt;0,N(I315)&gt;0),I315-F315-IF(N(G315)&gt;0,0.5,0)-IF(N(H315)&gt;0,0.5,0),0)</f>
        <v/>
      </c>
      <c r="K315" s="5" t="n"/>
      <c r="L315" s="7">
        <f>MIN(J315,8.0)</f>
        <v/>
      </c>
      <c r="M315" s="7">
        <f>MAX(0,MIN(J315,12)-8.0)</f>
        <v/>
      </c>
      <c r="N315" s="7">
        <f>MAX(0,J315-12)</f>
        <v/>
      </c>
      <c r="O315" s="5" t="n"/>
      <c r="P315" s="6">
        <f>E315*(L315+M315*1.5+N315*2+O315*3+N(K315))</f>
        <v/>
      </c>
      <c r="Q315" s="6" t="n">
        <v>576.75</v>
      </c>
      <c r="R315" s="6">
        <f>Q315-P315</f>
        <v/>
      </c>
    </row>
    <row r="316">
      <c r="P316" s="2" t="inlineStr">
        <is>
          <t>CAPTAIN LABOR</t>
        </is>
      </c>
      <c r="R316" s="8">
        <f>SUM(R314:R315)</f>
        <v/>
      </c>
    </row>
    <row r="318">
      <c r="B318" s="2" t="inlineStr">
        <is>
          <t>DRIVERS</t>
        </is>
      </c>
    </row>
    <row r="319">
      <c r="A319" s="5" t="inlineStr">
        <is>
          <t>3503</t>
        </is>
      </c>
      <c r="B319" s="5" t="inlineStr"/>
      <c r="C319" s="5" t="inlineStr">
        <is>
          <t>GRIPTRUCK 48'TRACTORTRAILERDRIVER</t>
        </is>
      </c>
      <c r="D319" s="5" t="inlineStr"/>
      <c r="E319" s="6" t="n">
        <v>32.36</v>
      </c>
      <c r="F319" s="5" t="n"/>
      <c r="G319" s="5" t="n"/>
      <c r="H319" s="5" t="n"/>
      <c r="I319" s="5" t="n"/>
      <c r="J319" s="7">
        <f>IF(AND(N(F319)&gt;0,N(I319)&gt;0),I319-F319-IF(N(G319)&gt;0,0.5,0)-IF(N(H319)&gt;0,0.5,0),0)</f>
        <v/>
      </c>
      <c r="K319" s="5" t="n"/>
      <c r="L319" s="7">
        <f>MIN(J319,8.0)</f>
        <v/>
      </c>
      <c r="M319" s="7">
        <f>MAX(0,MIN(J319,12)-8.0)</f>
        <v/>
      </c>
      <c r="N319" s="7">
        <f>MAX(0,J319-12)</f>
        <v/>
      </c>
      <c r="O319" s="5" t="n"/>
      <c r="P319" s="6">
        <f>E319*(L319+M319*1.5+N319*2+O319*3+N(K319))</f>
        <v/>
      </c>
      <c r="Q319" s="6" t="n">
        <v>501.58</v>
      </c>
      <c r="R319" s="6">
        <f>Q319-P319</f>
        <v/>
      </c>
    </row>
    <row r="320">
      <c r="A320" s="5" t="inlineStr">
        <is>
          <t>3503</t>
        </is>
      </c>
      <c r="B320" s="5" t="inlineStr">
        <is>
          <t>Donald Wilson</t>
        </is>
      </c>
      <c r="C320" s="5" t="inlineStr">
        <is>
          <t>PROP 5-TON(ENCLOSED)</t>
        </is>
      </c>
      <c r="D320" s="5" t="inlineStr"/>
      <c r="E320" s="6" t="n">
        <v>32.36</v>
      </c>
      <c r="F320" s="5" t="n"/>
      <c r="G320" s="5" t="n"/>
      <c r="H320" s="5" t="n"/>
      <c r="I320" s="5" t="n"/>
      <c r="J320" s="7">
        <f>IF(AND(N(F320)&gt;0,N(I320)&gt;0),I320-F320-IF(N(G320)&gt;0,0.5,0)-IF(N(H320)&gt;0,0.5,0),0)</f>
        <v/>
      </c>
      <c r="K320" s="5" t="n"/>
      <c r="L320" s="7">
        <f>MIN(J320,8.0)</f>
        <v/>
      </c>
      <c r="M320" s="7">
        <f>MAX(0,MIN(J320,12)-8.0)</f>
        <v/>
      </c>
      <c r="N320" s="7">
        <f>MAX(0,J320-12)</f>
        <v/>
      </c>
      <c r="O320" s="5" t="n"/>
      <c r="P320" s="6">
        <f>E320*(L320+M320*1.5+N320*2+O320*3+N(K320))</f>
        <v/>
      </c>
      <c r="Q320" s="6" t="n">
        <v>501.58</v>
      </c>
      <c r="R320" s="6">
        <f>Q320-P320</f>
        <v/>
      </c>
    </row>
    <row r="321">
      <c r="A321" s="5" t="inlineStr">
        <is>
          <t>3503</t>
        </is>
      </c>
      <c r="B321" s="5" t="inlineStr"/>
      <c r="C321" s="5" t="inlineStr">
        <is>
          <t>WARDROBESTAKEBEDDRIVER#1</t>
        </is>
      </c>
      <c r="D321" s="5" t="inlineStr"/>
      <c r="E321" s="6" t="n">
        <v>37.99</v>
      </c>
      <c r="F321" s="5" t="n"/>
      <c r="G321" s="5" t="n"/>
      <c r="H321" s="5" t="n"/>
      <c r="I321" s="5" t="n"/>
      <c r="J321" s="7">
        <f>IF(AND(N(F321)&gt;0,N(I321)&gt;0),I321-F321-IF(N(G321)&gt;0,0.5,0)-IF(N(H321)&gt;0,0.5,0),0)</f>
        <v/>
      </c>
      <c r="K321" s="5" t="n"/>
      <c r="L321" s="7">
        <f>MIN(J321,8.0)</f>
        <v/>
      </c>
      <c r="M321" s="7">
        <f>MAX(0,MIN(J321,12)-8.0)</f>
        <v/>
      </c>
      <c r="N321" s="7">
        <f>MAX(0,J321-12)</f>
        <v/>
      </c>
      <c r="O321" s="5" t="n"/>
      <c r="P321" s="6">
        <f>E321*(L321+M321*1.5+N321*2+O321*3+N(K321))</f>
        <v/>
      </c>
      <c r="Q321" s="6" t="n">
        <v>588.85</v>
      </c>
      <c r="R321" s="6">
        <f>Q321-P321</f>
        <v/>
      </c>
    </row>
    <row r="322">
      <c r="A322" s="5" t="inlineStr">
        <is>
          <t>3503</t>
        </is>
      </c>
      <c r="B322" s="5" t="inlineStr"/>
      <c r="C322" s="5" t="inlineStr">
        <is>
          <t>MAKEUPHAIRTRAILERDRIVER</t>
        </is>
      </c>
      <c r="D322" s="5" t="inlineStr"/>
      <c r="E322" s="6" t="n">
        <v>32.36</v>
      </c>
      <c r="F322" s="5" t="n"/>
      <c r="G322" s="5" t="n"/>
      <c r="H322" s="5" t="n"/>
      <c r="I322" s="5" t="n"/>
      <c r="J322" s="7">
        <f>IF(AND(N(F322)&gt;0,N(I322)&gt;0),I322-F322-IF(N(G322)&gt;0,0.5,0)-IF(N(H322)&gt;0,0.5,0),0)</f>
        <v/>
      </c>
      <c r="K322" s="5" t="n"/>
      <c r="L322" s="7">
        <f>MIN(J322,8.0)</f>
        <v/>
      </c>
      <c r="M322" s="7">
        <f>MAX(0,MIN(J322,12)-8.0)</f>
        <v/>
      </c>
      <c r="N322" s="7">
        <f>MAX(0,J322-12)</f>
        <v/>
      </c>
      <c r="O322" s="5" t="n"/>
      <c r="P322" s="6">
        <f>E322*(L322+M322*1.5+N322*2+O322*3+N(K322))</f>
        <v/>
      </c>
      <c r="Q322" s="6" t="n">
        <v>501.58</v>
      </c>
      <c r="R322" s="6">
        <f>Q322-P322</f>
        <v/>
      </c>
    </row>
    <row r="323">
      <c r="A323" s="5" t="inlineStr">
        <is>
          <t>3503</t>
        </is>
      </c>
      <c r="B323" s="5" t="inlineStr"/>
      <c r="C323" s="5" t="inlineStr">
        <is>
          <t>ELECTRIC 10TONDRIVER(GENIEOPERATOR)</t>
        </is>
      </c>
      <c r="D323" s="5" t="inlineStr"/>
      <c r="E323" s="6" t="n">
        <v>37.99</v>
      </c>
      <c r="F323" s="5" t="n"/>
      <c r="G323" s="5" t="n"/>
      <c r="H323" s="5" t="n"/>
      <c r="I323" s="5" t="n"/>
      <c r="J323" s="7">
        <f>IF(AND(N(F323)&gt;0,N(I323)&gt;0),I323-F323-IF(N(G323)&gt;0,0.5,0)-IF(N(H323)&gt;0,0.5,0),0)</f>
        <v/>
      </c>
      <c r="K323" s="5" t="n"/>
      <c r="L323" s="7">
        <f>MIN(J323,8.0)</f>
        <v/>
      </c>
      <c r="M323" s="7">
        <f>MAX(0,MIN(J323,12)-8.0)</f>
        <v/>
      </c>
      <c r="N323" s="7">
        <f>MAX(0,J323-12)</f>
        <v/>
      </c>
      <c r="O323" s="5" t="n"/>
      <c r="P323" s="6">
        <f>E323*(L323+M323*1.5+N323*2+O323*3+N(K323))</f>
        <v/>
      </c>
      <c r="Q323" s="6" t="n">
        <v>588.85</v>
      </c>
      <c r="R323" s="6">
        <f>Q323-P323</f>
        <v/>
      </c>
    </row>
    <row r="324">
      <c r="A324" s="5" t="inlineStr">
        <is>
          <t>3503</t>
        </is>
      </c>
      <c r="B324" s="5" t="inlineStr"/>
      <c r="C324" s="5" t="inlineStr">
        <is>
          <t>SOUNDCCSTAKEBEDFUELTRUCKDRIVER</t>
        </is>
      </c>
      <c r="D324" s="5" t="inlineStr"/>
      <c r="E324" s="6" t="n">
        <v>32.36</v>
      </c>
      <c r="F324" s="5" t="n"/>
      <c r="G324" s="5" t="n"/>
      <c r="H324" s="5" t="n"/>
      <c r="I324" s="5" t="n"/>
      <c r="J324" s="7">
        <f>IF(AND(N(F324)&gt;0,N(I324)&gt;0),I324-F324-IF(N(G324)&gt;0,0.5,0)-IF(N(H324)&gt;0,0.5,0),0)</f>
        <v/>
      </c>
      <c r="K324" s="5" t="n"/>
      <c r="L324" s="7">
        <f>MIN(J324,8.0)</f>
        <v/>
      </c>
      <c r="M324" s="7">
        <f>MAX(0,MIN(J324,12)-8.0)</f>
        <v/>
      </c>
      <c r="N324" s="7">
        <f>MAX(0,J324-12)</f>
        <v/>
      </c>
      <c r="O324" s="5" t="n"/>
      <c r="P324" s="6">
        <f>E324*(L324+M324*1.5+N324*2+O324*3+N(K324))</f>
        <v/>
      </c>
      <c r="Q324" s="6" t="n">
        <v>501.58</v>
      </c>
      <c r="R324" s="6">
        <f>Q324-P324</f>
        <v/>
      </c>
    </row>
    <row r="325">
      <c r="A325" s="5" t="inlineStr">
        <is>
          <t>3503</t>
        </is>
      </c>
      <c r="B325" s="5" t="inlineStr"/>
      <c r="C325" s="5" t="inlineStr">
        <is>
          <t>9-ROOMHONEYWAGONTRACTORDRIVER</t>
        </is>
      </c>
      <c r="D325" s="5" t="inlineStr"/>
      <c r="E325" s="6" t="n">
        <v>32.36</v>
      </c>
      <c r="F325" s="5" t="n"/>
      <c r="G325" s="5" t="n"/>
      <c r="H325" s="5" t="n"/>
      <c r="I325" s="5" t="n"/>
      <c r="J325" s="7">
        <f>IF(AND(N(F325)&gt;0,N(I325)&gt;0),I325-F325-IF(N(G325)&gt;0,0.5,0)-IF(N(H325)&gt;0,0.5,0),0)</f>
        <v/>
      </c>
      <c r="K325" s="5" t="n"/>
      <c r="L325" s="7">
        <f>MIN(J325,8.0)</f>
        <v/>
      </c>
      <c r="M325" s="7">
        <f>MAX(0,MIN(J325,12)-8.0)</f>
        <v/>
      </c>
      <c r="N325" s="7">
        <f>MAX(0,J325-12)</f>
        <v/>
      </c>
      <c r="O325" s="5" t="n"/>
      <c r="P325" s="6">
        <f>E325*(L325+M325*1.5+N325*2+O325*3+N(K325))</f>
        <v/>
      </c>
      <c r="Q325" s="6" t="n">
        <v>501.58</v>
      </c>
      <c r="R325" s="6">
        <f>Q325-P325</f>
        <v/>
      </c>
    </row>
    <row r="326">
      <c r="A326" s="5" t="inlineStr">
        <is>
          <t>3503</t>
        </is>
      </c>
      <c r="B326" s="5" t="inlineStr"/>
      <c r="C326" s="5" t="inlineStr">
        <is>
          <t>FORDTRANSITVANDRIVER#1</t>
        </is>
      </c>
      <c r="D326" s="5" t="inlineStr"/>
      <c r="E326" s="6" t="n">
        <v>32.36</v>
      </c>
      <c r="F326" s="5" t="n"/>
      <c r="G326" s="5" t="n"/>
      <c r="H326" s="5" t="n"/>
      <c r="I326" s="5" t="n"/>
      <c r="J326" s="7">
        <f>IF(AND(N(F326)&gt;0,N(I326)&gt;0),I326-F326-IF(N(G326)&gt;0,0.5,0)-IF(N(H326)&gt;0,0.5,0),0)</f>
        <v/>
      </c>
      <c r="K326" s="5" t="n"/>
      <c r="L326" s="7">
        <f>MIN(J326,8.0)</f>
        <v/>
      </c>
      <c r="M326" s="7">
        <f>MAX(0,MIN(J326,12)-8.0)</f>
        <v/>
      </c>
      <c r="N326" s="7">
        <f>MAX(0,J326-12)</f>
        <v/>
      </c>
      <c r="O326" s="5" t="n"/>
      <c r="P326" s="6">
        <f>E326*(L326+M326*1.5+N326*2+O326*3+N(K326))</f>
        <v/>
      </c>
      <c r="Q326" s="6" t="n">
        <v>501.58</v>
      </c>
      <c r="R326" s="6">
        <f>Q326-P326</f>
        <v/>
      </c>
    </row>
    <row r="327">
      <c r="A327" s="5" t="inlineStr">
        <is>
          <t>3503</t>
        </is>
      </c>
      <c r="B327" s="5" t="inlineStr">
        <is>
          <t>Kaiser Clark</t>
        </is>
      </c>
      <c r="C327" s="5" t="inlineStr">
        <is>
          <t>CSETDECTRUCKDRIVER#1</t>
        </is>
      </c>
      <c r="D327" s="5" t="inlineStr"/>
      <c r="E327" s="6" t="n">
        <v>32.36</v>
      </c>
      <c r="F327" s="5" t="n"/>
      <c r="G327" s="5" t="n"/>
      <c r="H327" s="5" t="n"/>
      <c r="I327" s="5" t="n"/>
      <c r="J327" s="7">
        <f>IF(AND(N(F327)&gt;0,N(I327)&gt;0),I327-F327-IF(N(G327)&gt;0,0.5,0)-IF(N(H327)&gt;0,0.5,0),0)</f>
        <v/>
      </c>
      <c r="K327" s="5" t="n"/>
      <c r="L327" s="7">
        <f>MIN(J327,8.0)</f>
        <v/>
      </c>
      <c r="M327" s="7">
        <f>MAX(0,MIN(J327,12)-8.0)</f>
        <v/>
      </c>
      <c r="N327" s="7">
        <f>MAX(0,J327-12)</f>
        <v/>
      </c>
      <c r="O327" s="5" t="n"/>
      <c r="P327" s="6">
        <f>E327*(L327+M327*1.5+N327*2+O327*3+N(K327))</f>
        <v/>
      </c>
      <c r="Q327" s="6" t="n">
        <v>501.58</v>
      </c>
      <c r="R327" s="6">
        <f>Q327-P327</f>
        <v/>
      </c>
    </row>
    <row r="328">
      <c r="A328" s="5" t="inlineStr">
        <is>
          <t>3503</t>
        </is>
      </c>
      <c r="B328" s="5" t="inlineStr"/>
      <c r="C328" s="5" t="inlineStr">
        <is>
          <t>C 5-TONENCLOSEDRIGGINGGRIPDRIVER</t>
        </is>
      </c>
      <c r="D328" s="5" t="inlineStr"/>
      <c r="E328" s="6" t="n">
        <v>32.36</v>
      </c>
      <c r="F328" s="5" t="n"/>
      <c r="G328" s="5" t="n"/>
      <c r="H328" s="5" t="n"/>
      <c r="I328" s="5" t="n"/>
      <c r="J328" s="7">
        <f>IF(AND(N(F328)&gt;0,N(I328)&gt;0),I328-F328-IF(N(G328)&gt;0,0.5,0)-IF(N(H328)&gt;0,0.5,0),0)</f>
        <v/>
      </c>
      <c r="K328" s="5" t="n"/>
      <c r="L328" s="7">
        <f>MIN(J328,8.0)</f>
        <v/>
      </c>
      <c r="M328" s="7">
        <f>MAX(0,MIN(J328,12)-8.0)</f>
        <v/>
      </c>
      <c r="N328" s="7">
        <f>MAX(0,J328-12)</f>
        <v/>
      </c>
      <c r="O328" s="5" t="n"/>
      <c r="P328" s="6">
        <f>E328*(L328+M328*1.5+N328*2+O328*3+N(K328))</f>
        <v/>
      </c>
      <c r="Q328" s="5" t="n"/>
      <c r="R328" s="6">
        <f>Q328-P328</f>
        <v/>
      </c>
    </row>
    <row r="329">
      <c r="A329" s="5" t="inlineStr">
        <is>
          <t>3503</t>
        </is>
      </c>
      <c r="B329" s="5" t="inlineStr"/>
      <c r="C329" s="5" t="inlineStr">
        <is>
          <t>SCOUTBUS</t>
        </is>
      </c>
      <c r="D329" s="5" t="inlineStr"/>
      <c r="E329" s="6" t="n">
        <v>32.36</v>
      </c>
      <c r="F329" s="5" t="n"/>
      <c r="G329" s="5" t="n"/>
      <c r="H329" s="5" t="n"/>
      <c r="I329" s="5" t="n"/>
      <c r="J329" s="7">
        <f>IF(AND(N(F329)&gt;0,N(I329)&gt;0),I329-F329-IF(N(G329)&gt;0,0.5,0)-IF(N(H329)&gt;0,0.5,0),0)</f>
        <v/>
      </c>
      <c r="K329" s="5" t="n"/>
      <c r="L329" s="7">
        <f>MIN(J329,8.0)</f>
        <v/>
      </c>
      <c r="M329" s="7">
        <f>MAX(0,MIN(J329,12)-8.0)</f>
        <v/>
      </c>
      <c r="N329" s="7">
        <f>MAX(0,J329-12)</f>
        <v/>
      </c>
      <c r="O329" s="5" t="n"/>
      <c r="P329" s="6">
        <f>E329*(L329+M329*1.5+N329*2+O329*3+N(K329))</f>
        <v/>
      </c>
      <c r="Q329" s="5" t="n"/>
      <c r="R329" s="6">
        <f>Q329-P329</f>
        <v/>
      </c>
    </row>
    <row r="330">
      <c r="A330" s="5" t="inlineStr">
        <is>
          <t>3503</t>
        </is>
      </c>
      <c r="B330" s="5" t="inlineStr"/>
      <c r="C330" s="5" t="inlineStr">
        <is>
          <t>DRIVERMANDAYS</t>
        </is>
      </c>
      <c r="D330" s="5" t="inlineStr"/>
      <c r="E330" s="6" t="n">
        <v>32.36</v>
      </c>
      <c r="F330" s="5" t="n"/>
      <c r="G330" s="5" t="n"/>
      <c r="H330" s="5" t="n"/>
      <c r="I330" s="5" t="n"/>
      <c r="J330" s="7">
        <f>IF(AND(N(F330)&gt;0,N(I330)&gt;0),I330-F330-IF(N(G330)&gt;0,0.5,0)-IF(N(H330)&gt;0,0.5,0),0)</f>
        <v/>
      </c>
      <c r="K330" s="5" t="n"/>
      <c r="L330" s="7">
        <f>MIN(J330,8.0)</f>
        <v/>
      </c>
      <c r="M330" s="7">
        <f>MAX(0,MIN(J330,12)-8.0)</f>
        <v/>
      </c>
      <c r="N330" s="7">
        <f>MAX(0,J330-12)</f>
        <v/>
      </c>
      <c r="O330" s="5" t="n"/>
      <c r="P330" s="6">
        <f>E330*(L330+M330*1.5+N330*2+O330*3+N(K330))</f>
        <v/>
      </c>
      <c r="Q330" s="5" t="n"/>
      <c r="R330" s="6">
        <f>Q330-P330</f>
        <v/>
      </c>
    </row>
    <row r="331">
      <c r="P331" s="2" t="inlineStr">
        <is>
          <t>DRIVERS LABOR</t>
        </is>
      </c>
      <c r="R331" s="8">
        <f>SUM(R319:R330)</f>
        <v/>
      </c>
    </row>
    <row r="333">
      <c r="B333" s="2" t="inlineStr">
        <is>
          <t>LOCATIONSITEFEES</t>
        </is>
      </c>
    </row>
    <row r="334">
      <c r="A334" s="5" t="inlineStr">
        <is>
          <t>3607</t>
        </is>
      </c>
      <c r="B334" s="5" t="inlineStr"/>
      <c r="C334" s="5" t="inlineStr">
        <is>
          <t>Location#1(Hospital ER, LACountry Childrens Shelter, Shelter Dorm, Dept...</t>
        </is>
      </c>
      <c r="D334" s="5" t="inlineStr">
        <is>
          <t>Local400</t>
        </is>
      </c>
      <c r="E334" s="6" t="n">
        <v>50000</v>
      </c>
      <c r="F334" s="5" t="n"/>
      <c r="G334" s="5" t="n"/>
      <c r="H334" s="5" t="n"/>
      <c r="I334" s="5" t="n"/>
      <c r="J334" s="7">
        <f>IF(AND(N(F334)&gt;0,N(I334)&gt;0),I334-F334-IF(N(G334)&gt;0,0.5,0)-IF(N(H334)&gt;0,0.5,0),0)</f>
        <v/>
      </c>
      <c r="K334" s="5" t="n"/>
      <c r="L334" s="7">
        <f>MIN(J334,8.0)</f>
        <v/>
      </c>
      <c r="M334" s="7">
        <f>MAX(0,MIN(J334,12)-8.0)</f>
        <v/>
      </c>
      <c r="N334" s="7">
        <f>MAX(0,J334-12)</f>
        <v/>
      </c>
      <c r="O334" s="5" t="n"/>
      <c r="P334" s="6">
        <f>E334*(L334+M334*1.5+N334*2+O334*3+N(K334))</f>
        <v/>
      </c>
      <c r="Q334" s="6" t="n">
        <v>50000</v>
      </c>
      <c r="R334" s="6">
        <f>Q334-P334</f>
        <v/>
      </c>
    </row>
    <row r="335">
      <c r="P335" s="2" t="inlineStr">
        <is>
          <t>LOCATIONSITEFEES LABOR</t>
        </is>
      </c>
      <c r="R335" s="8">
        <f>SUM(R334:R334)</f>
        <v/>
      </c>
    </row>
    <row r="337">
      <c r="B337" s="2" t="inlineStr">
        <is>
          <t>CATERINGLABOR</t>
        </is>
      </c>
    </row>
    <row r="338">
      <c r="A338" s="5" t="inlineStr">
        <is>
          <t>3621</t>
        </is>
      </c>
      <c r="B338" s="5" t="inlineStr"/>
      <c r="C338" s="5" t="inlineStr">
        <is>
          <t>COOKDRIVER#1</t>
        </is>
      </c>
      <c r="D338" s="5" t="inlineStr">
        <is>
          <t>Local399</t>
        </is>
      </c>
      <c r="E338" s="6" t="n">
        <v>32.36</v>
      </c>
      <c r="F338" s="5" t="n"/>
      <c r="G338" s="5" t="n"/>
      <c r="H338" s="5" t="n"/>
      <c r="I338" s="5" t="n"/>
      <c r="J338" s="7">
        <f>IF(AND(N(F338)&gt;0,N(I338)&gt;0),I338-F338-IF(N(G338)&gt;0,0.5,0)-IF(N(H338)&gt;0,0.5,0),0)</f>
        <v/>
      </c>
      <c r="K338" s="5" t="n"/>
      <c r="L338" s="7">
        <f>MIN(J338,8.0)</f>
        <v/>
      </c>
      <c r="M338" s="7">
        <f>MAX(0,MIN(J338,12)-8.0)</f>
        <v/>
      </c>
      <c r="N338" s="7">
        <f>MAX(0,J338-12)</f>
        <v/>
      </c>
      <c r="O338" s="5" t="n"/>
      <c r="P338" s="6">
        <f>E338*(L338+M338*1.5+N338*2+O338*3+N(K338))</f>
        <v/>
      </c>
      <c r="Q338" s="6" t="n">
        <v>647.2</v>
      </c>
      <c r="R338" s="6">
        <f>Q338-P338</f>
        <v/>
      </c>
    </row>
    <row r="339">
      <c r="A339" s="5" t="inlineStr">
        <is>
          <t>3621</t>
        </is>
      </c>
      <c r="B339" s="5" t="inlineStr"/>
      <c r="C339" s="5" t="inlineStr">
        <is>
          <t>1STASSTCATERER#1</t>
        </is>
      </c>
      <c r="D339" s="5" t="inlineStr"/>
      <c r="E339" s="6" t="n">
        <v>17</v>
      </c>
      <c r="F339" s="5" t="n"/>
      <c r="G339" s="5" t="n"/>
      <c r="H339" s="5" t="n"/>
      <c r="I339" s="5" t="n"/>
      <c r="J339" s="7">
        <f>IF(AND(N(F339)&gt;0,N(I339)&gt;0),I339-F339-IF(N(G339)&gt;0,0.5,0)-IF(N(H339)&gt;0,0.5,0),0)</f>
        <v/>
      </c>
      <c r="K339" s="5" t="n"/>
      <c r="L339" s="7">
        <f>MIN(J339,8.0)</f>
        <v/>
      </c>
      <c r="M339" s="7">
        <f>MAX(0,MIN(J339,12)-8.0)</f>
        <v/>
      </c>
      <c r="N339" s="7">
        <f>MAX(0,J339-12)</f>
        <v/>
      </c>
      <c r="O339" s="5" t="n"/>
      <c r="P339" s="6">
        <f>E339*(L339+M339*1.5+N339*2+O339*3+N(K339))</f>
        <v/>
      </c>
      <c r="Q339" s="6" t="n">
        <v>340</v>
      </c>
      <c r="R339" s="6">
        <f>Q339-P339</f>
        <v/>
      </c>
    </row>
    <row r="340">
      <c r="A340" s="5" t="inlineStr">
        <is>
          <t>3621</t>
        </is>
      </c>
      <c r="B340" s="5" t="inlineStr"/>
      <c r="C340" s="5" t="inlineStr">
        <is>
          <t>1STASSTCATERER#2</t>
        </is>
      </c>
      <c r="D340" s="5" t="inlineStr"/>
      <c r="E340" s="6" t="n">
        <v>16</v>
      </c>
      <c r="F340" s="5" t="n"/>
      <c r="G340" s="5" t="n"/>
      <c r="H340" s="5" t="n"/>
      <c r="I340" s="5" t="n"/>
      <c r="J340" s="7">
        <f>IF(AND(N(F340)&gt;0,N(I340)&gt;0),I340-F340-IF(N(G340)&gt;0,0.5,0)-IF(N(H340)&gt;0,0.5,0),0)</f>
        <v/>
      </c>
      <c r="K340" s="5" t="n"/>
      <c r="L340" s="7">
        <f>MIN(J340,8.0)</f>
        <v/>
      </c>
      <c r="M340" s="7">
        <f>MAX(0,MIN(J340,12)-8.0)</f>
        <v/>
      </c>
      <c r="N340" s="7">
        <f>MAX(0,J340-12)</f>
        <v/>
      </c>
      <c r="O340" s="5" t="n"/>
      <c r="P340" s="6">
        <f>E340*(L340+M340*1.5+N340*2+O340*3+N(K340))</f>
        <v/>
      </c>
      <c r="Q340" s="6" t="n">
        <v>320</v>
      </c>
      <c r="R340" s="6">
        <f>Q340-P340</f>
        <v/>
      </c>
    </row>
    <row r="341">
      <c r="P341" s="2" t="inlineStr">
        <is>
          <t>CATERINGLABOR LABOR</t>
        </is>
      </c>
      <c r="R341" s="8">
        <f>SUM(R338:R340)</f>
        <v/>
      </c>
    </row>
    <row r="343">
      <c r="K343" s="9" t="inlineStr">
        <is>
          <t>TOTAL</t>
        </is>
      </c>
      <c r="P343" s="9" t="inlineStr">
        <is>
          <t>ACTUAL</t>
        </is>
      </c>
      <c r="Q343" s="9" t="inlineStr">
        <is>
          <t>BUDGET</t>
        </is>
      </c>
      <c r="R343" s="9" t="inlineStr">
        <is>
          <t>TOTAL VAR</t>
        </is>
      </c>
    </row>
    <row r="344">
      <c r="P344" s="9" t="inlineStr">
        <is>
          <t>DAY COST</t>
        </is>
      </c>
      <c r="Q344" s="9" t="inlineStr">
        <is>
          <t>DY COST</t>
        </is>
      </c>
      <c r="R344" s="9" t="inlineStr">
        <is>
          <t>(OVER) / UNDER</t>
        </is>
      </c>
    </row>
    <row r="345">
      <c r="P345" s="10">
        <f>SUM(P6:P6)+SUM(P10:P11)+SUM(P15:P17)+SUM(P21:P22)+SUM(P26:P32)+SUM(P36:P36)+SUM(P40:P41)+SUM(P45:P45)+SUM(P49:P49)+SUM(P53:P54)+SUM(P58:P58)+SUM(P62:P62)+SUM(P66:P67)+SUM(P71:P71)+SUM(P75:P75)+SUM(P79:P80)+SUM(P84:P84)+SUM(P88:P88)+SUM(P92:P93)+SUM(P97:P100)+SUM(P104:P104)+SUM(P108:P109)+SUM(P113:P113)+SUM(P117:P117)+SUM(P121:P121)+SUM(P125:P125)+SUM(P129:P130)+SUM(P134:P134)+SUM(P138:P139)+SUM(P143:P145)+SUM(P149:P149)+SUM(P153:P153)+SUM(P157:P158)+SUM(P162:P163)+SUM(P167:P167)+SUM(P171:P173)+SUM(P177:P177)+SUM(P181:P181)+SUM(P185:P187)+SUM(P191:P191)+SUM(P195:P195)+SUM(P199:P199)+SUM(P203:P203)+SUM(P207:P207)+SUM(P211:P211)+SUM(P215:P216)+SUM(P220:P220)+SUM(P224:P224)+SUM(P228:P228)+SUM(P232:P233)+SUM(P237:P237)+SUM(P241:P241)+SUM(P245:P245)+SUM(P249:P249)+SUM(P253:P254)+SUM(P258:P260)+SUM(P264:P264)+SUM(P268:P268)+SUM(P272:P272)+SUM(P276:P276)+SUM(P280:P281)+SUM(P285:P286)+SUM(P290:P290)+SUM(P294:P294)+SUM(P298:P298)+SUM(P302:P302)+SUM(P306:P306)+SUM(P310:P310)+SUM(P314:P315)+SUM(P319:P330)+SUM(P334:P334)+SUM(P338:P340)</f>
        <v/>
      </c>
      <c r="Q345" s="10">
        <f>SUM(Q6:Q6)+SUM(Q10:Q11)+SUM(Q15:Q17)+SUM(Q21:Q22)+SUM(Q26:Q32)+SUM(Q36:Q36)+SUM(Q40:Q41)+SUM(Q45:Q45)+SUM(Q49:Q49)+SUM(Q53:Q54)+SUM(Q58:Q58)+SUM(Q62:Q62)+SUM(Q66:Q67)+SUM(Q71:Q71)+SUM(Q75:Q75)+SUM(Q79:Q80)+SUM(Q84:Q84)+SUM(Q88:Q88)+SUM(Q92:Q93)+SUM(Q97:Q100)+SUM(Q104:Q104)+SUM(Q108:Q109)+SUM(Q113:Q113)+SUM(Q117:Q117)+SUM(Q121:Q121)+SUM(Q125:Q125)+SUM(Q129:Q130)+SUM(Q134:Q134)+SUM(Q138:Q139)+SUM(Q143:Q145)+SUM(Q149:Q149)+SUM(Q153:Q153)+SUM(Q157:Q158)+SUM(Q162:Q163)+SUM(Q167:Q167)+SUM(Q171:Q173)+SUM(Q177:Q177)+SUM(Q181:Q181)+SUM(Q185:Q187)+SUM(Q191:Q191)+SUM(Q195:Q195)+SUM(Q199:Q199)+SUM(Q203:Q203)+SUM(Q207:Q207)+SUM(Q211:Q211)+SUM(Q215:Q216)+SUM(Q220:Q220)+SUM(Q224:Q224)+SUM(Q228:Q228)+SUM(Q232:Q233)+SUM(Q237:Q237)+SUM(Q241:Q241)+SUM(Q245:Q245)+SUM(Q249:Q249)+SUM(Q253:Q254)+SUM(Q258:Q260)+SUM(Q264:Q264)+SUM(Q268:Q268)+SUM(Q272:Q272)+SUM(Q276:Q276)+SUM(Q280:Q281)+SUM(Q285:Q286)+SUM(Q290:Q290)+SUM(Q294:Q294)+SUM(Q298:Q298)+SUM(Q302:Q302)+SUM(Q306:Q306)+SUM(Q310:Q310)+SUM(Q314:Q315)+SUM(Q319:Q330)+SUM(Q334:Q334)+SUM(Q338:Q340)</f>
        <v/>
      </c>
      <c r="R345" s="10">
        <f>SUM(R6:R6)+SUM(R10:R11)+SUM(R15:R17)+SUM(R21:R22)+SUM(R26:R32)+SUM(R36:R36)+SUM(R40:R41)+SUM(R45:R45)+SUM(R49:R49)+SUM(R53:R54)+SUM(R58:R58)+SUM(R62:R62)+SUM(R66:R67)+SUM(R71:R71)+SUM(R75:R75)+SUM(R79:R80)+SUM(R84:R84)+SUM(R88:R88)+SUM(R92:R93)+SUM(R97:R100)+SUM(R104:R104)+SUM(R108:R109)+SUM(R113:R113)+SUM(R117:R117)+SUM(R121:R121)+SUM(R125:R125)+SUM(R129:R130)+SUM(R134:R134)+SUM(R138:R139)+SUM(R143:R145)+SUM(R149:R149)+SUM(R153:R153)+SUM(R157:R158)+SUM(R162:R163)+SUM(R167:R167)+SUM(R171:R173)+SUM(R177:R177)+SUM(R181:R181)+SUM(R185:R187)+SUM(R191:R191)+SUM(R195:R195)+SUM(R199:R199)+SUM(R203:R203)+SUM(R207:R207)+SUM(R211:R211)+SUM(R215:R216)+SUM(R220:R220)+SUM(R224:R224)+SUM(R228:R228)+SUM(R232:R233)+SUM(R237:R237)+SUM(R241:R241)+SUM(R245:R245)+SUM(R249:R249)+SUM(R253:R254)+SUM(R258:R260)+SUM(R264:R264)+SUM(R268:R268)+SUM(R272:R272)+SUM(R276:R276)+SUM(R280:R281)+SUM(R285:R286)+SUM(R290:R290)+SUM(R294:R294)+SUM(R298:R298)+SUM(R302:R302)+SUM(R306:R306)+SUM(R310:R310)+SUM(R314:R315)+SUM(R319:R330)+SUM(R334:R334)+SUM(R338:R340)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R34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20" customWidth="1" min="3" max="3"/>
    <col width="9" customWidth="1" min="4" max="4"/>
    <col width="9" customWidth="1" min="5" max="5"/>
    <col width="7" customWidth="1" min="6" max="6"/>
    <col width="7" customWidth="1" min="7" max="7"/>
    <col width="8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12" customWidth="1" min="16" max="16"/>
    <col width="13" customWidth="1" min="17" max="17"/>
    <col width="14" customWidth="1" min="18" max="18"/>
  </cols>
  <sheetData>
    <row r="1">
      <c r="A1" s="1" t="inlineStr">
        <is>
          <t>HOT COST</t>
        </is>
      </c>
      <c r="C1" t="inlineStr">
        <is>
          <t>Thursday 26 Oct 2017</t>
        </is>
      </c>
      <c r="F1" s="2" t="inlineStr">
        <is>
          <t>DAY #9</t>
        </is>
      </c>
    </row>
    <row r="2">
      <c r="A2" s="3" t="inlineStr">
        <is>
          <t>enter CALL, LUNCH, WRAP as decimal hours (e.g. 7.5) — everything right of WRAP computes</t>
        </is>
      </c>
    </row>
    <row r="4">
      <c r="A4" s="4" t="inlineStr">
        <is>
          <t>ACCT</t>
        </is>
      </c>
      <c r="B4" s="4" t="inlineStr">
        <is>
          <t>NAME</t>
        </is>
      </c>
      <c r="C4" s="4" t="inlineStr">
        <is>
          <t>POSITION</t>
        </is>
      </c>
      <c r="D4" s="4" t="inlineStr">
        <is>
          <t>UNION</t>
        </is>
      </c>
      <c r="E4" s="4" t="inlineStr">
        <is>
          <t>RATE</t>
        </is>
      </c>
      <c r="F4" s="4" t="inlineStr">
        <is>
          <t>CALL</t>
        </is>
      </c>
      <c r="G4" s="4" t="inlineStr">
        <is>
          <t>LUNCH</t>
        </is>
      </c>
      <c r="H4" s="4" t="inlineStr">
        <is>
          <t>LUNCH 2</t>
        </is>
      </c>
      <c r="I4" s="4" t="inlineStr">
        <is>
          <t>WRAP</t>
        </is>
      </c>
      <c r="J4" s="4" t="inlineStr">
        <is>
          <t>HRS</t>
        </is>
      </c>
      <c r="K4" s="4" t="inlineStr">
        <is>
          <t>MP'S</t>
        </is>
      </c>
      <c r="L4" s="4" t="inlineStr">
        <is>
          <t>ST</t>
        </is>
      </c>
      <c r="M4" s="4" t="inlineStr">
        <is>
          <t>1.5X</t>
        </is>
      </c>
      <c r="N4" s="4" t="inlineStr">
        <is>
          <t>2X</t>
        </is>
      </c>
      <c r="O4" s="4" t="inlineStr">
        <is>
          <t>3X</t>
        </is>
      </c>
      <c r="P4" s="4" t="inlineStr">
        <is>
          <t>TOTAL / DAY</t>
        </is>
      </c>
      <c r="Q4" s="4" t="inlineStr">
        <is>
          <t>BUDGET / DAY</t>
        </is>
      </c>
      <c r="R4" s="4" t="inlineStr">
        <is>
          <t>(OVER) / UNDER</t>
        </is>
      </c>
    </row>
    <row r="5">
      <c r="B5" s="2" t="inlineStr">
        <is>
          <t>LEAD#</t>
        </is>
      </c>
    </row>
    <row r="6">
      <c r="A6" s="5" t="inlineStr">
        <is>
          <t>1401</t>
        </is>
      </c>
      <c r="B6" s="5" t="inlineStr">
        <is>
          <t>Linda Cardellini</t>
        </is>
      </c>
      <c r="C6" s="5" t="inlineStr">
        <is>
          <t>"ANNA"</t>
        </is>
      </c>
      <c r="D6" s="5" t="inlineStr"/>
      <c r="E6" s="6" t="n">
        <v>1211.8</v>
      </c>
      <c r="F6" s="5" t="n"/>
      <c r="G6" s="5" t="n"/>
      <c r="H6" s="5" t="n"/>
      <c r="I6" s="5" t="n"/>
      <c r="J6" s="7">
        <f>IF(AND(N(F6)&gt;0,N(I6)&gt;0),I6-F6-IF(N(G6)&gt;0,0.5,0)-IF(N(H6)&gt;0,0.5,0),0)</f>
        <v/>
      </c>
      <c r="K6" s="5" t="n"/>
      <c r="L6" s="7">
        <f>MIN(J6,8.0)</f>
        <v/>
      </c>
      <c r="M6" s="7">
        <f>MAX(0,MIN(J6,12)-8.0)</f>
        <v/>
      </c>
      <c r="N6" s="7">
        <f>MAX(0,J6-12)</f>
        <v/>
      </c>
      <c r="O6" s="5" t="n"/>
      <c r="P6" s="6">
        <f>E6*(L6+M6*1.5+N6*2+O6*3+N(K6))</f>
        <v/>
      </c>
      <c r="Q6" s="6" t="n">
        <v>1211.8</v>
      </c>
      <c r="R6" s="6">
        <f>Q6-P6</f>
        <v/>
      </c>
    </row>
    <row r="7">
      <c r="P7" s="2" t="inlineStr">
        <is>
          <t>LEAD# LABOR</t>
        </is>
      </c>
      <c r="R7" s="8">
        <f>SUM(R6:R6)</f>
        <v/>
      </c>
    </row>
    <row r="9">
      <c r="B9" s="2" t="inlineStr">
        <is>
          <t>LEAD#2&amp;#</t>
        </is>
      </c>
    </row>
    <row r="10">
      <c r="A10" s="5" t="inlineStr">
        <is>
          <t>1402</t>
        </is>
      </c>
      <c r="B10" s="5" t="inlineStr">
        <is>
          <t>Roman Christou</t>
        </is>
      </c>
      <c r="C10" s="5" t="inlineStr">
        <is>
          <t>"CHRIS"(Minor)</t>
        </is>
      </c>
      <c r="D10" s="5" t="inlineStr"/>
      <c r="E10" s="6" t="n">
        <v>755.4</v>
      </c>
      <c r="F10" s="5" t="n"/>
      <c r="G10" s="5" t="n"/>
      <c r="H10" s="5" t="n"/>
      <c r="I10" s="5" t="n"/>
      <c r="J10" s="7">
        <f>IF(AND(N(F10)&gt;0,N(I10)&gt;0),I10-F10-IF(N(G10)&gt;0,0.5,0)-IF(N(H10)&gt;0,0.5,0),0)</f>
        <v/>
      </c>
      <c r="K10" s="5" t="n"/>
      <c r="L10" s="7">
        <f>MIN(J10,8.0)</f>
        <v/>
      </c>
      <c r="M10" s="7">
        <f>MAX(0,MIN(J10,12)-8.0)</f>
        <v/>
      </c>
      <c r="N10" s="7">
        <f>MAX(0,J10-12)</f>
        <v/>
      </c>
      <c r="O10" s="5" t="n"/>
      <c r="P10" s="6">
        <f>E10*(L10+M10*1.5+N10*2+O10*3+N(K10))</f>
        <v/>
      </c>
      <c r="Q10" s="6" t="n">
        <v>755.4</v>
      </c>
      <c r="R10" s="6">
        <f>Q10-P10</f>
        <v/>
      </c>
    </row>
    <row r="11">
      <c r="A11" s="5" t="inlineStr">
        <is>
          <t>1402</t>
        </is>
      </c>
      <c r="B11" s="5" t="inlineStr">
        <is>
          <t>Jaynee Lynee Kinchen</t>
        </is>
      </c>
      <c r="C11" s="5" t="inlineStr">
        <is>
          <t>"SAMANTHA"(Minor)</t>
        </is>
      </c>
      <c r="D11" s="5" t="inlineStr"/>
      <c r="E11" s="6" t="n">
        <v>755.4</v>
      </c>
      <c r="F11" s="5" t="n"/>
      <c r="G11" s="5" t="n"/>
      <c r="H11" s="5" t="n"/>
      <c r="I11" s="5" t="n"/>
      <c r="J11" s="7">
        <f>IF(AND(N(F11)&gt;0,N(I11)&gt;0),I11-F11-IF(N(G11)&gt;0,0.5,0)-IF(N(H11)&gt;0,0.5,0),0)</f>
        <v/>
      </c>
      <c r="K11" s="5" t="n"/>
      <c r="L11" s="7">
        <f>MIN(J11,8.0)</f>
        <v/>
      </c>
      <c r="M11" s="7">
        <f>MAX(0,MIN(J11,12)-8.0)</f>
        <v/>
      </c>
      <c r="N11" s="7">
        <f>MAX(0,J11-12)</f>
        <v/>
      </c>
      <c r="O11" s="5" t="n"/>
      <c r="P11" s="6">
        <f>E11*(L11+M11*1.5+N11*2+O11*3+N(K11))</f>
        <v/>
      </c>
      <c r="Q11" s="6" t="n">
        <v>755.4</v>
      </c>
      <c r="R11" s="6">
        <f>Q11-P11</f>
        <v/>
      </c>
    </row>
    <row r="12">
      <c r="P12" s="2" t="inlineStr">
        <is>
          <t>LEAD#2&amp;# LABOR</t>
        </is>
      </c>
      <c r="R12" s="8">
        <f>SUM(R10:R11)</f>
        <v/>
      </c>
    </row>
    <row r="14">
      <c r="B14" s="2" t="inlineStr">
        <is>
          <t>OTHERLEADCAST</t>
        </is>
      </c>
    </row>
    <row r="15">
      <c r="A15" s="5" t="inlineStr">
        <is>
          <t>1403</t>
        </is>
      </c>
      <c r="B15" s="5" t="inlineStr">
        <is>
          <t>Raymond Cruz</t>
        </is>
      </c>
      <c r="C15" s="5" t="inlineStr">
        <is>
          <t>"RAFAELOLVERA"</t>
        </is>
      </c>
      <c r="D15" s="5" t="inlineStr"/>
      <c r="E15" s="6" t="n">
        <v>1211.8</v>
      </c>
      <c r="F15" s="5" t="n"/>
      <c r="G15" s="5" t="n"/>
      <c r="H15" s="5" t="n"/>
      <c r="I15" s="5" t="n"/>
      <c r="J15" s="7">
        <f>IF(AND(N(F15)&gt;0,N(I15)&gt;0),I15-F15-IF(N(G15)&gt;0,0.5,0)-IF(N(H15)&gt;0,0.5,0),0)</f>
        <v/>
      </c>
      <c r="K15" s="5" t="n"/>
      <c r="L15" s="7">
        <f>MIN(J15,8.0)</f>
        <v/>
      </c>
      <c r="M15" s="7">
        <f>MAX(0,MIN(J15,12)-8.0)</f>
        <v/>
      </c>
      <c r="N15" s="7">
        <f>MAX(0,J15-12)</f>
        <v/>
      </c>
      <c r="O15" s="5" t="n"/>
      <c r="P15" s="6">
        <f>E15*(L15+M15*1.5+N15*2+O15*3+N(K15))</f>
        <v/>
      </c>
      <c r="Q15" s="6" t="n">
        <v>1211.8</v>
      </c>
      <c r="R15" s="6">
        <f>Q15-P15</f>
        <v/>
      </c>
    </row>
    <row r="16">
      <c r="A16" s="5" t="inlineStr">
        <is>
          <t>1403</t>
        </is>
      </c>
      <c r="B16" s="5" t="inlineStr">
        <is>
          <t>Marisol Ramirez</t>
        </is>
      </c>
      <c r="C16" s="5" t="inlineStr">
        <is>
          <t>"LALLORONA"</t>
        </is>
      </c>
      <c r="D16" s="5" t="inlineStr"/>
      <c r="E16" s="6" t="n">
        <v>1211.8</v>
      </c>
      <c r="F16" s="5" t="n"/>
      <c r="G16" s="5" t="n"/>
      <c r="H16" s="5" t="n"/>
      <c r="I16" s="5" t="n"/>
      <c r="J16" s="7">
        <f>IF(AND(N(F16)&gt;0,N(I16)&gt;0),I16-F16-IF(N(G16)&gt;0,0.5,0)-IF(N(H16)&gt;0,0.5,0),0)</f>
        <v/>
      </c>
      <c r="K16" s="5" t="n"/>
      <c r="L16" s="7">
        <f>MIN(J16,8.0)</f>
        <v/>
      </c>
      <c r="M16" s="7">
        <f>MAX(0,MIN(J16,12)-8.0)</f>
        <v/>
      </c>
      <c r="N16" s="7">
        <f>MAX(0,J16-12)</f>
        <v/>
      </c>
      <c r="O16" s="5" t="n"/>
      <c r="P16" s="6">
        <f>E16*(L16+M16*1.5+N16*2+O16*3+N(K16))</f>
        <v/>
      </c>
      <c r="Q16" s="6" t="n">
        <v>1211.8</v>
      </c>
      <c r="R16" s="6">
        <f>Q16-P16</f>
        <v/>
      </c>
    </row>
    <row r="17">
      <c r="A17" s="5" t="inlineStr">
        <is>
          <t>1403</t>
        </is>
      </c>
      <c r="B17" s="5" t="inlineStr">
        <is>
          <t>Patrica Velasquez</t>
        </is>
      </c>
      <c r="C17" s="5" t="inlineStr">
        <is>
          <t>"PATRICIA"</t>
        </is>
      </c>
      <c r="D17" s="5" t="inlineStr"/>
      <c r="E17" s="6" t="n">
        <v>1972</v>
      </c>
      <c r="F17" s="5" t="n"/>
      <c r="G17" s="5" t="n"/>
      <c r="H17" s="5" t="n"/>
      <c r="I17" s="5" t="n"/>
      <c r="J17" s="7">
        <f>IF(AND(N(F17)&gt;0,N(I17)&gt;0),I17-F17-IF(N(G17)&gt;0,0.5,0)-IF(N(H17)&gt;0,0.5,0),0)</f>
        <v/>
      </c>
      <c r="K17" s="5" t="n"/>
      <c r="L17" s="7">
        <f>MIN(J17,8.0)</f>
        <v/>
      </c>
      <c r="M17" s="7">
        <f>MAX(0,MIN(J17,12)-8.0)</f>
        <v/>
      </c>
      <c r="N17" s="7">
        <f>MAX(0,J17-12)</f>
        <v/>
      </c>
      <c r="O17" s="5" t="n"/>
      <c r="P17" s="6">
        <f>E17*(L17+M17*1.5+N17*2+O17*3+N(K17))</f>
        <v/>
      </c>
      <c r="Q17" s="6" t="n">
        <v>1972</v>
      </c>
      <c r="R17" s="6">
        <f>Q17-P17</f>
        <v/>
      </c>
    </row>
    <row r="18">
      <c r="P18" s="2" t="inlineStr">
        <is>
          <t>OTHERLEADCAST LABOR</t>
        </is>
      </c>
      <c r="R18" s="8">
        <f>SUM(R15:R17)</f>
        <v/>
      </c>
    </row>
    <row r="20">
      <c r="B20" s="2" t="inlineStr">
        <is>
          <t>SUPPORTINGCAST</t>
        </is>
      </c>
    </row>
    <row r="21">
      <c r="A21" s="5" t="inlineStr">
        <is>
          <t>1404</t>
        </is>
      </c>
      <c r="B21" s="5" t="inlineStr">
        <is>
          <t>Sean Patrick Thomas</t>
        </is>
      </c>
      <c r="C21" s="5" t="inlineStr">
        <is>
          <t>DETCOOPER</t>
        </is>
      </c>
      <c r="D21" s="5" t="inlineStr"/>
      <c r="E21" s="6" t="n">
        <v>1211.8</v>
      </c>
      <c r="F21" s="5" t="n"/>
      <c r="G21" s="5" t="n"/>
      <c r="H21" s="5" t="n"/>
      <c r="I21" s="5" t="n"/>
      <c r="J21" s="7">
        <f>IF(AND(N(F21)&gt;0,N(I21)&gt;0),I21-F21-IF(N(G21)&gt;0,0.5,0)-IF(N(H21)&gt;0,0.5,0),0)</f>
        <v/>
      </c>
      <c r="K21" s="5" t="n"/>
      <c r="L21" s="7">
        <f>MIN(J21,8.0)</f>
        <v/>
      </c>
      <c r="M21" s="7">
        <f>MAX(0,MIN(J21,12)-8.0)</f>
        <v/>
      </c>
      <c r="N21" s="7">
        <f>MAX(0,J21-12)</f>
        <v/>
      </c>
      <c r="O21" s="5" t="n"/>
      <c r="P21" s="6">
        <f>E21*(L21+M21*1.5+N21*2+O21*3+N(K21))</f>
        <v/>
      </c>
      <c r="Q21" s="6" t="n">
        <v>1211.8</v>
      </c>
      <c r="R21" s="6">
        <f>Q21-P21</f>
        <v/>
      </c>
    </row>
    <row r="22">
      <c r="A22" s="5" t="inlineStr">
        <is>
          <t>1404</t>
        </is>
      </c>
      <c r="B22" s="5" t="inlineStr">
        <is>
          <t>Tony Amendola</t>
        </is>
      </c>
      <c r="C22" s="5" t="inlineStr">
        <is>
          <t>"FATHERPEREZ"</t>
        </is>
      </c>
      <c r="D22" s="5" t="inlineStr"/>
      <c r="E22" s="6" t="n">
        <v>1972</v>
      </c>
      <c r="F22" s="5" t="n"/>
      <c r="G22" s="5" t="n"/>
      <c r="H22" s="5" t="n"/>
      <c r="I22" s="5" t="n"/>
      <c r="J22" s="7">
        <f>IF(AND(N(F22)&gt;0,N(I22)&gt;0),I22-F22-IF(N(G22)&gt;0,0.5,0)-IF(N(H22)&gt;0,0.5,0),0)</f>
        <v/>
      </c>
      <c r="K22" s="5" t="n"/>
      <c r="L22" s="7">
        <f>MIN(J22,8.0)</f>
        <v/>
      </c>
      <c r="M22" s="7">
        <f>MAX(0,MIN(J22,12)-8.0)</f>
        <v/>
      </c>
      <c r="N22" s="7">
        <f>MAX(0,J22-12)</f>
        <v/>
      </c>
      <c r="O22" s="5" t="n"/>
      <c r="P22" s="6">
        <f>E22*(L22+M22*1.5+N22*2+O22*3+N(K22))</f>
        <v/>
      </c>
      <c r="Q22" s="6" t="n">
        <v>1972</v>
      </c>
      <c r="R22" s="6">
        <f>Q22-P22</f>
        <v/>
      </c>
    </row>
    <row r="23">
      <c r="P23" s="2" t="inlineStr">
        <is>
          <t>SUPPORTINGCAST LABOR</t>
        </is>
      </c>
      <c r="R23" s="8">
        <f>SUM(R21:R22)</f>
        <v/>
      </c>
    </row>
    <row r="25">
      <c r="B25" s="2" t="inlineStr">
        <is>
          <t>DAYPLAYERS</t>
        </is>
      </c>
    </row>
    <row r="26">
      <c r="A26" s="5" t="inlineStr">
        <is>
          <t>1405</t>
        </is>
      </c>
      <c r="B26" s="5" t="inlineStr">
        <is>
          <t>Kristy Keng(Drop/Pickup)</t>
        </is>
      </c>
      <c r="C26" s="5" t="inlineStr">
        <is>
          <t>"DONNA"</t>
        </is>
      </c>
      <c r="D26" s="5" t="inlineStr"/>
      <c r="E26" s="6" t="n">
        <v>1972</v>
      </c>
      <c r="F26" s="5" t="n"/>
      <c r="G26" s="5" t="n"/>
      <c r="H26" s="5" t="n"/>
      <c r="I26" s="5" t="n"/>
      <c r="J26" s="7">
        <f>IF(AND(N(F26)&gt;0,N(I26)&gt;0),I26-F26-IF(N(G26)&gt;0,0.5,0)-IF(N(H26)&gt;0,0.5,0),0)</f>
        <v/>
      </c>
      <c r="K26" s="5" t="n"/>
      <c r="L26" s="7">
        <f>MIN(J26,8.0)</f>
        <v/>
      </c>
      <c r="M26" s="7">
        <f>MAX(0,MIN(J26,12)-8.0)</f>
        <v/>
      </c>
      <c r="N26" s="7">
        <f>MAX(0,J26-12)</f>
        <v/>
      </c>
      <c r="O26" s="5" t="n"/>
      <c r="P26" s="6">
        <f>E26*(L26+M26*1.5+N26*2+O26*3+N(K26))</f>
        <v/>
      </c>
      <c r="Q26" s="6" t="n">
        <v>1972</v>
      </c>
      <c r="R26" s="6">
        <f>Q26-P26</f>
        <v/>
      </c>
    </row>
    <row r="27">
      <c r="A27" s="5" t="inlineStr">
        <is>
          <t>1405</t>
        </is>
      </c>
      <c r="B27" s="5" t="inlineStr">
        <is>
          <t>Oliver Alexander</t>
        </is>
      </c>
      <c r="C27" s="5" t="inlineStr">
        <is>
          <t>"CARLOS"(Minor)</t>
        </is>
      </c>
      <c r="D27" s="5" t="inlineStr"/>
      <c r="E27" s="6" t="n">
        <v>1249</v>
      </c>
      <c r="F27" s="5" t="n"/>
      <c r="G27" s="5" t="n"/>
      <c r="H27" s="5" t="n"/>
      <c r="I27" s="5" t="n"/>
      <c r="J27" s="7">
        <f>IF(AND(N(F27)&gt;0,N(I27)&gt;0),I27-F27-IF(N(G27)&gt;0,0.5,0)-IF(N(H27)&gt;0,0.5,0),0)</f>
        <v/>
      </c>
      <c r="K27" s="5" t="n"/>
      <c r="L27" s="7">
        <f>MIN(J27,8.0)</f>
        <v/>
      </c>
      <c r="M27" s="7">
        <f>MAX(0,MIN(J27,12)-8.0)</f>
        <v/>
      </c>
      <c r="N27" s="7">
        <f>MAX(0,J27-12)</f>
        <v/>
      </c>
      <c r="O27" s="5" t="n"/>
      <c r="P27" s="6">
        <f>E27*(L27+M27*1.5+N27*2+O27*3+N(K27))</f>
        <v/>
      </c>
      <c r="Q27" s="6" t="n">
        <v>1249</v>
      </c>
      <c r="R27" s="6">
        <f>Q27-P27</f>
        <v/>
      </c>
    </row>
    <row r="28">
      <c r="A28" s="5" t="inlineStr">
        <is>
          <t>1405</t>
        </is>
      </c>
      <c r="B28" s="5" t="inlineStr">
        <is>
          <t>Adam Lewandowski</t>
        </is>
      </c>
      <c r="C28" s="5" t="inlineStr">
        <is>
          <t>"TOMAS"(Minor)</t>
        </is>
      </c>
      <c r="D28" s="5" t="inlineStr"/>
      <c r="E28" s="6" t="n">
        <v>1249</v>
      </c>
      <c r="F28" s="5" t="n"/>
      <c r="G28" s="5" t="n"/>
      <c r="H28" s="5" t="n"/>
      <c r="I28" s="5" t="n"/>
      <c r="J28" s="7">
        <f>IF(AND(N(F28)&gt;0,N(I28)&gt;0),I28-F28-IF(N(G28)&gt;0,0.5,0)-IF(N(H28)&gt;0,0.5,0),0)</f>
        <v/>
      </c>
      <c r="K28" s="5" t="n"/>
      <c r="L28" s="7">
        <f>MIN(J28,8.0)</f>
        <v/>
      </c>
      <c r="M28" s="7">
        <f>MAX(0,MIN(J28,12)-8.0)</f>
        <v/>
      </c>
      <c r="N28" s="7">
        <f>MAX(0,J28-12)</f>
        <v/>
      </c>
      <c r="O28" s="5" t="n"/>
      <c r="P28" s="6">
        <f>E28*(L28+M28*1.5+N28*2+O28*3+N(K28))</f>
        <v/>
      </c>
      <c r="Q28" s="6" t="n">
        <v>1249</v>
      </c>
      <c r="R28" s="6">
        <f>Q28-P28</f>
        <v/>
      </c>
    </row>
    <row r="29">
      <c r="A29" s="5" t="inlineStr">
        <is>
          <t>1405</t>
        </is>
      </c>
      <c r="B29" s="5" t="inlineStr">
        <is>
          <t>Paul Rodriquez Jr.</t>
        </is>
      </c>
      <c r="C29" s="5" t="inlineStr">
        <is>
          <t>"OFFICERCLARO"</t>
        </is>
      </c>
      <c r="D29" s="5" t="inlineStr"/>
      <c r="E29" s="6" t="n">
        <v>1972</v>
      </c>
      <c r="F29" s="5" t="n"/>
      <c r="G29" s="5" t="n"/>
      <c r="H29" s="5" t="n"/>
      <c r="I29" s="5" t="n"/>
      <c r="J29" s="7">
        <f>IF(AND(N(F29)&gt;0,N(I29)&gt;0),I29-F29-IF(N(G29)&gt;0,0.5,0)-IF(N(H29)&gt;0,0.5,0),0)</f>
        <v/>
      </c>
      <c r="K29" s="5" t="n"/>
      <c r="L29" s="7">
        <f>MIN(J29,8.0)</f>
        <v/>
      </c>
      <c r="M29" s="7">
        <f>MAX(0,MIN(J29,12)-8.0)</f>
        <v/>
      </c>
      <c r="N29" s="7">
        <f>MAX(0,J29-12)</f>
        <v/>
      </c>
      <c r="O29" s="5" t="n"/>
      <c r="P29" s="6">
        <f>E29*(L29+M29*1.5+N29*2+O29*3+N(K29))</f>
        <v/>
      </c>
      <c r="Q29" s="6" t="n">
        <v>1972</v>
      </c>
      <c r="R29" s="6">
        <f>Q29-P29</f>
        <v/>
      </c>
    </row>
    <row r="30">
      <c r="A30" s="5" t="inlineStr">
        <is>
          <t>1405</t>
        </is>
      </c>
      <c r="B30" s="5" t="inlineStr">
        <is>
          <t>Sophia Santi</t>
        </is>
      </c>
      <c r="C30" s="5" t="inlineStr">
        <is>
          <t>"FEMALECUSTOMER"</t>
        </is>
      </c>
      <c r="D30" s="5" t="inlineStr"/>
      <c r="E30" s="6" t="n">
        <v>1972</v>
      </c>
      <c r="F30" s="5" t="n"/>
      <c r="G30" s="5" t="n"/>
      <c r="H30" s="5" t="n"/>
      <c r="I30" s="5" t="n"/>
      <c r="J30" s="7">
        <f>IF(AND(N(F30)&gt;0,N(I30)&gt;0),I30-F30-IF(N(G30)&gt;0,0.5,0)-IF(N(H30)&gt;0,0.5,0),0)</f>
        <v/>
      </c>
      <c r="K30" s="5" t="n"/>
      <c r="L30" s="7">
        <f>MIN(J30,8.0)</f>
        <v/>
      </c>
      <c r="M30" s="7">
        <f>MAX(0,MIN(J30,12)-8.0)</f>
        <v/>
      </c>
      <c r="N30" s="7">
        <f>MAX(0,J30-12)</f>
        <v/>
      </c>
      <c r="O30" s="5" t="n"/>
      <c r="P30" s="6">
        <f>E30*(L30+M30*1.5+N30*2+O30*3+N(K30))</f>
        <v/>
      </c>
      <c r="Q30" s="6" t="n">
        <v>1972</v>
      </c>
      <c r="R30" s="6">
        <f>Q30-P30</f>
        <v/>
      </c>
    </row>
    <row r="31">
      <c r="A31" s="5" t="inlineStr">
        <is>
          <t>1405</t>
        </is>
      </c>
      <c r="B31" s="5" t="inlineStr">
        <is>
          <t>John Marshall Jones</t>
        </is>
      </c>
      <c r="C31" s="5" t="inlineStr">
        <is>
          <t>"MRHANKINS"</t>
        </is>
      </c>
      <c r="D31" s="5" t="inlineStr"/>
      <c r="E31" s="6" t="n">
        <v>1972</v>
      </c>
      <c r="F31" s="5" t="n"/>
      <c r="G31" s="5" t="n"/>
      <c r="H31" s="5" t="n"/>
      <c r="I31" s="5" t="n"/>
      <c r="J31" s="7">
        <f>IF(AND(N(F31)&gt;0,N(I31)&gt;0),I31-F31-IF(N(G31)&gt;0,0.5,0)-IF(N(H31)&gt;0,0.5,0),0)</f>
        <v/>
      </c>
      <c r="K31" s="5" t="n"/>
      <c r="L31" s="7">
        <f>MIN(J31,8.0)</f>
        <v/>
      </c>
      <c r="M31" s="7">
        <f>MAX(0,MIN(J31,12)-8.0)</f>
        <v/>
      </c>
      <c r="N31" s="7">
        <f>MAX(0,J31-12)</f>
        <v/>
      </c>
      <c r="O31" s="5" t="n"/>
      <c r="P31" s="6">
        <f>E31*(L31+M31*1.5+N31*2+O31*3+N(K31))</f>
        <v/>
      </c>
      <c r="Q31" s="6" t="n">
        <v>1972</v>
      </c>
      <c r="R31" s="6">
        <f>Q31-P31</f>
        <v/>
      </c>
    </row>
    <row r="32">
      <c r="A32" s="5" t="inlineStr">
        <is>
          <t>1405</t>
        </is>
      </c>
      <c r="B32" s="5" t="inlineStr">
        <is>
          <t>Madeleine Mcgraw</t>
        </is>
      </c>
      <c r="C32" s="5" t="inlineStr">
        <is>
          <t>"APRIL"(Minor)</t>
        </is>
      </c>
      <c r="D32" s="5" t="inlineStr"/>
      <c r="E32" s="6" t="n">
        <v>1249</v>
      </c>
      <c r="F32" s="5" t="n"/>
      <c r="G32" s="5" t="n"/>
      <c r="H32" s="5" t="n"/>
      <c r="I32" s="5" t="n"/>
      <c r="J32" s="7">
        <f>IF(AND(N(F32)&gt;0,N(I32)&gt;0),I32-F32-IF(N(G32)&gt;0,0.5,0)-IF(N(H32)&gt;0,0.5,0),0)</f>
        <v/>
      </c>
      <c r="K32" s="5" t="n"/>
      <c r="L32" s="7">
        <f>MIN(J32,8.0)</f>
        <v/>
      </c>
      <c r="M32" s="7">
        <f>MAX(0,MIN(J32,12)-8.0)</f>
        <v/>
      </c>
      <c r="N32" s="7">
        <f>MAX(0,J32-12)</f>
        <v/>
      </c>
      <c r="O32" s="5" t="n"/>
      <c r="P32" s="6">
        <f>E32*(L32+M32*1.5+N32*2+O32*3+N(K32))</f>
        <v/>
      </c>
      <c r="Q32" s="6" t="n">
        <v>1249</v>
      </c>
      <c r="R32" s="6">
        <f>Q32-P32</f>
        <v/>
      </c>
    </row>
    <row r="33">
      <c r="P33" s="2" t="inlineStr">
        <is>
          <t>DAYPLAYERS LABOR</t>
        </is>
      </c>
      <c r="R33" s="8">
        <f>SUM(R26:R32)</f>
        <v/>
      </c>
    </row>
    <row r="35">
      <c r="B35" s="2" t="inlineStr">
        <is>
          <t>STUNTCOORD</t>
        </is>
      </c>
    </row>
    <row r="36">
      <c r="A36" s="5" t="inlineStr">
        <is>
          <t>1406</t>
        </is>
      </c>
      <c r="B36" s="5" t="inlineStr">
        <is>
          <t>Rob King</t>
        </is>
      </c>
      <c r="C36" s="5" t="inlineStr">
        <is>
          <t>STUNTCOORDINATOR</t>
        </is>
      </c>
      <c r="D36" s="5" t="inlineStr"/>
      <c r="E36" s="6" t="n">
        <v>1173</v>
      </c>
      <c r="F36" s="5" t="n"/>
      <c r="G36" s="5" t="n"/>
      <c r="H36" s="5" t="n"/>
      <c r="I36" s="5" t="n"/>
      <c r="J36" s="7">
        <f>IF(AND(N(F36)&gt;0,N(I36)&gt;0),I36-F36-IF(N(G36)&gt;0,0.5,0)-IF(N(H36)&gt;0,0.5,0),0)</f>
        <v/>
      </c>
      <c r="K36" s="5" t="n"/>
      <c r="L36" s="7">
        <f>MIN(J36,8.0)</f>
        <v/>
      </c>
      <c r="M36" s="7">
        <f>MAX(0,MIN(J36,12)-8.0)</f>
        <v/>
      </c>
      <c r="N36" s="7">
        <f>MAX(0,J36-12)</f>
        <v/>
      </c>
      <c r="O36" s="5" t="n"/>
      <c r="P36" s="6">
        <f>E36*(L36+M36*1.5+N36*2+O36*3+N(K36))</f>
        <v/>
      </c>
      <c r="Q36" s="6" t="n">
        <v>1173</v>
      </c>
      <c r="R36" s="6">
        <f>Q36-P36</f>
        <v/>
      </c>
    </row>
    <row r="37">
      <c r="P37" s="2" t="inlineStr">
        <is>
          <t>STUNTCOORD LABOR</t>
        </is>
      </c>
      <c r="R37" s="8">
        <f>SUM(R36:R36)</f>
        <v/>
      </c>
    </row>
    <row r="39">
      <c r="B39" s="2" t="inlineStr">
        <is>
          <t>TEACHER/WELFAREWORKER</t>
        </is>
      </c>
    </row>
    <row r="40">
      <c r="A40" s="5" t="inlineStr">
        <is>
          <t>1412</t>
        </is>
      </c>
      <c r="B40" s="5" t="inlineStr"/>
      <c r="C40" s="5" t="inlineStr">
        <is>
          <t>WELFAREWORKER</t>
        </is>
      </c>
      <c r="D40" s="5" t="inlineStr">
        <is>
          <t>Local884</t>
        </is>
      </c>
      <c r="E40" s="6" t="n">
        <v>25.5</v>
      </c>
      <c r="F40" s="5" t="n"/>
      <c r="G40" s="5" t="n"/>
      <c r="H40" s="5" t="n"/>
      <c r="I40" s="5" t="n"/>
      <c r="J40" s="7">
        <f>IF(AND(N(F40)&gt;0,N(I40)&gt;0),I40-F40-IF(N(G40)&gt;0,0.5,0)-IF(N(H40)&gt;0,0.5,0),0)</f>
        <v/>
      </c>
      <c r="K40" s="5" t="n"/>
      <c r="L40" s="7">
        <f>MIN(J40,8.0)</f>
        <v/>
      </c>
      <c r="M40" s="7">
        <f>MAX(0,MIN(J40,12)-8.0)</f>
        <v/>
      </c>
      <c r="N40" s="7">
        <f>MAX(0,J40-12)</f>
        <v/>
      </c>
      <c r="O40" s="5" t="n"/>
      <c r="P40" s="6">
        <f>E40*(L40+M40*1.5+N40*2+O40*3+N(K40))</f>
        <v/>
      </c>
      <c r="Q40" s="6" t="n">
        <v>280.5</v>
      </c>
      <c r="R40" s="6">
        <f>Q40-P40</f>
        <v/>
      </c>
    </row>
    <row r="41">
      <c r="A41" s="5" t="inlineStr">
        <is>
          <t>1412</t>
        </is>
      </c>
      <c r="B41" s="5" t="inlineStr"/>
      <c r="C41" s="5" t="inlineStr">
        <is>
          <t>ADDLWELFAREWORKER</t>
        </is>
      </c>
      <c r="D41" s="5" t="inlineStr">
        <is>
          <t>Local884</t>
        </is>
      </c>
      <c r="E41" s="6" t="n">
        <v>25.5</v>
      </c>
      <c r="F41" s="5" t="n"/>
      <c r="G41" s="5" t="n"/>
      <c r="H41" s="5" t="n"/>
      <c r="I41" s="5" t="n"/>
      <c r="J41" s="7">
        <f>IF(AND(N(F41)&gt;0,N(I41)&gt;0),I41-F41-IF(N(G41)&gt;0,0.5,0)-IF(N(H41)&gt;0,0.5,0),0)</f>
        <v/>
      </c>
      <c r="K41" s="5" t="n"/>
      <c r="L41" s="7">
        <f>MIN(J41,8.0)</f>
        <v/>
      </c>
      <c r="M41" s="7">
        <f>MAX(0,MIN(J41,12)-8.0)</f>
        <v/>
      </c>
      <c r="N41" s="7">
        <f>MAX(0,J41-12)</f>
        <v/>
      </c>
      <c r="O41" s="5" t="n"/>
      <c r="P41" s="6">
        <f>E41*(L41+M41*1.5+N41*2+O41*3+N(K41))</f>
        <v/>
      </c>
      <c r="Q41" s="6" t="n">
        <v>280.5</v>
      </c>
      <c r="R41" s="6">
        <f>Q41-P41</f>
        <v/>
      </c>
    </row>
    <row r="42">
      <c r="P42" s="2" t="inlineStr">
        <is>
          <t>TEACHER/WELFAREWORKER LABOR</t>
        </is>
      </c>
      <c r="R42" s="8">
        <f>SUM(R40:R41)</f>
        <v/>
      </c>
    </row>
    <row r="44">
      <c r="B44" s="2" t="inlineStr">
        <is>
          <t>CASTINGDIRECTORS</t>
        </is>
      </c>
    </row>
    <row r="45">
      <c r="A45" s="5" t="inlineStr">
        <is>
          <t>1413</t>
        </is>
      </c>
      <c r="B45" s="5" t="inlineStr">
        <is>
          <t>Rich Delia</t>
        </is>
      </c>
      <c r="C45" s="5" t="inlineStr">
        <is>
          <t>CASTINGDIRECTOR</t>
        </is>
      </c>
      <c r="D45" s="5" t="inlineStr"/>
      <c r="E45" s="6" t="n">
        <v>600</v>
      </c>
      <c r="F45" s="5" t="n"/>
      <c r="G45" s="5" t="n"/>
      <c r="H45" s="5" t="n"/>
      <c r="I45" s="5" t="n"/>
      <c r="J45" s="7">
        <f>IF(AND(N(F45)&gt;0,N(I45)&gt;0),I45-F45-IF(N(G45)&gt;0,0.5,0)-IF(N(H45)&gt;0,0.5,0),0)</f>
        <v/>
      </c>
      <c r="K45" s="5" t="n"/>
      <c r="L45" s="7">
        <f>MIN(J45,8.0)</f>
        <v/>
      </c>
      <c r="M45" s="7">
        <f>MAX(0,MIN(J45,12)-8.0)</f>
        <v/>
      </c>
      <c r="N45" s="7">
        <f>MAX(0,J45-12)</f>
        <v/>
      </c>
      <c r="O45" s="5" t="n"/>
      <c r="P45" s="6">
        <f>E45*(L45+M45*1.5+N45*2+O45*3+N(K45))</f>
        <v/>
      </c>
      <c r="Q45" s="5" t="n"/>
      <c r="R45" s="6">
        <f>Q45-P45</f>
        <v/>
      </c>
    </row>
    <row r="46">
      <c r="P46" s="2" t="inlineStr">
        <is>
          <t>CASTINGDIRECTORS LABOR</t>
        </is>
      </c>
      <c r="R46" s="8">
        <f>SUM(R45:R45)</f>
        <v/>
      </c>
    </row>
    <row r="48">
      <c r="B48" s="2" t="inlineStr">
        <is>
          <t>CASTINGASSOCIATES/ASSISTANTS</t>
        </is>
      </c>
    </row>
    <row r="49">
      <c r="A49" s="5" t="inlineStr">
        <is>
          <t>1414</t>
        </is>
      </c>
      <c r="B49" s="5" t="inlineStr">
        <is>
          <t>Adam Richards</t>
        </is>
      </c>
      <c r="C49" s="5" t="inlineStr">
        <is>
          <t>CASTINGASSOCIATE</t>
        </is>
      </c>
      <c r="D49" s="5" t="inlineStr"/>
      <c r="E49" s="6" t="n">
        <v>200</v>
      </c>
      <c r="F49" s="5" t="n"/>
      <c r="G49" s="5" t="n"/>
      <c r="H49" s="5" t="n"/>
      <c r="I49" s="5" t="n"/>
      <c r="J49" s="7">
        <f>IF(AND(N(F49)&gt;0,N(I49)&gt;0),I49-F49-IF(N(G49)&gt;0,0.5,0)-IF(N(H49)&gt;0,0.5,0),0)</f>
        <v/>
      </c>
      <c r="K49" s="5" t="n"/>
      <c r="L49" s="7">
        <f>MIN(J49,8.0)</f>
        <v/>
      </c>
      <c r="M49" s="7">
        <f>MAX(0,MIN(J49,12)-8.0)</f>
        <v/>
      </c>
      <c r="N49" s="7">
        <f>MAX(0,J49-12)</f>
        <v/>
      </c>
      <c r="O49" s="5" t="n"/>
      <c r="P49" s="6">
        <f>E49*(L49+M49*1.5+N49*2+O49*3+N(K49))</f>
        <v/>
      </c>
      <c r="Q49" s="5" t="n"/>
      <c r="R49" s="6">
        <f>Q49-P49</f>
        <v/>
      </c>
    </row>
    <row r="50">
      <c r="P50" s="2" t="inlineStr">
        <is>
          <t>CASTINGASSOCIATES/ASSISTANTS LABOR</t>
        </is>
      </c>
      <c r="R50" s="8">
        <f>SUM(R49:R49)</f>
        <v/>
      </c>
    </row>
    <row r="52">
      <c r="B52" s="2" t="inlineStr">
        <is>
          <t>CASTDRIVERS/VEHICLES</t>
        </is>
      </c>
    </row>
    <row r="53">
      <c r="A53" s="5" t="inlineStr">
        <is>
          <t>1455</t>
        </is>
      </c>
      <c r="B53" s="5" t="inlineStr"/>
      <c r="C53" s="5" t="inlineStr">
        <is>
          <t>CAST 3-RMDRIVER</t>
        </is>
      </c>
      <c r="D53" s="5" t="inlineStr">
        <is>
          <t>Local399</t>
        </is>
      </c>
      <c r="E53" s="6" t="n">
        <v>32.36</v>
      </c>
      <c r="F53" s="5" t="n"/>
      <c r="G53" s="5" t="n"/>
      <c r="H53" s="5" t="n"/>
      <c r="I53" s="5" t="n"/>
      <c r="J53" s="7">
        <f>IF(AND(N(F53)&gt;0,N(I53)&gt;0),I53-F53-IF(N(G53)&gt;0,0.5,0)-IF(N(H53)&gt;0,0.5,0),0)</f>
        <v/>
      </c>
      <c r="K53" s="5" t="n"/>
      <c r="L53" s="7">
        <f>MIN(J53,8.0)</f>
        <v/>
      </c>
      <c r="M53" s="7">
        <f>MAX(0,MIN(J53,12)-8.0)</f>
        <v/>
      </c>
      <c r="N53" s="7">
        <f>MAX(0,J53-12)</f>
        <v/>
      </c>
      <c r="O53" s="5" t="n"/>
      <c r="P53" s="6">
        <f>E53*(L53+M53*1.5+N53*2+O53*3+N(K53))</f>
        <v/>
      </c>
      <c r="Q53" s="6" t="n">
        <v>501.58</v>
      </c>
      <c r="R53" s="6">
        <f>Q53-P53</f>
        <v/>
      </c>
    </row>
    <row r="54">
      <c r="A54" s="5" t="inlineStr">
        <is>
          <t>1455</t>
        </is>
      </c>
      <c r="B54" s="5" t="inlineStr"/>
      <c r="C54" s="5" t="inlineStr">
        <is>
          <t>CASTMINIVANDRIVER</t>
        </is>
      </c>
      <c r="D54" s="5" t="inlineStr">
        <is>
          <t>Local399</t>
        </is>
      </c>
      <c r="E54" s="6" t="n">
        <v>32.36</v>
      </c>
      <c r="F54" s="5" t="n"/>
      <c r="G54" s="5" t="n"/>
      <c r="H54" s="5" t="n"/>
      <c r="I54" s="5" t="n"/>
      <c r="J54" s="7">
        <f>IF(AND(N(F54)&gt;0,N(I54)&gt;0),I54-F54-IF(N(G54)&gt;0,0.5,0)-IF(N(H54)&gt;0,0.5,0),0)</f>
        <v/>
      </c>
      <c r="K54" s="5" t="n"/>
      <c r="L54" s="7">
        <f>MIN(J54,8.0)</f>
        <v/>
      </c>
      <c r="M54" s="7">
        <f>MAX(0,MIN(J54,12)-8.0)</f>
        <v/>
      </c>
      <c r="N54" s="7">
        <f>MAX(0,J54-12)</f>
        <v/>
      </c>
      <c r="O54" s="5" t="n"/>
      <c r="P54" s="6">
        <f>E54*(L54+M54*1.5+N54*2+O54*3+N(K54))</f>
        <v/>
      </c>
      <c r="Q54" s="6" t="n">
        <v>501.58</v>
      </c>
      <c r="R54" s="6">
        <f>Q54-P54</f>
        <v/>
      </c>
    </row>
    <row r="55">
      <c r="P55" s="2" t="inlineStr">
        <is>
          <t>CASTDRIVERS/VEHICLES LABOR</t>
        </is>
      </c>
      <c r="R55" s="8">
        <f>SUM(R53:R54)</f>
        <v/>
      </c>
    </row>
    <row r="57">
      <c r="B57" s="2" t="inlineStr">
        <is>
          <t>PRODUCTIONMANAGER</t>
        </is>
      </c>
    </row>
    <row r="58">
      <c r="A58" s="5" t="inlineStr">
        <is>
          <t>2001</t>
        </is>
      </c>
      <c r="B58" s="5" t="inlineStr">
        <is>
          <t>Carrie Morrow</t>
        </is>
      </c>
      <c r="C58" s="5" t="inlineStr">
        <is>
          <t>UPM</t>
        </is>
      </c>
      <c r="D58" s="5" t="inlineStr">
        <is>
          <t>DGA</t>
        </is>
      </c>
      <c r="E58" s="6" t="n">
        <v>1063.6</v>
      </c>
      <c r="F58" s="5" t="n"/>
      <c r="G58" s="5" t="n"/>
      <c r="H58" s="5" t="n"/>
      <c r="I58" s="5" t="n"/>
      <c r="J58" s="7">
        <f>IF(AND(N(F58)&gt;0,N(I58)&gt;0),I58-F58-IF(N(G58)&gt;0,0.5,0)-IF(N(H58)&gt;0,0.5,0),0)</f>
        <v/>
      </c>
      <c r="K58" s="5" t="n"/>
      <c r="L58" s="7">
        <f>MIN(J58,8.0)</f>
        <v/>
      </c>
      <c r="M58" s="7">
        <f>MAX(0,MIN(J58,12)-8.0)</f>
        <v/>
      </c>
      <c r="N58" s="7">
        <f>MAX(0,J58-12)</f>
        <v/>
      </c>
      <c r="O58" s="5" t="n"/>
      <c r="P58" s="6">
        <f>E58*(L58+M58*1.5+N58*2+O58*3+N(K58))</f>
        <v/>
      </c>
      <c r="Q58" s="6" t="n">
        <v>1063.6</v>
      </c>
      <c r="R58" s="6">
        <f>Q58-P58</f>
        <v/>
      </c>
    </row>
    <row r="59">
      <c r="P59" s="2" t="inlineStr">
        <is>
          <t>PRODUCTIONMANAGER LABOR</t>
        </is>
      </c>
      <c r="R59" s="8">
        <f>SUM(R58:R58)</f>
        <v/>
      </c>
    </row>
    <row r="61">
      <c r="B61" s="2" t="inlineStr">
        <is>
          <t>1STASSTDIRECTOR</t>
        </is>
      </c>
    </row>
    <row r="62">
      <c r="A62" s="5" t="inlineStr">
        <is>
          <t>2002</t>
        </is>
      </c>
      <c r="B62" s="5" t="inlineStr">
        <is>
          <t>James Moran</t>
        </is>
      </c>
      <c r="C62" s="5" t="inlineStr">
        <is>
          <t>1STASSTDIRECTOR</t>
        </is>
      </c>
      <c r="D62" s="5" t="inlineStr">
        <is>
          <t>DGA</t>
        </is>
      </c>
      <c r="E62" s="6" t="n">
        <v>985.6</v>
      </c>
      <c r="F62" s="5" t="n"/>
      <c r="G62" s="5" t="n"/>
      <c r="H62" s="5" t="n"/>
      <c r="I62" s="5" t="n"/>
      <c r="J62" s="7">
        <f>IF(AND(N(F62)&gt;0,N(I62)&gt;0),I62-F62-IF(N(G62)&gt;0,0.5,0)-IF(N(H62)&gt;0,0.5,0),0)</f>
        <v/>
      </c>
      <c r="K62" s="5" t="n"/>
      <c r="L62" s="7">
        <f>MIN(J62,8.0)</f>
        <v/>
      </c>
      <c r="M62" s="7">
        <f>MAX(0,MIN(J62,12)-8.0)</f>
        <v/>
      </c>
      <c r="N62" s="7">
        <f>MAX(0,J62-12)</f>
        <v/>
      </c>
      <c r="O62" s="5" t="n"/>
      <c r="P62" s="6">
        <f>E62*(L62+M62*1.5+N62*2+O62*3+N(K62))</f>
        <v/>
      </c>
      <c r="Q62" s="6" t="n">
        <v>985.6</v>
      </c>
      <c r="R62" s="6">
        <f>Q62-P62</f>
        <v/>
      </c>
    </row>
    <row r="63">
      <c r="P63" s="2" t="inlineStr">
        <is>
          <t>1STASSTDIRECTOR LABOR</t>
        </is>
      </c>
      <c r="R63" s="8">
        <f>SUM(R62:R62)</f>
        <v/>
      </c>
    </row>
    <row r="65">
      <c r="B65" s="2" t="inlineStr">
        <is>
          <t>2NDASSTDIRECTORS</t>
        </is>
      </c>
    </row>
    <row r="66">
      <c r="A66" s="5" t="inlineStr">
        <is>
          <t>2003</t>
        </is>
      </c>
      <c r="B66" s="5" t="inlineStr">
        <is>
          <t>Mark Newland</t>
        </is>
      </c>
      <c r="C66" s="5" t="inlineStr">
        <is>
          <t>KEY 2NDA. D.</t>
        </is>
      </c>
      <c r="D66" s="5" t="inlineStr">
        <is>
          <t>DGA</t>
        </is>
      </c>
      <c r="E66" s="6" t="n">
        <v>674.6</v>
      </c>
      <c r="F66" s="5" t="n"/>
      <c r="G66" s="5" t="n"/>
      <c r="H66" s="5" t="n"/>
      <c r="I66" s="5" t="n"/>
      <c r="J66" s="7">
        <f>IF(AND(N(F66)&gt;0,N(I66)&gt;0),I66-F66-IF(N(G66)&gt;0,0.5,0)-IF(N(H66)&gt;0,0.5,0),0)</f>
        <v/>
      </c>
      <c r="K66" s="5" t="n"/>
      <c r="L66" s="7">
        <f>MIN(J66,8.0)</f>
        <v/>
      </c>
      <c r="M66" s="7">
        <f>MAX(0,MIN(J66,12)-8.0)</f>
        <v/>
      </c>
      <c r="N66" s="7">
        <f>MAX(0,J66-12)</f>
        <v/>
      </c>
      <c r="O66" s="5" t="n"/>
      <c r="P66" s="6">
        <f>E66*(L66+M66*1.5+N66*2+O66*3+N(K66))</f>
        <v/>
      </c>
      <c r="Q66" s="6" t="n">
        <v>674.6</v>
      </c>
      <c r="R66" s="6">
        <f>Q66-P66</f>
        <v/>
      </c>
    </row>
    <row r="67">
      <c r="A67" s="5" t="inlineStr">
        <is>
          <t>2003</t>
        </is>
      </c>
      <c r="B67" s="5" t="inlineStr"/>
      <c r="C67" s="5" t="inlineStr">
        <is>
          <t>2ND 2NDA. D.</t>
        </is>
      </c>
      <c r="D67" s="5" t="inlineStr">
        <is>
          <t>DGA</t>
        </is>
      </c>
      <c r="E67" s="6" t="n">
        <v>526</v>
      </c>
      <c r="F67" s="5" t="n"/>
      <c r="G67" s="5" t="n"/>
      <c r="H67" s="5" t="n"/>
      <c r="I67" s="5" t="n"/>
      <c r="J67" s="7">
        <f>IF(AND(N(F67)&gt;0,N(I67)&gt;0),I67-F67-IF(N(G67)&gt;0,0.5,0)-IF(N(H67)&gt;0,0.5,0),0)</f>
        <v/>
      </c>
      <c r="K67" s="5" t="n"/>
      <c r="L67" s="7">
        <f>MIN(J67,8.0)</f>
        <v/>
      </c>
      <c r="M67" s="7">
        <f>MAX(0,MIN(J67,12)-8.0)</f>
        <v/>
      </c>
      <c r="N67" s="7">
        <f>MAX(0,J67-12)</f>
        <v/>
      </c>
      <c r="O67" s="5" t="n"/>
      <c r="P67" s="6">
        <f>E67*(L67+M67*1.5+N67*2+O67*3+N(K67))</f>
        <v/>
      </c>
      <c r="Q67" s="6" t="n">
        <v>526</v>
      </c>
      <c r="R67" s="6">
        <f>Q67-P67</f>
        <v/>
      </c>
    </row>
    <row r="68">
      <c r="P68" s="2" t="inlineStr">
        <is>
          <t>2NDASSTDIRECTORS LABOR</t>
        </is>
      </c>
      <c r="R68" s="8">
        <f>SUM(R66:R67)</f>
        <v/>
      </c>
    </row>
    <row r="70">
      <c r="B70" s="2" t="inlineStr">
        <is>
          <t>SCRIPTSUPERVISOR</t>
        </is>
      </c>
    </row>
    <row r="71">
      <c r="A71" s="5" t="inlineStr">
        <is>
          <t>2005</t>
        </is>
      </c>
      <c r="B71" s="5" t="inlineStr">
        <is>
          <t>Renata Amador</t>
        </is>
      </c>
      <c r="C71" s="5" t="inlineStr">
        <is>
          <t>SCRIPTSUPERVISOR</t>
        </is>
      </c>
      <c r="D71" s="5" t="inlineStr">
        <is>
          <t>Local871</t>
        </is>
      </c>
      <c r="E71" s="6" t="n">
        <v>25.5</v>
      </c>
      <c r="F71" s="5" t="n"/>
      <c r="G71" s="5" t="n"/>
      <c r="H71" s="5" t="n"/>
      <c r="I71" s="5" t="n"/>
      <c r="J71" s="7">
        <f>IF(AND(N(F71)&gt;0,N(I71)&gt;0),I71-F71-IF(N(G71)&gt;0,0.5,0)-IF(N(H71)&gt;0,0.5,0),0)</f>
        <v/>
      </c>
      <c r="K71" s="5" t="n"/>
      <c r="L71" s="7">
        <f>MIN(J71,10.0)</f>
        <v/>
      </c>
      <c r="M71" s="7">
        <f>MAX(0,MIN(J71,12)-10.0)</f>
        <v/>
      </c>
      <c r="N71" s="7">
        <f>MAX(0,J71-12)</f>
        <v/>
      </c>
      <c r="O71" s="5" t="n"/>
      <c r="P71" s="6">
        <f>E71*(L71+M71*1.5+N71*2+O71*3+N(K71))</f>
        <v/>
      </c>
      <c r="Q71" s="6" t="n">
        <v>439.87</v>
      </c>
      <c r="R71" s="6">
        <f>Q71-P71</f>
        <v/>
      </c>
    </row>
    <row r="72">
      <c r="P72" s="2" t="inlineStr">
        <is>
          <t>SCRIPTSUPERVISOR LABOR</t>
        </is>
      </c>
      <c r="R72" s="8">
        <f>SUM(R71:R71)</f>
        <v/>
      </c>
    </row>
    <row r="74">
      <c r="B74" s="2" t="inlineStr">
        <is>
          <t>LOCATIONMANAGERS</t>
        </is>
      </c>
    </row>
    <row r="75">
      <c r="A75" s="5" t="inlineStr">
        <is>
          <t>2007</t>
        </is>
      </c>
      <c r="B75" s="5" t="inlineStr">
        <is>
          <t>Stacey Brashear-Rodriquez</t>
        </is>
      </c>
      <c r="C75" s="5" t="inlineStr">
        <is>
          <t>LOCATIONMANAGER</t>
        </is>
      </c>
      <c r="D75" s="5" t="inlineStr">
        <is>
          <t>Local399</t>
        </is>
      </c>
      <c r="E75" s="6" t="n">
        <v>557.6</v>
      </c>
      <c r="F75" s="5" t="n"/>
      <c r="G75" s="5" t="n"/>
      <c r="H75" s="5" t="n"/>
      <c r="I75" s="5" t="n"/>
      <c r="J75" s="7">
        <f>IF(AND(N(F75)&gt;0,N(I75)&gt;0),I75-F75-IF(N(G75)&gt;0,0.5,0)-IF(N(H75)&gt;0,0.5,0),0)</f>
        <v/>
      </c>
      <c r="K75" s="5" t="n"/>
      <c r="L75" s="7">
        <f>MIN(J75,8.0)</f>
        <v/>
      </c>
      <c r="M75" s="7">
        <f>MAX(0,MIN(J75,12)-8.0)</f>
        <v/>
      </c>
      <c r="N75" s="7">
        <f>MAX(0,J75-12)</f>
        <v/>
      </c>
      <c r="O75" s="5" t="n"/>
      <c r="P75" s="6">
        <f>E75*(L75+M75*1.5+N75*2+O75*3+N(K75))</f>
        <v/>
      </c>
      <c r="Q75" s="6" t="n">
        <v>557.6</v>
      </c>
      <c r="R75" s="6">
        <f>Q75-P75</f>
        <v/>
      </c>
    </row>
    <row r="76">
      <c r="P76" s="2" t="inlineStr">
        <is>
          <t>LOCATIONMANAGERS LABOR</t>
        </is>
      </c>
      <c r="R76" s="8">
        <f>SUM(R75:R75)</f>
        <v/>
      </c>
    </row>
    <row r="78">
      <c r="B78" s="2" t="inlineStr">
        <is>
          <t>ASSISTANTLOCATIONMANAGERS</t>
        </is>
      </c>
    </row>
    <row r="79">
      <c r="A79" s="5" t="inlineStr">
        <is>
          <t>2008</t>
        </is>
      </c>
      <c r="B79" s="5" t="inlineStr">
        <is>
          <t>Rich Heichel</t>
        </is>
      </c>
      <c r="C79" s="5" t="inlineStr">
        <is>
          <t>KEYASSTLOCATIONMGR#1</t>
        </is>
      </c>
      <c r="D79" s="5" t="inlineStr">
        <is>
          <t>Local399</t>
        </is>
      </c>
      <c r="E79" s="6" t="n">
        <v>334.2</v>
      </c>
      <c r="F79" s="5" t="n"/>
      <c r="G79" s="5" t="n"/>
      <c r="H79" s="5" t="n"/>
      <c r="I79" s="5" t="n"/>
      <c r="J79" s="7">
        <f>IF(AND(N(F79)&gt;0,N(I79)&gt;0),I79-F79-IF(N(G79)&gt;0,0.5,0)-IF(N(H79)&gt;0,0.5,0),0)</f>
        <v/>
      </c>
      <c r="K79" s="5" t="n"/>
      <c r="L79" s="7">
        <f>MIN(J79,8.0)</f>
        <v/>
      </c>
      <c r="M79" s="7">
        <f>MAX(0,MIN(J79,12)-8.0)</f>
        <v/>
      </c>
      <c r="N79" s="7">
        <f>MAX(0,J79-12)</f>
        <v/>
      </c>
      <c r="O79" s="5" t="n"/>
      <c r="P79" s="6">
        <f>E79*(L79+M79*1.5+N79*2+O79*3+N(K79))</f>
        <v/>
      </c>
      <c r="Q79" s="6" t="n">
        <v>334.2</v>
      </c>
      <c r="R79" s="6">
        <f>Q79-P79</f>
        <v/>
      </c>
    </row>
    <row r="80">
      <c r="A80" s="5" t="inlineStr">
        <is>
          <t>2008</t>
        </is>
      </c>
      <c r="B80" s="5" t="inlineStr">
        <is>
          <t>Jason Mc Cauley</t>
        </is>
      </c>
      <c r="C80" s="5" t="inlineStr">
        <is>
          <t>LOCATIONASST</t>
        </is>
      </c>
      <c r="D80" s="5" t="inlineStr">
        <is>
          <t>Local399</t>
        </is>
      </c>
      <c r="E80" s="6" t="n">
        <v>229</v>
      </c>
      <c r="F80" s="5" t="n"/>
      <c r="G80" s="5" t="n"/>
      <c r="H80" s="5" t="n"/>
      <c r="I80" s="5" t="n"/>
      <c r="J80" s="7">
        <f>IF(AND(N(F80)&gt;0,N(I80)&gt;0),I80-F80-IF(N(G80)&gt;0,0.5,0)-IF(N(H80)&gt;0,0.5,0),0)</f>
        <v/>
      </c>
      <c r="K80" s="5" t="n"/>
      <c r="L80" s="7">
        <f>MIN(J80,8.0)</f>
        <v/>
      </c>
      <c r="M80" s="7">
        <f>MAX(0,MIN(J80,12)-8.0)</f>
        <v/>
      </c>
      <c r="N80" s="7">
        <f>MAX(0,J80-12)</f>
        <v/>
      </c>
      <c r="O80" s="5" t="n"/>
      <c r="P80" s="6">
        <f>E80*(L80+M80*1.5+N80*2+O80*3+N(K80))</f>
        <v/>
      </c>
      <c r="Q80" s="6" t="n">
        <v>229</v>
      </c>
      <c r="R80" s="6">
        <f>Q80-P80</f>
        <v/>
      </c>
    </row>
    <row r="81">
      <c r="P81" s="2" t="inlineStr">
        <is>
          <t>ASSISTANTLOCATIONMANAGERS LABOR</t>
        </is>
      </c>
      <c r="R81" s="8">
        <f>SUM(R79:R80)</f>
        <v/>
      </c>
    </row>
    <row r="83">
      <c r="B83" s="2" t="inlineStr">
        <is>
          <t>PRODUCTIONCOORDINATOR</t>
        </is>
      </c>
    </row>
    <row r="84">
      <c r="A84" s="5" t="inlineStr">
        <is>
          <t>2009</t>
        </is>
      </c>
      <c r="B84" s="5" t="inlineStr">
        <is>
          <t>Ali Griffith</t>
        </is>
      </c>
      <c r="C84" s="5" t="inlineStr">
        <is>
          <t>PRODUCTIONOFCCOORD</t>
        </is>
      </c>
      <c r="D84" s="5" t="inlineStr"/>
      <c r="E84" s="6" t="n">
        <v>360</v>
      </c>
      <c r="F84" s="5" t="n"/>
      <c r="G84" s="5" t="n"/>
      <c r="H84" s="5" t="n"/>
      <c r="I84" s="5" t="n"/>
      <c r="J84" s="7">
        <f>IF(AND(N(F84)&gt;0,N(I84)&gt;0),I84-F84-IF(N(G84)&gt;0,0.5,0)-IF(N(H84)&gt;0,0.5,0),0)</f>
        <v/>
      </c>
      <c r="K84" s="5" t="n"/>
      <c r="L84" s="7">
        <f>MIN(J84,8.0)</f>
        <v/>
      </c>
      <c r="M84" s="7">
        <f>MAX(0,MIN(J84,12)-8.0)</f>
        <v/>
      </c>
      <c r="N84" s="7">
        <f>MAX(0,J84-12)</f>
        <v/>
      </c>
      <c r="O84" s="5" t="n"/>
      <c r="P84" s="6">
        <f>E84*(L84+M84*1.5+N84*2+O84*3+N(K84))</f>
        <v/>
      </c>
      <c r="Q84" s="6" t="n">
        <v>360</v>
      </c>
      <c r="R84" s="6">
        <f>Q84-P84</f>
        <v/>
      </c>
    </row>
    <row r="85">
      <c r="P85" s="2" t="inlineStr">
        <is>
          <t>PRODUCTIONCOORDINATOR LABOR</t>
        </is>
      </c>
      <c r="R85" s="8">
        <f>SUM(R84:R84)</f>
        <v/>
      </c>
    </row>
    <row r="87">
      <c r="B87" s="2" t="inlineStr">
        <is>
          <t>ASSTPRODUCTIONCOORDINATOR</t>
        </is>
      </c>
    </row>
    <row r="88">
      <c r="A88" s="5" t="inlineStr">
        <is>
          <t>2010</t>
        </is>
      </c>
      <c r="B88" s="5" t="inlineStr">
        <is>
          <t>Holly Dellocono</t>
        </is>
      </c>
      <c r="C88" s="5" t="inlineStr">
        <is>
          <t>APOC</t>
        </is>
      </c>
      <c r="D88" s="5" t="inlineStr">
        <is>
          <t>Local871</t>
        </is>
      </c>
      <c r="E88" s="6" t="n">
        <v>20.57</v>
      </c>
      <c r="F88" s="5" t="n"/>
      <c r="G88" s="5" t="n"/>
      <c r="H88" s="5" t="n"/>
      <c r="I88" s="5" t="n"/>
      <c r="J88" s="7">
        <f>IF(AND(N(F88)&gt;0,N(I88)&gt;0),I88-F88-IF(N(G88)&gt;0,0.5,0)-IF(N(H88)&gt;0,0.5,0),0)</f>
        <v/>
      </c>
      <c r="K88" s="5" t="n"/>
      <c r="L88" s="7">
        <f>MIN(J88,10.0)</f>
        <v/>
      </c>
      <c r="M88" s="7">
        <f>MAX(0,MIN(J88,12)-10.0)</f>
        <v/>
      </c>
      <c r="N88" s="7">
        <f>MAX(0,J88-12)</f>
        <v/>
      </c>
      <c r="O88" s="5" t="n"/>
      <c r="P88" s="6">
        <f>E88*(L88+M88*1.5+N88*2+O88*3+N(K88))</f>
        <v/>
      </c>
      <c r="Q88" s="6" t="n">
        <v>287.98</v>
      </c>
      <c r="R88" s="6">
        <f>Q88-P88</f>
        <v/>
      </c>
    </row>
    <row r="89">
      <c r="P89" s="2" t="inlineStr">
        <is>
          <t>ASSTPRODUCTIONCOORDINATOR LABOR</t>
        </is>
      </c>
      <c r="R89" s="8">
        <f>SUM(R88:R88)</f>
        <v/>
      </c>
    </row>
    <row r="91">
      <c r="B91" s="2" t="inlineStr">
        <is>
          <t>OFFICESTAFFASSISTANTS</t>
        </is>
      </c>
    </row>
    <row r="92">
      <c r="A92" s="5" t="inlineStr">
        <is>
          <t>2011</t>
        </is>
      </c>
      <c r="B92" s="5" t="inlineStr">
        <is>
          <t>John Humber</t>
        </is>
      </c>
      <c r="C92" s="5" t="inlineStr">
        <is>
          <t>OFFICEPA#1</t>
        </is>
      </c>
      <c r="D92" s="5" t="inlineStr"/>
      <c r="E92" s="6" t="n">
        <v>22.5</v>
      </c>
      <c r="F92" s="5" t="n"/>
      <c r="G92" s="5" t="n"/>
      <c r="H92" s="5" t="n"/>
      <c r="I92" s="5" t="n"/>
      <c r="J92" s="7">
        <f>IF(AND(N(F92)&gt;0,N(I92)&gt;0),I92-F92-IF(N(G92)&gt;0,0.5,0)-IF(N(H92)&gt;0,0.5,0),0)</f>
        <v/>
      </c>
      <c r="K92" s="5" t="n"/>
      <c r="L92" s="7">
        <f>MIN(J92,8.0)</f>
        <v/>
      </c>
      <c r="M92" s="7">
        <f>MAX(0,MIN(J92,12)-8.0)</f>
        <v/>
      </c>
      <c r="N92" s="7">
        <f>MAX(0,J92-12)</f>
        <v/>
      </c>
      <c r="O92" s="5" t="n"/>
      <c r="P92" s="6">
        <f>E92*(L92+M92*1.5+N92*2+O92*3+N(K92))</f>
        <v/>
      </c>
      <c r="Q92" s="6" t="n">
        <v>168</v>
      </c>
      <c r="R92" s="6">
        <f>Q92-P92</f>
        <v/>
      </c>
    </row>
    <row r="93">
      <c r="A93" s="5" t="inlineStr">
        <is>
          <t>2011</t>
        </is>
      </c>
      <c r="B93" s="5" t="inlineStr">
        <is>
          <t>Sarah Semenas</t>
        </is>
      </c>
      <c r="C93" s="5" t="inlineStr">
        <is>
          <t>OFFICEPA#2</t>
        </is>
      </c>
      <c r="D93" s="5" t="inlineStr"/>
      <c r="E93" s="6" t="n">
        <v>22.5</v>
      </c>
      <c r="F93" s="5" t="n"/>
      <c r="G93" s="5" t="n"/>
      <c r="H93" s="5" t="n"/>
      <c r="I93" s="5" t="n"/>
      <c r="J93" s="7">
        <f>IF(AND(N(F93)&gt;0,N(I93)&gt;0),I93-F93-IF(N(G93)&gt;0,0.5,0)-IF(N(H93)&gt;0,0.5,0),0)</f>
        <v/>
      </c>
      <c r="K93" s="5" t="n"/>
      <c r="L93" s="7">
        <f>MIN(J93,8.0)</f>
        <v/>
      </c>
      <c r="M93" s="7">
        <f>MAX(0,MIN(J93,12)-8.0)</f>
        <v/>
      </c>
      <c r="N93" s="7">
        <f>MAX(0,J93-12)</f>
        <v/>
      </c>
      <c r="O93" s="5" t="n"/>
      <c r="P93" s="6">
        <f>E93*(L93+M93*1.5+N93*2+O93*3+N(K93))</f>
        <v/>
      </c>
      <c r="Q93" s="6" t="n">
        <v>168</v>
      </c>
      <c r="R93" s="6">
        <f>Q93-P93</f>
        <v/>
      </c>
    </row>
    <row r="94">
      <c r="P94" s="2" t="inlineStr">
        <is>
          <t>OFFICESTAFFASSISTANTS LABOR</t>
        </is>
      </c>
      <c r="R94" s="8">
        <f>SUM(R92:R93)</f>
        <v/>
      </c>
    </row>
    <row r="96">
      <c r="B96" s="2" t="inlineStr">
        <is>
          <t>SETSTAFFASSISTANTS</t>
        </is>
      </c>
    </row>
    <row r="97">
      <c r="A97" s="5" t="inlineStr">
        <is>
          <t>2012</t>
        </is>
      </c>
      <c r="B97" s="5" t="inlineStr">
        <is>
          <t>Paula Henry</t>
        </is>
      </c>
      <c r="C97" s="5" t="inlineStr">
        <is>
          <t>KEYSETPA</t>
        </is>
      </c>
      <c r="D97" s="5" t="inlineStr"/>
      <c r="E97" s="6" t="n">
        <v>12</v>
      </c>
      <c r="F97" s="5" t="n"/>
      <c r="G97" s="5" t="n"/>
      <c r="H97" s="5" t="n"/>
      <c r="I97" s="5" t="n"/>
      <c r="J97" s="7">
        <f>IF(AND(N(F97)&gt;0,N(I97)&gt;0),I97-F97-IF(N(G97)&gt;0,0.5,0)-IF(N(H97)&gt;0,0.5,0),0)</f>
        <v/>
      </c>
      <c r="K97" s="5" t="n"/>
      <c r="L97" s="7">
        <f>MIN(J97,8.0)</f>
        <v/>
      </c>
      <c r="M97" s="7">
        <f>MAX(0,MIN(J97,12)-8.0)</f>
        <v/>
      </c>
      <c r="N97" s="7">
        <f>MAX(0,J97-12)</f>
        <v/>
      </c>
      <c r="O97" s="5" t="n"/>
      <c r="P97" s="6">
        <f>E97*(L97+M97*1.5+N97*2+O97*3+N(K97))</f>
        <v/>
      </c>
      <c r="Q97" s="6" t="n">
        <v>216</v>
      </c>
      <c r="R97" s="6">
        <f>Q97-P97</f>
        <v/>
      </c>
    </row>
    <row r="98">
      <c r="A98" s="5" t="inlineStr">
        <is>
          <t>2012</t>
        </is>
      </c>
      <c r="B98" s="5" t="inlineStr"/>
      <c r="C98" s="5" t="inlineStr">
        <is>
          <t>SETPA#2</t>
        </is>
      </c>
      <c r="D98" s="5" t="inlineStr"/>
      <c r="E98" s="6" t="n">
        <v>12</v>
      </c>
      <c r="F98" s="5" t="n"/>
      <c r="G98" s="5" t="n"/>
      <c r="H98" s="5" t="n"/>
      <c r="I98" s="5" t="n"/>
      <c r="J98" s="7">
        <f>IF(AND(N(F98)&gt;0,N(I98)&gt;0),I98-F98-IF(N(G98)&gt;0,0.5,0)-IF(N(H98)&gt;0,0.5,0),0)</f>
        <v/>
      </c>
      <c r="K98" s="5" t="n"/>
      <c r="L98" s="7">
        <f>MIN(J98,8.0)</f>
        <v/>
      </c>
      <c r="M98" s="7">
        <f>MAX(0,MIN(J98,12)-8.0)</f>
        <v/>
      </c>
      <c r="N98" s="7">
        <f>MAX(0,J98-12)</f>
        <v/>
      </c>
      <c r="O98" s="5" t="n"/>
      <c r="P98" s="6">
        <f>E98*(L98+M98*1.5+N98*2+O98*3+N(K98))</f>
        <v/>
      </c>
      <c r="Q98" s="6" t="n">
        <v>216</v>
      </c>
      <c r="R98" s="6">
        <f>Q98-P98</f>
        <v/>
      </c>
    </row>
    <row r="99">
      <c r="A99" s="5" t="inlineStr">
        <is>
          <t>2012</t>
        </is>
      </c>
      <c r="B99" s="5" t="inlineStr"/>
      <c r="C99" s="5" t="inlineStr">
        <is>
          <t>SETPA#3</t>
        </is>
      </c>
      <c r="D99" s="5" t="inlineStr"/>
      <c r="E99" s="6" t="n">
        <v>12</v>
      </c>
      <c r="F99" s="5" t="n"/>
      <c r="G99" s="5" t="n"/>
      <c r="H99" s="5" t="n"/>
      <c r="I99" s="5" t="n"/>
      <c r="J99" s="7">
        <f>IF(AND(N(F99)&gt;0,N(I99)&gt;0),I99-F99-IF(N(G99)&gt;0,0.5,0)-IF(N(H99)&gt;0,0.5,0),0)</f>
        <v/>
      </c>
      <c r="K99" s="5" t="n"/>
      <c r="L99" s="7">
        <f>MIN(J99,8.0)</f>
        <v/>
      </c>
      <c r="M99" s="7">
        <f>MAX(0,MIN(J99,12)-8.0)</f>
        <v/>
      </c>
      <c r="N99" s="7">
        <f>MAX(0,J99-12)</f>
        <v/>
      </c>
      <c r="O99" s="5" t="n"/>
      <c r="P99" s="6">
        <f>E99*(L99+M99*1.5+N99*2+O99*3+N(K99))</f>
        <v/>
      </c>
      <c r="Q99" s="6" t="n">
        <v>216</v>
      </c>
      <c r="R99" s="6">
        <f>Q99-P99</f>
        <v/>
      </c>
    </row>
    <row r="100">
      <c r="A100" s="5" t="inlineStr">
        <is>
          <t>2012</t>
        </is>
      </c>
      <c r="B100" s="5" t="inlineStr"/>
      <c r="C100" s="5" t="inlineStr">
        <is>
          <t>SETPA#4</t>
        </is>
      </c>
      <c r="D100" s="5" t="inlineStr"/>
      <c r="E100" s="6" t="n">
        <v>12</v>
      </c>
      <c r="F100" s="5" t="n"/>
      <c r="G100" s="5" t="n"/>
      <c r="H100" s="5" t="n"/>
      <c r="I100" s="5" t="n"/>
      <c r="J100" s="7">
        <f>IF(AND(N(F100)&gt;0,N(I100)&gt;0),I100-F100-IF(N(G100)&gt;0,0.5,0)-IF(N(H100)&gt;0,0.5,0),0)</f>
        <v/>
      </c>
      <c r="K100" s="5" t="n"/>
      <c r="L100" s="7">
        <f>MIN(J100,8.0)</f>
        <v/>
      </c>
      <c r="M100" s="7">
        <f>MAX(0,MIN(J100,12)-8.0)</f>
        <v/>
      </c>
      <c r="N100" s="7">
        <f>MAX(0,J100-12)</f>
        <v/>
      </c>
      <c r="O100" s="5" t="n"/>
      <c r="P100" s="6">
        <f>E100*(L100+M100*1.5+N100*2+O100*3+N(K100))</f>
        <v/>
      </c>
      <c r="Q100" s="6" t="n">
        <v>216</v>
      </c>
      <c r="R100" s="6">
        <f>Q100-P100</f>
        <v/>
      </c>
    </row>
    <row r="101">
      <c r="P101" s="2" t="inlineStr">
        <is>
          <t>SETSTAFFASSISTANTS LABOR</t>
        </is>
      </c>
      <c r="R101" s="8">
        <f>SUM(R97:R100)</f>
        <v/>
      </c>
    </row>
    <row r="103">
      <c r="B103" s="2" t="inlineStr">
        <is>
          <t>PRODUCTIONACCOUNTANT</t>
        </is>
      </c>
    </row>
    <row r="104">
      <c r="A104" s="5" t="inlineStr">
        <is>
          <t>2013</t>
        </is>
      </c>
      <c r="B104" s="5" t="inlineStr">
        <is>
          <t>Joel Tokarsky</t>
        </is>
      </c>
      <c r="C104" s="5" t="inlineStr">
        <is>
          <t>PRODUCTIONACCOUNTANT</t>
        </is>
      </c>
      <c r="D104" s="5" t="inlineStr">
        <is>
          <t>Local871</t>
        </is>
      </c>
      <c r="E104" s="6" t="n">
        <v>740</v>
      </c>
      <c r="F104" s="5" t="n"/>
      <c r="G104" s="5" t="n"/>
      <c r="H104" s="5" t="n"/>
      <c r="I104" s="5" t="n"/>
      <c r="J104" s="7">
        <f>IF(AND(N(F104)&gt;0,N(I104)&gt;0),I104-F104-IF(N(G104)&gt;0,0.5,0)-IF(N(H104)&gt;0,0.5,0),0)</f>
        <v/>
      </c>
      <c r="K104" s="5" t="n"/>
      <c r="L104" s="7">
        <f>MIN(J104,10.0)</f>
        <v/>
      </c>
      <c r="M104" s="7">
        <f>MAX(0,MIN(J104,12)-10.0)</f>
        <v/>
      </c>
      <c r="N104" s="7">
        <f>MAX(0,J104-12)</f>
        <v/>
      </c>
      <c r="O104" s="5" t="n"/>
      <c r="P104" s="6">
        <f>E104*(L104+M104*1.5+N104*2+O104*3+N(K104))</f>
        <v/>
      </c>
      <c r="Q104" s="6" t="n">
        <v>740</v>
      </c>
      <c r="R104" s="6">
        <f>Q104-P104</f>
        <v/>
      </c>
    </row>
    <row r="105">
      <c r="P105" s="2" t="inlineStr">
        <is>
          <t>PRODUCTIONACCOUNTANT LABOR</t>
        </is>
      </c>
      <c r="R105" s="8">
        <f>SUM(R104:R104)</f>
        <v/>
      </c>
    </row>
    <row r="107">
      <c r="B107" s="2" t="inlineStr">
        <is>
          <t>ASSTPRODUCTIONACCOUNTANTS</t>
        </is>
      </c>
    </row>
    <row r="108">
      <c r="A108" s="5" t="inlineStr">
        <is>
          <t>2014</t>
        </is>
      </c>
      <c r="B108" s="5" t="inlineStr">
        <is>
          <t>Co-Co Aiello</t>
        </is>
      </c>
      <c r="C108" s="5" t="inlineStr">
        <is>
          <t>1STASSTACCT</t>
        </is>
      </c>
      <c r="D108" s="5" t="inlineStr">
        <is>
          <t>Local871</t>
        </is>
      </c>
      <c r="E108" s="6" t="n">
        <v>480</v>
      </c>
      <c r="F108" s="5" t="n"/>
      <c r="G108" s="5" t="n"/>
      <c r="H108" s="5" t="n"/>
      <c r="I108" s="5" t="n"/>
      <c r="J108" s="7">
        <f>IF(AND(N(F108)&gt;0,N(I108)&gt;0),I108-F108-IF(N(G108)&gt;0,0.5,0)-IF(N(H108)&gt;0,0.5,0),0)</f>
        <v/>
      </c>
      <c r="K108" s="5" t="n"/>
      <c r="L108" s="7">
        <f>MIN(J108,10.0)</f>
        <v/>
      </c>
      <c r="M108" s="7">
        <f>MAX(0,MIN(J108,12)-10.0)</f>
        <v/>
      </c>
      <c r="N108" s="7">
        <f>MAX(0,J108-12)</f>
        <v/>
      </c>
      <c r="O108" s="5" t="n"/>
      <c r="P108" s="6">
        <f>E108*(L108+M108*1.5+N108*2+O108*3+N(K108))</f>
        <v/>
      </c>
      <c r="Q108" s="6" t="n">
        <v>480</v>
      </c>
      <c r="R108" s="6">
        <f>Q108-P108</f>
        <v/>
      </c>
    </row>
    <row r="109">
      <c r="A109" s="5" t="inlineStr">
        <is>
          <t>2014</t>
        </is>
      </c>
      <c r="B109" s="5" t="inlineStr">
        <is>
          <t>Steve Goldstein</t>
        </is>
      </c>
      <c r="C109" s="5" t="inlineStr">
        <is>
          <t>PAYROLLACCT</t>
        </is>
      </c>
      <c r="D109" s="5" t="inlineStr">
        <is>
          <t>Local871</t>
        </is>
      </c>
      <c r="E109" s="6" t="n">
        <v>420</v>
      </c>
      <c r="F109" s="5" t="n"/>
      <c r="G109" s="5" t="n"/>
      <c r="H109" s="5" t="n"/>
      <c r="I109" s="5" t="n"/>
      <c r="J109" s="7">
        <f>IF(AND(N(F109)&gt;0,N(I109)&gt;0),I109-F109-IF(N(G109)&gt;0,0.5,0)-IF(N(H109)&gt;0,0.5,0),0)</f>
        <v/>
      </c>
      <c r="K109" s="5" t="n"/>
      <c r="L109" s="7">
        <f>MIN(J109,10.0)</f>
        <v/>
      </c>
      <c r="M109" s="7">
        <f>MAX(0,MIN(J109,12)-10.0)</f>
        <v/>
      </c>
      <c r="N109" s="7">
        <f>MAX(0,J109-12)</f>
        <v/>
      </c>
      <c r="O109" s="5" t="n"/>
      <c r="P109" s="6">
        <f>E109*(L109+M109*1.5+N109*2+O109*3+N(K109))</f>
        <v/>
      </c>
      <c r="Q109" s="6" t="n">
        <v>420</v>
      </c>
      <c r="R109" s="6">
        <f>Q109-P109</f>
        <v/>
      </c>
    </row>
    <row r="110">
      <c r="P110" s="2" t="inlineStr">
        <is>
          <t>ASSTPRODUCTIONACCOUNTANTS LABOR</t>
        </is>
      </c>
      <c r="R110" s="8">
        <f>SUM(R108:R109)</f>
        <v/>
      </c>
    </row>
    <row r="112">
      <c r="B112" s="2" t="inlineStr">
        <is>
          <t>CONSTRUCTIONCOORDINATOR</t>
        </is>
      </c>
    </row>
    <row r="113">
      <c r="A113" s="5" t="inlineStr">
        <is>
          <t>2302</t>
        </is>
      </c>
      <c r="B113" s="5" t="inlineStr">
        <is>
          <t>Drew Rebelin</t>
        </is>
      </c>
      <c r="C113" s="5" t="inlineStr">
        <is>
          <t>CONSTCOORDINATOR</t>
        </is>
      </c>
      <c r="D113" s="5" t="inlineStr">
        <is>
          <t>Local44</t>
        </is>
      </c>
      <c r="E113" s="6" t="n">
        <v>400</v>
      </c>
      <c r="F113" s="5" t="n"/>
      <c r="G113" s="5" t="n"/>
      <c r="H113" s="5" t="n"/>
      <c r="I113" s="5" t="n"/>
      <c r="J113" s="7">
        <f>IF(AND(N(F113)&gt;0,N(I113)&gt;0),I113-F113-IF(N(G113)&gt;0,0.5,0)-IF(N(H113)&gt;0,0.5,0),0)</f>
        <v/>
      </c>
      <c r="K113" s="5" t="n"/>
      <c r="L113" s="7">
        <f>MIN(J113,10.0)</f>
        <v/>
      </c>
      <c r="M113" s="7">
        <f>MAX(0,MIN(J113,12)-10.0)</f>
        <v/>
      </c>
      <c r="N113" s="7">
        <f>MAX(0,J113-12)</f>
        <v/>
      </c>
      <c r="O113" s="5" t="n"/>
      <c r="P113" s="6">
        <f>E113*(L113+M113*1.5+N113*2+O113*3+N(K113))</f>
        <v/>
      </c>
      <c r="Q113" s="5" t="n"/>
      <c r="R113" s="6">
        <f>Q113-P113</f>
        <v/>
      </c>
    </row>
    <row r="114">
      <c r="P114" s="2" t="inlineStr">
        <is>
          <t>CONSTRUCTIONCOORDINATOR LABOR</t>
        </is>
      </c>
      <c r="R114" s="8">
        <f>SUM(R113:R113)</f>
        <v/>
      </c>
    </row>
    <row r="116">
      <c r="B116" s="2" t="inlineStr">
        <is>
          <t>PAINTFOREMAN</t>
        </is>
      </c>
    </row>
    <row r="117">
      <c r="A117" s="5" t="inlineStr">
        <is>
          <t>2304</t>
        </is>
      </c>
      <c r="B117" s="5" t="inlineStr">
        <is>
          <t>Kristeen Reimnitz</t>
        </is>
      </c>
      <c r="C117" s="5" t="inlineStr">
        <is>
          <t>PAINTER</t>
        </is>
      </c>
      <c r="D117" s="5" t="inlineStr">
        <is>
          <t>Local729</t>
        </is>
      </c>
      <c r="E117" s="6" t="n">
        <v>23.04</v>
      </c>
      <c r="F117" s="5" t="n"/>
      <c r="G117" s="5" t="n"/>
      <c r="H117" s="5" t="n"/>
      <c r="I117" s="5" t="n"/>
      <c r="J117" s="7">
        <f>IF(AND(N(F117)&gt;0,N(I117)&gt;0),I117-F117-IF(N(G117)&gt;0,0.5,0)-IF(N(H117)&gt;0,0.5,0),0)</f>
        <v/>
      </c>
      <c r="K117" s="5" t="n"/>
      <c r="L117" s="7">
        <f>MIN(J117,10.0)</f>
        <v/>
      </c>
      <c r="M117" s="7">
        <f>MAX(0,MIN(J117,12)-10.0)</f>
        <v/>
      </c>
      <c r="N117" s="7">
        <f>MAX(0,J117-12)</f>
        <v/>
      </c>
      <c r="O117" s="5" t="n"/>
      <c r="P117" s="6">
        <f>E117*(L117+M117*1.5+N117*2+O117*3+N(K117))</f>
        <v/>
      </c>
      <c r="Q117" s="5" t="n"/>
      <c r="R117" s="6">
        <f>Q117-P117</f>
        <v/>
      </c>
    </row>
    <row r="118">
      <c r="P118" s="2" t="inlineStr">
        <is>
          <t>PAINTFOREMAN LABOR</t>
        </is>
      </c>
      <c r="R118" s="8">
        <f>SUM(R117:R117)</f>
        <v/>
      </c>
    </row>
    <row r="120">
      <c r="B120" s="2" t="inlineStr">
        <is>
          <t>FIRSTAIDLABOR</t>
        </is>
      </c>
    </row>
    <row r="121">
      <c r="A121" s="5" t="inlineStr">
        <is>
          <t>2310</t>
        </is>
      </c>
      <c r="B121" s="5" t="inlineStr"/>
      <c r="C121" s="5" t="inlineStr">
        <is>
          <t>CONSTRUCTIONMEDIC</t>
        </is>
      </c>
      <c r="D121" s="5" t="inlineStr">
        <is>
          <t>Local80</t>
        </is>
      </c>
      <c r="E121" s="6" t="n">
        <v>23.04</v>
      </c>
      <c r="F121" s="5" t="n"/>
      <c r="G121" s="5" t="n"/>
      <c r="H121" s="5" t="n"/>
      <c r="I121" s="5" t="n"/>
      <c r="J121" s="7">
        <f>IF(AND(N(F121)&gt;0,N(I121)&gt;0),I121-F121-IF(N(G121)&gt;0,0.5,0)-IF(N(H121)&gt;0,0.5,0),0)</f>
        <v/>
      </c>
      <c r="K121" s="5" t="n"/>
      <c r="L121" s="7">
        <f>MIN(J121,10.0)</f>
        <v/>
      </c>
      <c r="M121" s="7">
        <f>MAX(0,MIN(J121,12)-10.0)</f>
        <v/>
      </c>
      <c r="N121" s="7">
        <f>MAX(0,J121-12)</f>
        <v/>
      </c>
      <c r="O121" s="5" t="n"/>
      <c r="P121" s="6">
        <f>E121*(L121+M121*1.5+N121*2+O121*3+N(K121))</f>
        <v/>
      </c>
      <c r="Q121" s="5" t="n"/>
      <c r="R121" s="6">
        <f>Q121-P121</f>
        <v/>
      </c>
    </row>
    <row r="122">
      <c r="P122" s="2" t="inlineStr">
        <is>
          <t>FIRSTAIDLABOR LABOR</t>
        </is>
      </c>
      <c r="R122" s="8">
        <f>SUM(R121:R121)</f>
        <v/>
      </c>
    </row>
    <row r="124">
      <c r="B124" s="2" t="inlineStr">
        <is>
          <t>KEYGRIP</t>
        </is>
      </c>
    </row>
    <row r="125">
      <c r="A125" s="5" t="inlineStr">
        <is>
          <t>2501</t>
        </is>
      </c>
      <c r="B125" s="5" t="inlineStr">
        <is>
          <t>Pat O'Mara</t>
        </is>
      </c>
      <c r="C125" s="5" t="inlineStr">
        <is>
          <t>KEYGRIP</t>
        </is>
      </c>
      <c r="D125" s="5" t="inlineStr">
        <is>
          <t>Local80</t>
        </is>
      </c>
      <c r="E125" s="6" t="n">
        <v>25.5</v>
      </c>
      <c r="F125" s="5" t="n"/>
      <c r="G125" s="5" t="n"/>
      <c r="H125" s="5" t="n"/>
      <c r="I125" s="5" t="n"/>
      <c r="J125" s="7">
        <f>IF(AND(N(F125)&gt;0,N(I125)&gt;0),I125-F125-IF(N(G125)&gt;0,0.5,0)-IF(N(H125)&gt;0,0.5,0),0)</f>
        <v/>
      </c>
      <c r="K125" s="5" t="n"/>
      <c r="L125" s="7">
        <f>MIN(J125,10.0)</f>
        <v/>
      </c>
      <c r="M125" s="7">
        <f>MAX(0,MIN(J125,12)-10.0)</f>
        <v/>
      </c>
      <c r="N125" s="7">
        <f>MAX(0,J125-12)</f>
        <v/>
      </c>
      <c r="O125" s="5" t="n"/>
      <c r="P125" s="6">
        <f>E125*(L125+M125*1.5+N125*2+O125*3+N(K125))</f>
        <v/>
      </c>
      <c r="Q125" s="6" t="n">
        <v>395.25</v>
      </c>
      <c r="R125" s="6">
        <f>Q125-P125</f>
        <v/>
      </c>
    </row>
    <row r="126">
      <c r="P126" s="2" t="inlineStr">
        <is>
          <t>KEYGRIP LABOR</t>
        </is>
      </c>
      <c r="R126" s="8">
        <f>SUM(R125:R125)</f>
        <v/>
      </c>
    </row>
    <row r="128">
      <c r="B128" s="2" t="inlineStr">
        <is>
          <t>BESTBOYGRIP</t>
        </is>
      </c>
    </row>
    <row r="129">
      <c r="A129" s="5" t="inlineStr">
        <is>
          <t>2502</t>
        </is>
      </c>
      <c r="B129" s="5" t="inlineStr">
        <is>
          <t>Aaron Fairley</t>
        </is>
      </c>
      <c r="C129" s="5" t="inlineStr">
        <is>
          <t>BESTBOYGRIP</t>
        </is>
      </c>
      <c r="D129" s="5" t="inlineStr">
        <is>
          <t>Local80</t>
        </is>
      </c>
      <c r="E129" s="6" t="n">
        <v>23.04</v>
      </c>
      <c r="F129" s="5" t="n"/>
      <c r="G129" s="5" t="n"/>
      <c r="H129" s="5" t="n"/>
      <c r="I129" s="5" t="n"/>
      <c r="J129" s="7">
        <f>IF(AND(N(F129)&gt;0,N(I129)&gt;0),I129-F129-IF(N(G129)&gt;0,0.5,0)-IF(N(H129)&gt;0,0.5,0),0)</f>
        <v/>
      </c>
      <c r="K129" s="5" t="n"/>
      <c r="L129" s="7">
        <f>MIN(J129,10.0)</f>
        <v/>
      </c>
      <c r="M129" s="7">
        <f>MAX(0,MIN(J129,12)-10.0)</f>
        <v/>
      </c>
      <c r="N129" s="7">
        <f>MAX(0,J129-12)</f>
        <v/>
      </c>
      <c r="O129" s="5" t="n"/>
      <c r="P129" s="6">
        <f>E129*(L129+M129*1.5+N129*2+O129*3+N(K129))</f>
        <v/>
      </c>
      <c r="Q129" s="6" t="n">
        <v>357.12</v>
      </c>
      <c r="R129" s="6">
        <f>Q129-P129</f>
        <v/>
      </c>
    </row>
    <row r="130">
      <c r="A130" s="5" t="inlineStr">
        <is>
          <t>2502</t>
        </is>
      </c>
      <c r="B130" s="5" t="inlineStr"/>
      <c r="C130" s="5" t="inlineStr">
        <is>
          <t>STUDIOBESTBOYGRIP</t>
        </is>
      </c>
      <c r="D130" s="5" t="inlineStr">
        <is>
          <t>Local80</t>
        </is>
      </c>
      <c r="E130" s="6" t="n">
        <v>43.05</v>
      </c>
      <c r="F130" s="5" t="n"/>
      <c r="G130" s="5" t="n"/>
      <c r="H130" s="5" t="n"/>
      <c r="I130" s="5" t="n"/>
      <c r="J130" s="7">
        <f>IF(AND(N(F130)&gt;0,N(I130)&gt;0),I130-F130-IF(N(G130)&gt;0,0.5,0)-IF(N(H130)&gt;0,0.5,0),0)</f>
        <v/>
      </c>
      <c r="K130" s="5" t="n"/>
      <c r="L130" s="7">
        <f>MIN(J130,10.0)</f>
        <v/>
      </c>
      <c r="M130" s="7">
        <f>MAX(0,MIN(J130,12)-10.0)</f>
        <v/>
      </c>
      <c r="N130" s="7">
        <f>MAX(0,J130-12)</f>
        <v/>
      </c>
      <c r="O130" s="5" t="n"/>
      <c r="P130" s="6">
        <f>E130*(L130+M130*1.5+N130*2+O130*3+N(K130))</f>
        <v/>
      </c>
      <c r="Q130" s="6" t="n">
        <v>667.27</v>
      </c>
      <c r="R130" s="6">
        <f>Q130-P130</f>
        <v/>
      </c>
    </row>
    <row r="131">
      <c r="P131" s="2" t="inlineStr">
        <is>
          <t>BESTBOYGRIP LABOR</t>
        </is>
      </c>
      <c r="R131" s="8">
        <f>SUM(R129:R130)</f>
        <v/>
      </c>
    </row>
    <row r="133">
      <c r="B133" s="2" t="inlineStr">
        <is>
          <t>DOLLYGRIP</t>
        </is>
      </c>
    </row>
    <row r="134">
      <c r="A134" s="5" t="inlineStr">
        <is>
          <t>2503</t>
        </is>
      </c>
      <c r="B134" s="5" t="inlineStr">
        <is>
          <t>Peter Weidenfeller</t>
        </is>
      </c>
      <c r="C134" s="5" t="inlineStr">
        <is>
          <t>"A"DOLLYGRIP</t>
        </is>
      </c>
      <c r="D134" s="5" t="inlineStr">
        <is>
          <t>Local80</t>
        </is>
      </c>
      <c r="E134" s="6" t="n">
        <v>23.04</v>
      </c>
      <c r="F134" s="5" t="n"/>
      <c r="G134" s="5" t="n"/>
      <c r="H134" s="5" t="n"/>
      <c r="I134" s="5" t="n"/>
      <c r="J134" s="7">
        <f>IF(AND(N(F134)&gt;0,N(I134)&gt;0),I134-F134-IF(N(G134)&gt;0,0.5,0)-IF(N(H134)&gt;0,0.5,0),0)</f>
        <v/>
      </c>
      <c r="K134" s="5" t="n"/>
      <c r="L134" s="7">
        <f>MIN(J134,10.0)</f>
        <v/>
      </c>
      <c r="M134" s="7">
        <f>MAX(0,MIN(J134,12)-10.0)</f>
        <v/>
      </c>
      <c r="N134" s="7">
        <f>MAX(0,J134-12)</f>
        <v/>
      </c>
      <c r="O134" s="5" t="n"/>
      <c r="P134" s="6">
        <f>E134*(L134+M134*1.5+N134*2+O134*3+N(K134))</f>
        <v/>
      </c>
      <c r="Q134" s="6" t="n">
        <v>357.12</v>
      </c>
      <c r="R134" s="6">
        <f>Q134-P134</f>
        <v/>
      </c>
    </row>
    <row r="135">
      <c r="P135" s="2" t="inlineStr">
        <is>
          <t>DOLLYGRIP LABOR</t>
        </is>
      </c>
      <c r="R135" s="8">
        <f>SUM(R134:R134)</f>
        <v/>
      </c>
    </row>
    <row r="137">
      <c r="B137" s="2" t="inlineStr">
        <is>
          <t>CRANEGRIPS</t>
        </is>
      </c>
    </row>
    <row r="138">
      <c r="A138" s="5" t="inlineStr">
        <is>
          <t>2504</t>
        </is>
      </c>
      <c r="B138" s="5" t="inlineStr"/>
      <c r="C138" s="5" t="inlineStr">
        <is>
          <t>CRANEOPERATOR</t>
        </is>
      </c>
      <c r="D138" s="5" t="inlineStr">
        <is>
          <t>Local80</t>
        </is>
      </c>
      <c r="E138" s="6" t="n">
        <v>792</v>
      </c>
      <c r="F138" s="5" t="n"/>
      <c r="G138" s="5" t="n"/>
      <c r="H138" s="5" t="n"/>
      <c r="I138" s="5" t="n"/>
      <c r="J138" s="7">
        <f>IF(AND(N(F138)&gt;0,N(I138)&gt;0),I138-F138-IF(N(G138)&gt;0,0.5,0)-IF(N(H138)&gt;0,0.5,0),0)</f>
        <v/>
      </c>
      <c r="K138" s="5" t="n"/>
      <c r="L138" s="7">
        <f>MIN(J138,10.0)</f>
        <v/>
      </c>
      <c r="M138" s="7">
        <f>MAX(0,MIN(J138,12)-10.0)</f>
        <v/>
      </c>
      <c r="N138" s="7">
        <f>MAX(0,J138-12)</f>
        <v/>
      </c>
      <c r="O138" s="5" t="n"/>
      <c r="P138" s="6">
        <f>E138*(L138+M138*1.5+N138*2+O138*3+N(K138))</f>
        <v/>
      </c>
      <c r="Q138" s="6" t="n">
        <v>924</v>
      </c>
      <c r="R138" s="6">
        <f>Q138-P138</f>
        <v/>
      </c>
    </row>
    <row r="139">
      <c r="A139" s="5" t="inlineStr">
        <is>
          <t>2504</t>
        </is>
      </c>
      <c r="B139" s="5" t="inlineStr"/>
      <c r="C139" s="5" t="inlineStr">
        <is>
          <t>CRANEASSISTANT</t>
        </is>
      </c>
      <c r="D139" s="5" t="inlineStr">
        <is>
          <t>Local80</t>
        </is>
      </c>
      <c r="E139" s="6" t="n">
        <v>660</v>
      </c>
      <c r="F139" s="5" t="n"/>
      <c r="G139" s="5" t="n"/>
      <c r="H139" s="5" t="n"/>
      <c r="I139" s="5" t="n"/>
      <c r="J139" s="7">
        <f>IF(AND(N(F139)&gt;0,N(I139)&gt;0),I139-F139-IF(N(G139)&gt;0,0.5,0)-IF(N(H139)&gt;0,0.5,0),0)</f>
        <v/>
      </c>
      <c r="K139" s="5" t="n"/>
      <c r="L139" s="7">
        <f>MIN(J139,10.0)</f>
        <v/>
      </c>
      <c r="M139" s="7">
        <f>MAX(0,MIN(J139,12)-10.0)</f>
        <v/>
      </c>
      <c r="N139" s="7">
        <f>MAX(0,J139-12)</f>
        <v/>
      </c>
      <c r="O139" s="5" t="n"/>
      <c r="P139" s="6">
        <f>E139*(L139+M139*1.5+N139*2+O139*3+N(K139))</f>
        <v/>
      </c>
      <c r="Q139" s="6" t="n">
        <v>770</v>
      </c>
      <c r="R139" s="6">
        <f>Q139-P139</f>
        <v/>
      </c>
    </row>
    <row r="140">
      <c r="P140" s="2" t="inlineStr">
        <is>
          <t>CRANEGRIPS LABOR</t>
        </is>
      </c>
      <c r="R140" s="8">
        <f>SUM(R138:R139)</f>
        <v/>
      </c>
    </row>
    <row r="142">
      <c r="B142" s="2" t="inlineStr">
        <is>
          <t>COMPANYGRIPS</t>
        </is>
      </c>
    </row>
    <row r="143">
      <c r="A143" s="5" t="inlineStr">
        <is>
          <t>2505</t>
        </is>
      </c>
      <c r="B143" s="5" t="inlineStr"/>
      <c r="C143" s="5" t="inlineStr">
        <is>
          <t>GRIP#1</t>
        </is>
      </c>
      <c r="D143" s="5" t="inlineStr">
        <is>
          <t>Local80</t>
        </is>
      </c>
      <c r="E143" s="6" t="n">
        <v>20.57</v>
      </c>
      <c r="F143" s="5" t="n"/>
      <c r="G143" s="5" t="n"/>
      <c r="H143" s="5" t="n"/>
      <c r="I143" s="5" t="n"/>
      <c r="J143" s="7">
        <f>IF(AND(N(F143)&gt;0,N(I143)&gt;0),I143-F143-IF(N(G143)&gt;0,0.5,0)-IF(N(H143)&gt;0,0.5,0),0)</f>
        <v/>
      </c>
      <c r="K143" s="5" t="n"/>
      <c r="L143" s="7">
        <f>MIN(J143,10.0)</f>
        <v/>
      </c>
      <c r="M143" s="7">
        <f>MAX(0,MIN(J143,12)-10.0)</f>
        <v/>
      </c>
      <c r="N143" s="7">
        <f>MAX(0,J143-12)</f>
        <v/>
      </c>
      <c r="O143" s="5" t="n"/>
      <c r="P143" s="6">
        <f>E143*(L143+M143*1.5+N143*2+O143*3+N(K143))</f>
        <v/>
      </c>
      <c r="Q143" s="6" t="n">
        <v>318.83</v>
      </c>
      <c r="R143" s="6">
        <f>Q143-P143</f>
        <v/>
      </c>
    </row>
    <row r="144">
      <c r="A144" s="5" t="inlineStr">
        <is>
          <t>2505</t>
        </is>
      </c>
      <c r="B144" s="5" t="inlineStr"/>
      <c r="C144" s="5" t="inlineStr">
        <is>
          <t>GRIP#2</t>
        </is>
      </c>
      <c r="D144" s="5" t="inlineStr">
        <is>
          <t>Local80</t>
        </is>
      </c>
      <c r="E144" s="6" t="n">
        <v>20.57</v>
      </c>
      <c r="F144" s="5" t="n"/>
      <c r="G144" s="5" t="n"/>
      <c r="H144" s="5" t="n"/>
      <c r="I144" s="5" t="n"/>
      <c r="J144" s="7">
        <f>IF(AND(N(F144)&gt;0,N(I144)&gt;0),I144-F144-IF(N(G144)&gt;0,0.5,0)-IF(N(H144)&gt;0,0.5,0),0)</f>
        <v/>
      </c>
      <c r="K144" s="5" t="n"/>
      <c r="L144" s="7">
        <f>MIN(J144,10.0)</f>
        <v/>
      </c>
      <c r="M144" s="7">
        <f>MAX(0,MIN(J144,12)-10.0)</f>
        <v/>
      </c>
      <c r="N144" s="7">
        <f>MAX(0,J144-12)</f>
        <v/>
      </c>
      <c r="O144" s="5" t="n"/>
      <c r="P144" s="6">
        <f>E144*(L144+M144*1.5+N144*2+O144*3+N(K144))</f>
        <v/>
      </c>
      <c r="Q144" s="6" t="n">
        <v>318.83</v>
      </c>
      <c r="R144" s="6">
        <f>Q144-P144</f>
        <v/>
      </c>
    </row>
    <row r="145">
      <c r="A145" s="5" t="inlineStr">
        <is>
          <t>2505</t>
        </is>
      </c>
      <c r="B145" s="5" t="inlineStr"/>
      <c r="C145" s="5" t="inlineStr">
        <is>
          <t>GRIP#3</t>
        </is>
      </c>
      <c r="D145" s="5" t="inlineStr">
        <is>
          <t>Local80</t>
        </is>
      </c>
      <c r="E145" s="6" t="n">
        <v>20.57</v>
      </c>
      <c r="F145" s="5" t="n"/>
      <c r="G145" s="5" t="n"/>
      <c r="H145" s="5" t="n"/>
      <c r="I145" s="5" t="n"/>
      <c r="J145" s="7">
        <f>IF(AND(N(F145)&gt;0,N(I145)&gt;0),I145-F145-IF(N(G145)&gt;0,0.5,0)-IF(N(H145)&gt;0,0.5,0),0)</f>
        <v/>
      </c>
      <c r="K145" s="5" t="n"/>
      <c r="L145" s="7">
        <f>MIN(J145,10.0)</f>
        <v/>
      </c>
      <c r="M145" s="7">
        <f>MAX(0,MIN(J145,12)-10.0)</f>
        <v/>
      </c>
      <c r="N145" s="7">
        <f>MAX(0,J145-12)</f>
        <v/>
      </c>
      <c r="O145" s="5" t="n"/>
      <c r="P145" s="6">
        <f>E145*(L145+M145*1.5+N145*2+O145*3+N(K145))</f>
        <v/>
      </c>
      <c r="Q145" s="6" t="n">
        <v>318.83</v>
      </c>
      <c r="R145" s="6">
        <f>Q145-P145</f>
        <v/>
      </c>
    </row>
    <row r="146">
      <c r="P146" s="2" t="inlineStr">
        <is>
          <t>COMPANYGRIPS LABOR</t>
        </is>
      </c>
      <c r="R146" s="8">
        <f>SUM(R143:R145)</f>
        <v/>
      </c>
    </row>
    <row r="148">
      <c r="B148" s="2" t="inlineStr">
        <is>
          <t>OTHERLABOR</t>
        </is>
      </c>
    </row>
    <row r="149">
      <c r="A149" s="5" t="inlineStr">
        <is>
          <t>2506</t>
        </is>
      </c>
      <c r="B149" s="5" t="inlineStr"/>
      <c r="C149" s="5" t="inlineStr">
        <is>
          <t>GRIPMANDAYS&amp;RIGGINGMANDAYS</t>
        </is>
      </c>
      <c r="D149" s="5" t="inlineStr">
        <is>
          <t>Local80</t>
        </is>
      </c>
      <c r="E149" s="6" t="n">
        <v>20.57</v>
      </c>
      <c r="F149" s="5" t="n"/>
      <c r="G149" s="5" t="n"/>
      <c r="H149" s="5" t="n"/>
      <c r="I149" s="5" t="n"/>
      <c r="J149" s="7">
        <f>IF(AND(N(F149)&gt;0,N(I149)&gt;0),I149-F149-IF(N(G149)&gt;0,0.5,0)-IF(N(H149)&gt;0,0.5,0),0)</f>
        <v/>
      </c>
      <c r="K149" s="5" t="n"/>
      <c r="L149" s="7">
        <f>MIN(J149,10.0)</f>
        <v/>
      </c>
      <c r="M149" s="7">
        <f>MAX(0,MIN(J149,12)-10.0)</f>
        <v/>
      </c>
      <c r="N149" s="7">
        <f>MAX(0,J149-12)</f>
        <v/>
      </c>
      <c r="O149" s="5" t="n"/>
      <c r="P149" s="6">
        <f>E149*(L149+M149*1.5+N149*2+O149*3+N(K149))</f>
        <v/>
      </c>
      <c r="Q149" s="6" t="n">
        <v>318.83</v>
      </c>
      <c r="R149" s="6">
        <f>Q149-P149</f>
        <v/>
      </c>
    </row>
    <row r="150">
      <c r="P150" s="2" t="inlineStr">
        <is>
          <t>OTHERLABOR LABOR</t>
        </is>
      </c>
      <c r="R150" s="8">
        <f>SUM(R149:R149)</f>
        <v/>
      </c>
    </row>
    <row r="152">
      <c r="B152" s="2" t="inlineStr">
        <is>
          <t>STANDBYLABOR</t>
        </is>
      </c>
    </row>
    <row r="153">
      <c r="A153" s="5" t="inlineStr">
        <is>
          <t>2510</t>
        </is>
      </c>
      <c r="B153" s="5" t="inlineStr"/>
      <c r="C153" s="5" t="inlineStr">
        <is>
          <t>LAYOUTBOARD</t>
        </is>
      </c>
      <c r="D153" s="5" t="inlineStr">
        <is>
          <t>Local729</t>
        </is>
      </c>
      <c r="E153" s="6" t="n">
        <v>25.5</v>
      </c>
      <c r="F153" s="5" t="n"/>
      <c r="G153" s="5" t="n"/>
      <c r="H153" s="5" t="n"/>
      <c r="I153" s="5" t="n"/>
      <c r="J153" s="7">
        <f>IF(AND(N(F153)&gt;0,N(I153)&gt;0),I153-F153-IF(N(G153)&gt;0,0.5,0)-IF(N(H153)&gt;0,0.5,0),0)</f>
        <v/>
      </c>
      <c r="K153" s="5" t="n"/>
      <c r="L153" s="7">
        <f>MIN(J153,10.0)</f>
        <v/>
      </c>
      <c r="M153" s="7">
        <f>MAX(0,MIN(J153,12)-10.0)</f>
        <v/>
      </c>
      <c r="N153" s="7">
        <f>MAX(0,J153-12)</f>
        <v/>
      </c>
      <c r="O153" s="5" t="n"/>
      <c r="P153" s="6">
        <f>E153*(L153+M153*1.5+N153*2+O153*3+N(K153))</f>
        <v/>
      </c>
      <c r="Q153" s="6" t="n">
        <v>395.25</v>
      </c>
      <c r="R153" s="6">
        <f>Q153-P153</f>
        <v/>
      </c>
    </row>
    <row r="154">
      <c r="P154" s="2" t="inlineStr">
        <is>
          <t>STANDBYLABOR LABOR</t>
        </is>
      </c>
      <c r="R154" s="8">
        <f>SUM(R153:R153)</f>
        <v/>
      </c>
    </row>
    <row r="156">
      <c r="B156" s="2" t="inlineStr">
        <is>
          <t>SETCRAFTSERVICELABOR</t>
        </is>
      </c>
    </row>
    <row r="157">
      <c r="A157" s="5" t="inlineStr">
        <is>
          <t>2511</t>
        </is>
      </c>
      <c r="B157" s="5" t="inlineStr">
        <is>
          <t>Maurico Solis</t>
        </is>
      </c>
      <c r="C157" s="5" t="inlineStr">
        <is>
          <t>KEYCRAFTSERVICE</t>
        </is>
      </c>
      <c r="D157" s="5" t="inlineStr">
        <is>
          <t>Local80</t>
        </is>
      </c>
      <c r="E157" s="6" t="n">
        <v>25.5</v>
      </c>
      <c r="F157" s="5" t="n"/>
      <c r="G157" s="5" t="n"/>
      <c r="H157" s="5" t="n"/>
      <c r="I157" s="5" t="n"/>
      <c r="J157" s="7">
        <f>IF(AND(N(F157)&gt;0,N(I157)&gt;0),I157-F157-IF(N(G157)&gt;0,0.5,0)-IF(N(H157)&gt;0,0.5,0),0)</f>
        <v/>
      </c>
      <c r="K157" s="5" t="n"/>
      <c r="L157" s="7">
        <f>MIN(J157,10.0)</f>
        <v/>
      </c>
      <c r="M157" s="7">
        <f>MAX(0,MIN(J157,12)-10.0)</f>
        <v/>
      </c>
      <c r="N157" s="7">
        <f>MAX(0,J157-12)</f>
        <v/>
      </c>
      <c r="O157" s="5" t="n"/>
      <c r="P157" s="6">
        <f>E157*(L157+M157*1.5+N157*2+O157*3+N(K157))</f>
        <v/>
      </c>
      <c r="Q157" s="6" t="n">
        <v>439.87</v>
      </c>
      <c r="R157" s="6">
        <f>Q157-P157</f>
        <v/>
      </c>
    </row>
    <row r="158">
      <c r="A158" s="5" t="inlineStr">
        <is>
          <t>2511</t>
        </is>
      </c>
      <c r="B158" s="5" t="inlineStr"/>
      <c r="C158" s="5" t="inlineStr">
        <is>
          <t>ASSTCRAFTSERVICE</t>
        </is>
      </c>
      <c r="D158" s="5" t="inlineStr">
        <is>
          <t>Local80</t>
        </is>
      </c>
      <c r="E158" s="6" t="n">
        <v>23.04</v>
      </c>
      <c r="F158" s="5" t="n"/>
      <c r="G158" s="5" t="n"/>
      <c r="H158" s="5" t="n"/>
      <c r="I158" s="5" t="n"/>
      <c r="J158" s="7">
        <f>IF(AND(N(F158)&gt;0,N(I158)&gt;0),I158-F158-IF(N(G158)&gt;0,0.5,0)-IF(N(H158)&gt;0,0.5,0),0)</f>
        <v/>
      </c>
      <c r="K158" s="5" t="n"/>
      <c r="L158" s="7">
        <f>MIN(J158,10.0)</f>
        <v/>
      </c>
      <c r="M158" s="7">
        <f>MAX(0,MIN(J158,12)-10.0)</f>
        <v/>
      </c>
      <c r="N158" s="7">
        <f>MAX(0,J158-12)</f>
        <v/>
      </c>
      <c r="O158" s="5" t="n"/>
      <c r="P158" s="6">
        <f>E158*(L158+M158*1.5+N158*2+O158*3+N(K158))</f>
        <v/>
      </c>
      <c r="Q158" s="6" t="n">
        <v>397.43</v>
      </c>
      <c r="R158" s="6">
        <f>Q158-P158</f>
        <v/>
      </c>
    </row>
    <row r="159">
      <c r="P159" s="2" t="inlineStr">
        <is>
          <t>SETCRAFTSERVICELABOR LABOR</t>
        </is>
      </c>
      <c r="R159" s="8">
        <f>SUM(R157:R158)</f>
        <v/>
      </c>
    </row>
    <row r="161">
      <c r="B161" s="2" t="inlineStr">
        <is>
          <t>SETFIRSTAIDLABOR</t>
        </is>
      </c>
    </row>
    <row r="162">
      <c r="A162" s="5" t="inlineStr">
        <is>
          <t>2514</t>
        </is>
      </c>
      <c r="B162" s="5" t="inlineStr">
        <is>
          <t>Robert Hill</t>
        </is>
      </c>
      <c r="C162" s="5" t="inlineStr">
        <is>
          <t>SETMEDIC</t>
        </is>
      </c>
      <c r="D162" s="5" t="inlineStr">
        <is>
          <t>Local80</t>
        </is>
      </c>
      <c r="E162" s="6" t="n">
        <v>23.04</v>
      </c>
      <c r="F162" s="5" t="n"/>
      <c r="G162" s="5" t="n"/>
      <c r="H162" s="5" t="n"/>
      <c r="I162" s="5" t="n"/>
      <c r="J162" s="7">
        <f>IF(AND(N(F162)&gt;0,N(I162)&gt;0),I162-F162-IF(N(G162)&gt;0,0.5,0)-IF(N(H162)&gt;0,0.5,0),0)</f>
        <v/>
      </c>
      <c r="K162" s="5" t="n"/>
      <c r="L162" s="7">
        <f>MIN(J162,10.0)</f>
        <v/>
      </c>
      <c r="M162" s="7">
        <f>MAX(0,MIN(J162,12)-10.0)</f>
        <v/>
      </c>
      <c r="N162" s="7">
        <f>MAX(0,J162-12)</f>
        <v/>
      </c>
      <c r="O162" s="5" t="n"/>
      <c r="P162" s="6">
        <f>E162*(L162+M162*1.5+N162*2+O162*3+N(K162))</f>
        <v/>
      </c>
      <c r="Q162" s="6" t="n">
        <v>397.43</v>
      </c>
      <c r="R162" s="6">
        <f>Q162-P162</f>
        <v/>
      </c>
    </row>
    <row r="163">
      <c r="A163" s="5" t="inlineStr">
        <is>
          <t>2514</t>
        </is>
      </c>
      <c r="B163" s="5" t="inlineStr"/>
      <c r="C163" s="5" t="inlineStr">
        <is>
          <t>RIGGINGMEDICMANDAYS</t>
        </is>
      </c>
      <c r="D163" s="5" t="inlineStr">
        <is>
          <t>Local80</t>
        </is>
      </c>
      <c r="E163" s="6" t="n">
        <v>23.04</v>
      </c>
      <c r="F163" s="5" t="n"/>
      <c r="G163" s="5" t="n"/>
      <c r="H163" s="5" t="n"/>
      <c r="I163" s="5" t="n"/>
      <c r="J163" s="7">
        <f>IF(AND(N(F163)&gt;0,N(I163)&gt;0),I163-F163-IF(N(G163)&gt;0,0.5,0)-IF(N(H163)&gt;0,0.5,0),0)</f>
        <v/>
      </c>
      <c r="K163" s="5" t="n"/>
      <c r="L163" s="7">
        <f>MIN(J163,10.0)</f>
        <v/>
      </c>
      <c r="M163" s="7">
        <f>MAX(0,MIN(J163,12)-10.0)</f>
        <v/>
      </c>
      <c r="N163" s="7">
        <f>MAX(0,J163-12)</f>
        <v/>
      </c>
      <c r="O163" s="5" t="n"/>
      <c r="P163" s="6">
        <f>E163*(L163+M163*1.5+N163*2+O163*3+N(K163))</f>
        <v/>
      </c>
      <c r="Q163" s="5" t="n"/>
      <c r="R163" s="6">
        <f>Q163-P163</f>
        <v/>
      </c>
    </row>
    <row r="164">
      <c r="P164" s="2" t="inlineStr">
        <is>
          <t>SETFIRSTAIDLABOR LABOR</t>
        </is>
      </c>
      <c r="R164" s="8">
        <f>SUM(R162:R163)</f>
        <v/>
      </c>
    </row>
    <row r="166">
      <c r="B166" s="2" t="inlineStr">
        <is>
          <t>SFXCOORDINATOR</t>
        </is>
      </c>
    </row>
    <row r="167">
      <c r="A167" s="5" t="inlineStr">
        <is>
          <t>2601</t>
        </is>
      </c>
      <c r="B167" s="5" t="inlineStr">
        <is>
          <t>Zak Knight</t>
        </is>
      </c>
      <c r="C167" s="5" t="inlineStr">
        <is>
          <t>SPFXCOORDINATOR</t>
        </is>
      </c>
      <c r="D167" s="5" t="inlineStr">
        <is>
          <t>Local44</t>
        </is>
      </c>
      <c r="E167" s="6" t="n">
        <v>42</v>
      </c>
      <c r="F167" s="5" t="n"/>
      <c r="G167" s="5" t="n"/>
      <c r="H167" s="5" t="n"/>
      <c r="I167" s="5" t="n"/>
      <c r="J167" s="7">
        <f>IF(AND(N(F167)&gt;0,N(I167)&gt;0),I167-F167-IF(N(G167)&gt;0,0.5,0)-IF(N(H167)&gt;0,0.5,0),0)</f>
        <v/>
      </c>
      <c r="K167" s="5" t="n"/>
      <c r="L167" s="7">
        <f>MIN(J167,10.0)</f>
        <v/>
      </c>
      <c r="M167" s="7">
        <f>MAX(0,MIN(J167,12)-10.0)</f>
        <v/>
      </c>
      <c r="N167" s="7">
        <f>MAX(0,J167-12)</f>
        <v/>
      </c>
      <c r="O167" s="5" t="n"/>
      <c r="P167" s="6">
        <f>E167*(L167+M167*1.5+N167*2+O167*3+N(K167))</f>
        <v/>
      </c>
      <c r="Q167" s="6" t="n">
        <v>651</v>
      </c>
      <c r="R167" s="6">
        <f>Q167-P167</f>
        <v/>
      </c>
    </row>
    <row r="168">
      <c r="P168" s="2" t="inlineStr">
        <is>
          <t>SFXCOORDINATOR LABOR</t>
        </is>
      </c>
      <c r="R168" s="8">
        <f>SUM(R167:R167)</f>
        <v/>
      </c>
    </row>
    <row r="170">
      <c r="B170" s="2" t="inlineStr">
        <is>
          <t>SFXTECHMANDAYS</t>
        </is>
      </c>
    </row>
    <row r="171">
      <c r="A171" s="5" t="inlineStr">
        <is>
          <t>2609</t>
        </is>
      </c>
      <c r="B171" s="5" t="inlineStr"/>
      <c r="C171" s="5" t="inlineStr">
        <is>
          <t>SPFXTECHMANDAYS</t>
        </is>
      </c>
      <c r="D171" s="5" t="inlineStr">
        <is>
          <t>Local44</t>
        </is>
      </c>
      <c r="E171" s="6" t="n">
        <v>40</v>
      </c>
      <c r="F171" s="5" t="n"/>
      <c r="G171" s="5" t="n"/>
      <c r="H171" s="5" t="n"/>
      <c r="I171" s="5" t="n"/>
      <c r="J171" s="7">
        <f>IF(AND(N(F171)&gt;0,N(I171)&gt;0),I171-F171-IF(N(G171)&gt;0,0.5,0)-IF(N(H171)&gt;0,0.5,0),0)</f>
        <v/>
      </c>
      <c r="K171" s="5" t="n"/>
      <c r="L171" s="7">
        <f>MIN(J171,10.0)</f>
        <v/>
      </c>
      <c r="M171" s="7">
        <f>MAX(0,MIN(J171,12)-10.0)</f>
        <v/>
      </c>
      <c r="N171" s="7">
        <f>MAX(0,J171-12)</f>
        <v/>
      </c>
      <c r="O171" s="5" t="n"/>
      <c r="P171" s="6">
        <f>E171*(L171+M171*1.5+N171*2+O171*3+N(K171))</f>
        <v/>
      </c>
      <c r="Q171" s="6" t="n">
        <v>620</v>
      </c>
      <c r="R171" s="6">
        <f>Q171-P171</f>
        <v/>
      </c>
    </row>
    <row r="172">
      <c r="A172" s="5" t="inlineStr">
        <is>
          <t>2609</t>
        </is>
      </c>
      <c r="B172" s="5" t="inlineStr"/>
      <c r="C172" s="5" t="inlineStr">
        <is>
          <t>SPFXASSISTANTMANDAYS</t>
        </is>
      </c>
      <c r="D172" s="5" t="inlineStr">
        <is>
          <t>Local44</t>
        </is>
      </c>
      <c r="E172" s="6" t="n">
        <v>25.5</v>
      </c>
      <c r="F172" s="5" t="n"/>
      <c r="G172" s="5" t="n"/>
      <c r="H172" s="5" t="n"/>
      <c r="I172" s="5" t="n"/>
      <c r="J172" s="7">
        <f>IF(AND(N(F172)&gt;0,N(I172)&gt;0),I172-F172-IF(N(G172)&gt;0,0.5,0)-IF(N(H172)&gt;0,0.5,0),0)</f>
        <v/>
      </c>
      <c r="K172" s="5" t="n"/>
      <c r="L172" s="7">
        <f>MIN(J172,10.0)</f>
        <v/>
      </c>
      <c r="M172" s="7">
        <f>MAX(0,MIN(J172,12)-10.0)</f>
        <v/>
      </c>
      <c r="N172" s="7">
        <f>MAX(0,J172-12)</f>
        <v/>
      </c>
      <c r="O172" s="5" t="n"/>
      <c r="P172" s="6">
        <f>E172*(L172+M172*1.5+N172*2+O172*3+N(K172))</f>
        <v/>
      </c>
      <c r="Q172" s="6" t="n">
        <v>395.25</v>
      </c>
      <c r="R172" s="6">
        <f>Q172-P172</f>
        <v/>
      </c>
    </row>
    <row r="173">
      <c r="A173" s="5" t="inlineStr">
        <is>
          <t>2609</t>
        </is>
      </c>
      <c r="B173" s="5" t="inlineStr"/>
      <c r="C173" s="5" t="inlineStr">
        <is>
          <t>PYROMANDAYS</t>
        </is>
      </c>
      <c r="D173" s="5" t="inlineStr">
        <is>
          <t>Local44</t>
        </is>
      </c>
      <c r="E173" s="6" t="n">
        <v>68.18000000000001</v>
      </c>
      <c r="F173" s="5" t="n"/>
      <c r="G173" s="5" t="n"/>
      <c r="H173" s="5" t="n"/>
      <c r="I173" s="5" t="n"/>
      <c r="J173" s="7">
        <f>IF(AND(N(F173)&gt;0,N(I173)&gt;0),I173-F173-IF(N(G173)&gt;0,0.5,0)-IF(N(H173)&gt;0,0.5,0),0)</f>
        <v/>
      </c>
      <c r="K173" s="5" t="n"/>
      <c r="L173" s="7">
        <f>MIN(J173,10.0)</f>
        <v/>
      </c>
      <c r="M173" s="7">
        <f>MAX(0,MIN(J173,12)-10.0)</f>
        <v/>
      </c>
      <c r="N173" s="7">
        <f>MAX(0,J173-12)</f>
        <v/>
      </c>
      <c r="O173" s="5" t="n"/>
      <c r="P173" s="6">
        <f>E173*(L173+M173*1.5+N173*2+O173*3+N(K173))</f>
        <v/>
      </c>
      <c r="Q173" s="6" t="n">
        <v>749.98</v>
      </c>
      <c r="R173" s="6">
        <f>Q173-P173</f>
        <v/>
      </c>
    </row>
    <row r="174">
      <c r="P174" s="2" t="inlineStr">
        <is>
          <t>SFXTECHMANDAYS LABOR</t>
        </is>
      </c>
      <c r="R174" s="8">
        <f>SUM(R171:R173)</f>
        <v/>
      </c>
    </row>
    <row r="176">
      <c r="B176" s="2" t="inlineStr">
        <is>
          <t>SETDECORATOR</t>
        </is>
      </c>
    </row>
    <row r="177">
      <c r="A177" s="5" t="inlineStr">
        <is>
          <t>2701</t>
        </is>
      </c>
      <c r="B177" s="5" t="inlineStr">
        <is>
          <t>Sandy Skora</t>
        </is>
      </c>
      <c r="C177" s="5" t="inlineStr">
        <is>
          <t>SETDECORATOR</t>
        </is>
      </c>
      <c r="D177" s="5" t="inlineStr">
        <is>
          <t>Local44</t>
        </is>
      </c>
      <c r="E177" s="6" t="n">
        <v>400</v>
      </c>
      <c r="F177" s="5" t="n"/>
      <c r="G177" s="5" t="n"/>
      <c r="H177" s="5" t="n"/>
      <c r="I177" s="5" t="n"/>
      <c r="J177" s="7">
        <f>IF(AND(N(F177)&gt;0,N(I177)&gt;0),I177-F177-IF(N(G177)&gt;0,0.5,0)-IF(N(H177)&gt;0,0.5,0),0)</f>
        <v/>
      </c>
      <c r="K177" s="5" t="n"/>
      <c r="L177" s="7">
        <f>MIN(J177,10.0)</f>
        <v/>
      </c>
      <c r="M177" s="7">
        <f>MAX(0,MIN(J177,12)-10.0)</f>
        <v/>
      </c>
      <c r="N177" s="7">
        <f>MAX(0,J177-12)</f>
        <v/>
      </c>
      <c r="O177" s="5" t="n"/>
      <c r="P177" s="6">
        <f>E177*(L177+M177*1.5+N177*2+O177*3+N(K177))</f>
        <v/>
      </c>
      <c r="Q177" s="6" t="n">
        <v>400</v>
      </c>
      <c r="R177" s="6">
        <f>Q177-P177</f>
        <v/>
      </c>
    </row>
    <row r="178">
      <c r="P178" s="2" t="inlineStr">
        <is>
          <t>SETDECORATOR LABOR</t>
        </is>
      </c>
      <c r="R178" s="8">
        <f>SUM(R177:R177)</f>
        <v/>
      </c>
    </row>
    <row r="180">
      <c r="B180" s="2" t="inlineStr">
        <is>
          <t>LEADPERSON</t>
        </is>
      </c>
    </row>
    <row r="181">
      <c r="A181" s="5" t="inlineStr">
        <is>
          <t>2702</t>
        </is>
      </c>
      <c r="B181" s="5" t="inlineStr">
        <is>
          <t>Josh Richmond</t>
        </is>
      </c>
      <c r="C181" s="5" t="inlineStr">
        <is>
          <t>LEADPERSON</t>
        </is>
      </c>
      <c r="D181" s="5" t="inlineStr">
        <is>
          <t>Local44</t>
        </is>
      </c>
      <c r="E181" s="6" t="n">
        <v>23.04</v>
      </c>
      <c r="F181" s="5" t="n"/>
      <c r="G181" s="5" t="n"/>
      <c r="H181" s="5" t="n"/>
      <c r="I181" s="5" t="n"/>
      <c r="J181" s="7">
        <f>IF(AND(N(F181)&gt;0,N(I181)&gt;0),I181-F181-IF(N(G181)&gt;0,0.5,0)-IF(N(H181)&gt;0,0.5,0),0)</f>
        <v/>
      </c>
      <c r="K181" s="5" t="n"/>
      <c r="L181" s="7">
        <f>MIN(J181,10.0)</f>
        <v/>
      </c>
      <c r="M181" s="7">
        <f>MAX(0,MIN(J181,12)-10.0)</f>
        <v/>
      </c>
      <c r="N181" s="7">
        <f>MAX(0,J181-12)</f>
        <v/>
      </c>
      <c r="O181" s="5" t="n"/>
      <c r="P181" s="6">
        <f>E181*(L181+M181*1.5+N181*2+O181*3+N(K181))</f>
        <v/>
      </c>
      <c r="Q181" s="6" t="n">
        <v>322.56</v>
      </c>
      <c r="R181" s="6">
        <f>Q181-P181</f>
        <v/>
      </c>
    </row>
    <row r="182">
      <c r="P182" s="2" t="inlineStr">
        <is>
          <t>LEADPERSON LABOR</t>
        </is>
      </c>
      <c r="R182" s="8">
        <f>SUM(R181:R181)</f>
        <v/>
      </c>
    </row>
    <row r="184">
      <c r="B184" s="2" t="inlineStr">
        <is>
          <t>SWINGLABOR</t>
        </is>
      </c>
    </row>
    <row r="185">
      <c r="A185" s="5" t="inlineStr">
        <is>
          <t>2703</t>
        </is>
      </c>
      <c r="B185" s="5" t="inlineStr">
        <is>
          <t>Tim Dodge</t>
        </is>
      </c>
      <c r="C185" s="5" t="inlineStr">
        <is>
          <t>SWING#1</t>
        </is>
      </c>
      <c r="D185" s="5" t="inlineStr">
        <is>
          <t>Local44</t>
        </is>
      </c>
      <c r="E185" s="6" t="n">
        <v>20.57</v>
      </c>
      <c r="F185" s="5" t="n"/>
      <c r="G185" s="5" t="n"/>
      <c r="H185" s="5" t="n"/>
      <c r="I185" s="5" t="n"/>
      <c r="J185" s="7">
        <f>IF(AND(N(F185)&gt;0,N(I185)&gt;0),I185-F185-IF(N(G185)&gt;0,0.5,0)-IF(N(H185)&gt;0,0.5,0),0)</f>
        <v/>
      </c>
      <c r="K185" s="5" t="n"/>
      <c r="L185" s="7">
        <f>MIN(J185,10.0)</f>
        <v/>
      </c>
      <c r="M185" s="7">
        <f>MAX(0,MIN(J185,12)-10.0)</f>
        <v/>
      </c>
      <c r="N185" s="7">
        <f>MAX(0,J185-12)</f>
        <v/>
      </c>
      <c r="O185" s="5" t="n"/>
      <c r="P185" s="6">
        <f>E185*(L185+M185*1.5+N185*2+O185*3+N(K185))</f>
        <v/>
      </c>
      <c r="Q185" s="6" t="n">
        <v>287.98</v>
      </c>
      <c r="R185" s="6">
        <f>Q185-P185</f>
        <v/>
      </c>
    </row>
    <row r="186">
      <c r="A186" s="5" t="inlineStr">
        <is>
          <t>2703</t>
        </is>
      </c>
      <c r="B186" s="5" t="inlineStr"/>
      <c r="C186" s="5" t="inlineStr">
        <is>
          <t>SWING#2</t>
        </is>
      </c>
      <c r="D186" s="5" t="inlineStr">
        <is>
          <t>Local44</t>
        </is>
      </c>
      <c r="E186" s="6" t="n">
        <v>20.57</v>
      </c>
      <c r="F186" s="5" t="n"/>
      <c r="G186" s="5" t="n"/>
      <c r="H186" s="5" t="n"/>
      <c r="I186" s="5" t="n"/>
      <c r="J186" s="7">
        <f>IF(AND(N(F186)&gt;0,N(I186)&gt;0),I186-F186-IF(N(G186)&gt;0,0.5,0)-IF(N(H186)&gt;0,0.5,0),0)</f>
        <v/>
      </c>
      <c r="K186" s="5" t="n"/>
      <c r="L186" s="7">
        <f>MIN(J186,10.0)</f>
        <v/>
      </c>
      <c r="M186" s="7">
        <f>MAX(0,MIN(J186,12)-10.0)</f>
        <v/>
      </c>
      <c r="N186" s="7">
        <f>MAX(0,J186-12)</f>
        <v/>
      </c>
      <c r="O186" s="5" t="n"/>
      <c r="P186" s="6">
        <f>E186*(L186+M186*1.5+N186*2+O186*3+N(K186))</f>
        <v/>
      </c>
      <c r="Q186" s="6" t="n">
        <v>287.98</v>
      </c>
      <c r="R186" s="6">
        <f>Q186-P186</f>
        <v/>
      </c>
    </row>
    <row r="187">
      <c r="A187" s="5" t="inlineStr">
        <is>
          <t>2703</t>
        </is>
      </c>
      <c r="B187" s="5" t="inlineStr"/>
      <c r="C187" s="5" t="inlineStr">
        <is>
          <t>ADDITIONALSWINGMANDAYS</t>
        </is>
      </c>
      <c r="D187" s="5" t="inlineStr">
        <is>
          <t>Local44</t>
        </is>
      </c>
      <c r="E187" s="6" t="n">
        <v>20.57</v>
      </c>
      <c r="F187" s="5" t="n"/>
      <c r="G187" s="5" t="n"/>
      <c r="H187" s="5" t="n"/>
      <c r="I187" s="5" t="n"/>
      <c r="J187" s="7">
        <f>IF(AND(N(F187)&gt;0,N(I187)&gt;0),I187-F187-IF(N(G187)&gt;0,0.5,0)-IF(N(H187)&gt;0,0.5,0),0)</f>
        <v/>
      </c>
      <c r="K187" s="5" t="n"/>
      <c r="L187" s="7">
        <f>MIN(J187,10.0)</f>
        <v/>
      </c>
      <c r="M187" s="7">
        <f>MAX(0,MIN(J187,12)-10.0)</f>
        <v/>
      </c>
      <c r="N187" s="7">
        <f>MAX(0,J187-12)</f>
        <v/>
      </c>
      <c r="O187" s="5" t="n"/>
      <c r="P187" s="6">
        <f>E187*(L187+M187*1.5+N187*2+O187*3+N(K187))</f>
        <v/>
      </c>
      <c r="Q187" s="6" t="n">
        <v>287.98</v>
      </c>
      <c r="R187" s="6">
        <f>Q187-P187</f>
        <v/>
      </c>
    </row>
    <row r="188">
      <c r="P188" s="2" t="inlineStr">
        <is>
          <t>SWINGLABOR LABOR</t>
        </is>
      </c>
      <c r="R188" s="8">
        <f>SUM(R185:R187)</f>
        <v/>
      </c>
    </row>
    <row r="190">
      <c r="B190" s="2" t="inlineStr">
        <is>
          <t>ON-SETDRESSER</t>
        </is>
      </c>
    </row>
    <row r="191">
      <c r="A191" s="5" t="inlineStr">
        <is>
          <t>2705</t>
        </is>
      </c>
      <c r="B191" s="5" t="inlineStr">
        <is>
          <t>Khamisi Thurman</t>
        </is>
      </c>
      <c r="C191" s="5" t="inlineStr">
        <is>
          <t>ON-SETDRESSER</t>
        </is>
      </c>
      <c r="D191" s="5" t="inlineStr">
        <is>
          <t>Local44</t>
        </is>
      </c>
      <c r="E191" s="6" t="n">
        <v>20.57</v>
      </c>
      <c r="F191" s="5" t="n"/>
      <c r="G191" s="5" t="n"/>
      <c r="H191" s="5" t="n"/>
      <c r="I191" s="5" t="n"/>
      <c r="J191" s="7">
        <f>IF(AND(N(F191)&gt;0,N(I191)&gt;0),I191-F191-IF(N(G191)&gt;0,0.5,0)-IF(N(H191)&gt;0,0.5,0),0)</f>
        <v/>
      </c>
      <c r="K191" s="5" t="n"/>
      <c r="L191" s="7">
        <f>MIN(J191,10.0)</f>
        <v/>
      </c>
      <c r="M191" s="7">
        <f>MAX(0,MIN(J191,12)-10.0)</f>
        <v/>
      </c>
      <c r="N191" s="7">
        <f>MAX(0,J191-12)</f>
        <v/>
      </c>
      <c r="O191" s="5" t="n"/>
      <c r="P191" s="6">
        <f>E191*(L191+M191*1.5+N191*2+O191*3+N(K191))</f>
        <v/>
      </c>
      <c r="Q191" s="6" t="n">
        <v>318.83</v>
      </c>
      <c r="R191" s="6">
        <f>Q191-P191</f>
        <v/>
      </c>
    </row>
    <row r="192">
      <c r="P192" s="2" t="inlineStr">
        <is>
          <t>ON-SETDRESSER LABOR</t>
        </is>
      </c>
      <c r="R192" s="8">
        <f>SUM(R191:R191)</f>
        <v/>
      </c>
    </row>
    <row r="194">
      <c r="B194" s="2" t="inlineStr">
        <is>
          <t>BUYERS</t>
        </is>
      </c>
    </row>
    <row r="195">
      <c r="A195" s="5" t="inlineStr">
        <is>
          <t>2706</t>
        </is>
      </c>
      <c r="B195" s="5" t="inlineStr">
        <is>
          <t>Sarah Hickman</t>
        </is>
      </c>
      <c r="C195" s="5" t="inlineStr">
        <is>
          <t>BUYER</t>
        </is>
      </c>
      <c r="D195" s="5" t="inlineStr">
        <is>
          <t>Local44</t>
        </is>
      </c>
      <c r="E195" s="6" t="n">
        <v>23.04</v>
      </c>
      <c r="F195" s="5" t="n"/>
      <c r="G195" s="5" t="n"/>
      <c r="H195" s="5" t="n"/>
      <c r="I195" s="5" t="n"/>
      <c r="J195" s="7">
        <f>IF(AND(N(F195)&gt;0,N(I195)&gt;0),I195-F195-IF(N(G195)&gt;0,0.5,0)-IF(N(H195)&gt;0,0.5,0),0)</f>
        <v/>
      </c>
      <c r="K195" s="5" t="n"/>
      <c r="L195" s="7">
        <f>MIN(J195,10.0)</f>
        <v/>
      </c>
      <c r="M195" s="7">
        <f>MAX(0,MIN(J195,12)-10.0)</f>
        <v/>
      </c>
      <c r="N195" s="7">
        <f>MAX(0,J195-12)</f>
        <v/>
      </c>
      <c r="O195" s="5" t="n"/>
      <c r="P195" s="6">
        <f>E195*(L195+M195*1.5+N195*2+O195*3+N(K195))</f>
        <v/>
      </c>
      <c r="Q195" s="5" t="n"/>
      <c r="R195" s="6">
        <f>Q195-P195</f>
        <v/>
      </c>
    </row>
    <row r="196">
      <c r="P196" s="2" t="inlineStr">
        <is>
          <t>BUYERS LABOR</t>
        </is>
      </c>
      <c r="R196" s="8">
        <f>SUM(R195:R195)</f>
        <v/>
      </c>
    </row>
    <row r="198">
      <c r="B198" s="2" t="inlineStr">
        <is>
          <t>PROPMASTER</t>
        </is>
      </c>
    </row>
    <row r="199">
      <c r="A199" s="5" t="inlineStr">
        <is>
          <t>2801</t>
        </is>
      </c>
      <c r="B199" s="5" t="inlineStr">
        <is>
          <t>Annie Brandt</t>
        </is>
      </c>
      <c r="C199" s="5" t="inlineStr">
        <is>
          <t>PROPMASTER</t>
        </is>
      </c>
      <c r="D199" s="5" t="inlineStr">
        <is>
          <t>Local44</t>
        </is>
      </c>
      <c r="E199" s="6" t="n">
        <v>25.5</v>
      </c>
      <c r="F199" s="5" t="n"/>
      <c r="G199" s="5" t="n"/>
      <c r="H199" s="5" t="n"/>
      <c r="I199" s="5" t="n"/>
      <c r="J199" s="7">
        <f>IF(AND(N(F199)&gt;0,N(I199)&gt;0),I199-F199-IF(N(G199)&gt;0,0.5,0)-IF(N(H199)&gt;0,0.5,0),0)</f>
        <v/>
      </c>
      <c r="K199" s="5" t="n"/>
      <c r="L199" s="7">
        <f>MIN(J199,10.0)</f>
        <v/>
      </c>
      <c r="M199" s="7">
        <f>MAX(0,MIN(J199,12)-10.0)</f>
        <v/>
      </c>
      <c r="N199" s="7">
        <f>MAX(0,J199-12)</f>
        <v/>
      </c>
      <c r="O199" s="5" t="n"/>
      <c r="P199" s="6">
        <f>E199*(L199+M199*1.5+N199*2+O199*3+N(K199))</f>
        <v/>
      </c>
      <c r="Q199" s="6" t="n">
        <v>395.25</v>
      </c>
      <c r="R199" s="6">
        <f>Q199-P199</f>
        <v/>
      </c>
    </row>
    <row r="200">
      <c r="P200" s="2" t="inlineStr">
        <is>
          <t>PROPMASTER LABOR</t>
        </is>
      </c>
      <c r="R200" s="8">
        <f>SUM(R199:R199)</f>
        <v/>
      </c>
    </row>
    <row r="202">
      <c r="B202" s="2" t="inlineStr">
        <is>
          <t>ASSTPROPMASTER</t>
        </is>
      </c>
    </row>
    <row r="203">
      <c r="A203" s="5" t="inlineStr">
        <is>
          <t>2802</t>
        </is>
      </c>
      <c r="B203" s="5" t="inlineStr">
        <is>
          <t>Nate Bakes</t>
        </is>
      </c>
      <c r="C203" s="5" t="inlineStr">
        <is>
          <t>ASSTPROPMASTER</t>
        </is>
      </c>
      <c r="D203" s="5" t="inlineStr">
        <is>
          <t>Local44</t>
        </is>
      </c>
      <c r="E203" s="6" t="n">
        <v>23.04</v>
      </c>
      <c r="F203" s="5" t="n"/>
      <c r="G203" s="5" t="n"/>
      <c r="H203" s="5" t="n"/>
      <c r="I203" s="5" t="n"/>
      <c r="J203" s="7">
        <f>IF(AND(N(F203)&gt;0,N(I203)&gt;0),I203-F203-IF(N(G203)&gt;0,0.5,0)-IF(N(H203)&gt;0,0.5,0),0)</f>
        <v/>
      </c>
      <c r="K203" s="5" t="n"/>
      <c r="L203" s="7">
        <f>MIN(J203,10.0)</f>
        <v/>
      </c>
      <c r="M203" s="7">
        <f>MAX(0,MIN(J203,12)-10.0)</f>
        <v/>
      </c>
      <c r="N203" s="7">
        <f>MAX(0,J203-12)</f>
        <v/>
      </c>
      <c r="O203" s="5" t="n"/>
      <c r="P203" s="6">
        <f>E203*(L203+M203*1.5+N203*2+O203*3+N(K203))</f>
        <v/>
      </c>
      <c r="Q203" s="6" t="n">
        <v>357.12</v>
      </c>
      <c r="R203" s="6">
        <f>Q203-P203</f>
        <v/>
      </c>
    </row>
    <row r="204">
      <c r="P204" s="2" t="inlineStr">
        <is>
          <t>ASSTPROPMASTER LABOR</t>
        </is>
      </c>
      <c r="R204" s="8">
        <f>SUM(R203:R203)</f>
        <v/>
      </c>
    </row>
    <row r="206">
      <c r="B206" s="2" t="inlineStr">
        <is>
          <t>COSTUMEDESIGNER</t>
        </is>
      </c>
    </row>
    <row r="207">
      <c r="A207" s="5" t="inlineStr">
        <is>
          <t>2901</t>
        </is>
      </c>
      <c r="B207" s="5" t="inlineStr">
        <is>
          <t>Megan Spatz</t>
        </is>
      </c>
      <c r="C207" s="5" t="inlineStr">
        <is>
          <t>COSTUMEDESIGNER</t>
        </is>
      </c>
      <c r="D207" s="5" t="inlineStr">
        <is>
          <t>Local892</t>
        </is>
      </c>
      <c r="E207" s="6" t="n">
        <v>540</v>
      </c>
      <c r="F207" s="5" t="n"/>
      <c r="G207" s="5" t="n"/>
      <c r="H207" s="5" t="n"/>
      <c r="I207" s="5" t="n"/>
      <c r="J207" s="7">
        <f>IF(AND(N(F207)&gt;0,N(I207)&gt;0),I207-F207-IF(N(G207)&gt;0,0.5,0)-IF(N(H207)&gt;0,0.5,0),0)</f>
        <v/>
      </c>
      <c r="K207" s="5" t="n"/>
      <c r="L207" s="7">
        <f>MIN(J207,8.0)</f>
        <v/>
      </c>
      <c r="M207" s="7">
        <f>MAX(0,MIN(J207,12)-8.0)</f>
        <v/>
      </c>
      <c r="N207" s="7">
        <f>MAX(0,J207-12)</f>
        <v/>
      </c>
      <c r="O207" s="5" t="n"/>
      <c r="P207" s="6">
        <f>E207*(L207+M207*1.5+N207*2+O207*3+N(K207))</f>
        <v/>
      </c>
      <c r="Q207" s="6" t="n">
        <v>540</v>
      </c>
      <c r="R207" s="6">
        <f>Q207-P207</f>
        <v/>
      </c>
    </row>
    <row r="208">
      <c r="P208" s="2" t="inlineStr">
        <is>
          <t>COSTUMEDESIGNER LABOR</t>
        </is>
      </c>
      <c r="R208" s="8">
        <f>SUM(R207:R207)</f>
        <v/>
      </c>
    </row>
    <row r="210">
      <c r="B210" s="2" t="inlineStr">
        <is>
          <t>COSTUMESUPERVISOR</t>
        </is>
      </c>
    </row>
    <row r="211">
      <c r="A211" s="5" t="inlineStr">
        <is>
          <t>2903</t>
        </is>
      </c>
      <c r="B211" s="5" t="inlineStr">
        <is>
          <t>Danielle Schuck</t>
        </is>
      </c>
      <c r="C211" s="5" t="inlineStr">
        <is>
          <t>COSTUMESUPERVISOR</t>
        </is>
      </c>
      <c r="D211" s="5" t="inlineStr">
        <is>
          <t>Local705</t>
        </is>
      </c>
      <c r="E211" s="6" t="n">
        <v>25.5</v>
      </c>
      <c r="F211" s="5" t="n"/>
      <c r="G211" s="5" t="n"/>
      <c r="H211" s="5" t="n"/>
      <c r="I211" s="5" t="n"/>
      <c r="J211" s="7">
        <f>IF(AND(N(F211)&gt;0,N(I211)&gt;0),I211-F211-IF(N(G211)&gt;0,0.5,0)-IF(N(H211)&gt;0,0.5,0),0)</f>
        <v/>
      </c>
      <c r="K211" s="5" t="n"/>
      <c r="L211" s="7">
        <f>MIN(J211,8.0)</f>
        <v/>
      </c>
      <c r="M211" s="7">
        <f>MAX(0,MIN(J211,12)-8.0)</f>
        <v/>
      </c>
      <c r="N211" s="7">
        <f>MAX(0,J211-12)</f>
        <v/>
      </c>
      <c r="O211" s="5" t="n"/>
      <c r="P211" s="6">
        <f>E211*(L211+M211*1.5+N211*2+O211*3+N(K211))</f>
        <v/>
      </c>
      <c r="Q211" s="6" t="n">
        <v>395.25</v>
      </c>
      <c r="R211" s="6">
        <f>Q211-P211</f>
        <v/>
      </c>
    </row>
    <row r="212">
      <c r="P212" s="2" t="inlineStr">
        <is>
          <t>COSTUMESUPERVISOR LABOR</t>
        </is>
      </c>
      <c r="R212" s="8">
        <f>SUM(R211:R211)</f>
        <v/>
      </c>
    </row>
    <row r="214">
      <c r="B214" s="2" t="inlineStr">
        <is>
          <t>SETCOSTUMERS</t>
        </is>
      </c>
    </row>
    <row r="215">
      <c r="A215" s="5" t="inlineStr">
        <is>
          <t>2905</t>
        </is>
      </c>
      <c r="B215" s="5" t="inlineStr">
        <is>
          <t>Monavie Tutop</t>
        </is>
      </c>
      <c r="C215" s="5" t="inlineStr">
        <is>
          <t>COSTUMER#1</t>
        </is>
      </c>
      <c r="D215" s="5" t="inlineStr">
        <is>
          <t>Local705</t>
        </is>
      </c>
      <c r="E215" s="6" t="n">
        <v>23.04</v>
      </c>
      <c r="F215" s="5" t="n"/>
      <c r="G215" s="5" t="n"/>
      <c r="H215" s="5" t="n"/>
      <c r="I215" s="5" t="n"/>
      <c r="J215" s="7">
        <f>IF(AND(N(F215)&gt;0,N(I215)&gt;0),I215-F215-IF(N(G215)&gt;0,0.5,0)-IF(N(H215)&gt;0,0.5,0),0)</f>
        <v/>
      </c>
      <c r="K215" s="5" t="n"/>
      <c r="L215" s="7">
        <f>MIN(J215,8.0)</f>
        <v/>
      </c>
      <c r="M215" s="7">
        <f>MAX(0,MIN(J215,12)-8.0)</f>
        <v/>
      </c>
      <c r="N215" s="7">
        <f>MAX(0,J215-12)</f>
        <v/>
      </c>
      <c r="O215" s="5" t="n"/>
      <c r="P215" s="6">
        <f>E215*(L215+M215*1.5+N215*2+O215*3+N(K215))</f>
        <v/>
      </c>
      <c r="Q215" s="6" t="n">
        <v>397.43</v>
      </c>
      <c r="R215" s="6">
        <f>Q215-P215</f>
        <v/>
      </c>
    </row>
    <row r="216">
      <c r="A216" s="5" t="inlineStr">
        <is>
          <t>2905</t>
        </is>
      </c>
      <c r="B216" s="5" t="inlineStr"/>
      <c r="C216" s="5" t="inlineStr">
        <is>
          <t>COSTUMER#2</t>
        </is>
      </c>
      <c r="D216" s="5" t="inlineStr">
        <is>
          <t>Local705</t>
        </is>
      </c>
      <c r="E216" s="6" t="n">
        <v>20.57</v>
      </c>
      <c r="F216" s="5" t="n"/>
      <c r="G216" s="5" t="n"/>
      <c r="H216" s="5" t="n"/>
      <c r="I216" s="5" t="n"/>
      <c r="J216" s="7">
        <f>IF(AND(N(F216)&gt;0,N(I216)&gt;0),I216-F216-IF(N(G216)&gt;0,0.5,0)-IF(N(H216)&gt;0,0.5,0),0)</f>
        <v/>
      </c>
      <c r="K216" s="5" t="n"/>
      <c r="L216" s="7">
        <f>MIN(J216,8.0)</f>
        <v/>
      </c>
      <c r="M216" s="7">
        <f>MAX(0,MIN(J216,12)-8.0)</f>
        <v/>
      </c>
      <c r="N216" s="7">
        <f>MAX(0,J216-12)</f>
        <v/>
      </c>
      <c r="O216" s="5" t="n"/>
      <c r="P216" s="6">
        <f>E216*(L216+M216*1.5+N216*2+O216*3+N(K216))</f>
        <v/>
      </c>
      <c r="Q216" s="6" t="n">
        <v>354.83</v>
      </c>
      <c r="R216" s="6">
        <f>Q216-P216</f>
        <v/>
      </c>
    </row>
    <row r="217">
      <c r="P217" s="2" t="inlineStr">
        <is>
          <t>SETCOSTUMERS LABOR</t>
        </is>
      </c>
      <c r="R217" s="8">
        <f>SUM(R215:R216)</f>
        <v/>
      </c>
    </row>
    <row r="219">
      <c r="B219" s="2" t="inlineStr">
        <is>
          <t>KEYMAKE-UP</t>
        </is>
      </c>
    </row>
    <row r="220">
      <c r="A220" s="5" t="inlineStr">
        <is>
          <t>3101</t>
        </is>
      </c>
      <c r="B220" s="5" t="inlineStr">
        <is>
          <t>Eleanor Sabaduquia</t>
        </is>
      </c>
      <c r="C220" s="5" t="inlineStr">
        <is>
          <t>KEYMAKEUPARTIST</t>
        </is>
      </c>
      <c r="D220" s="5" t="inlineStr">
        <is>
          <t>Local706</t>
        </is>
      </c>
      <c r="E220" s="6" t="n">
        <v>25.5</v>
      </c>
      <c r="F220" s="5" t="n"/>
      <c r="G220" s="5" t="n"/>
      <c r="H220" s="5" t="n"/>
      <c r="I220" s="5" t="n"/>
      <c r="J220" s="7">
        <f>IF(AND(N(F220)&gt;0,N(I220)&gt;0),I220-F220-IF(N(G220)&gt;0,0.5,0)-IF(N(H220)&gt;0,0.5,0),0)</f>
        <v/>
      </c>
      <c r="K220" s="5" t="n"/>
      <c r="L220" s="7">
        <f>MIN(J220,10.0)</f>
        <v/>
      </c>
      <c r="M220" s="7">
        <f>MAX(0,MIN(J220,12)-10.0)</f>
        <v/>
      </c>
      <c r="N220" s="7">
        <f>MAX(0,J220-12)</f>
        <v/>
      </c>
      <c r="O220" s="5" t="n"/>
      <c r="P220" s="6">
        <f>E220*(L220+M220*1.5+N220*2+O220*3+N(K220))</f>
        <v/>
      </c>
      <c r="Q220" s="6" t="n">
        <v>439.87</v>
      </c>
      <c r="R220" s="6">
        <f>Q220-P220</f>
        <v/>
      </c>
    </row>
    <row r="221">
      <c r="P221" s="2" t="inlineStr">
        <is>
          <t>KEYMAKE-UP LABOR</t>
        </is>
      </c>
      <c r="R221" s="8">
        <f>SUM(R220:R220)</f>
        <v/>
      </c>
    </row>
    <row r="223">
      <c r="B223" s="2" t="inlineStr">
        <is>
          <t>ASSTMAKE-UP</t>
        </is>
      </c>
    </row>
    <row r="224">
      <c r="A224" s="5" t="inlineStr">
        <is>
          <t>3102</t>
        </is>
      </c>
      <c r="B224" s="5" t="inlineStr">
        <is>
          <t>Yoko Nobushi</t>
        </is>
      </c>
      <c r="C224" s="5" t="inlineStr">
        <is>
          <t>ASSTMAKEUPARTIST#1</t>
        </is>
      </c>
      <c r="D224" s="5" t="inlineStr">
        <is>
          <t>Local706</t>
        </is>
      </c>
      <c r="E224" s="6" t="n">
        <v>23.04</v>
      </c>
      <c r="F224" s="5" t="n"/>
      <c r="G224" s="5" t="n"/>
      <c r="H224" s="5" t="n"/>
      <c r="I224" s="5" t="n"/>
      <c r="J224" s="7">
        <f>IF(AND(N(F224)&gt;0,N(I224)&gt;0),I224-F224-IF(N(G224)&gt;0,0.5,0)-IF(N(H224)&gt;0,0.5,0),0)</f>
        <v/>
      </c>
      <c r="K224" s="5" t="n"/>
      <c r="L224" s="7">
        <f>MIN(J224,10.0)</f>
        <v/>
      </c>
      <c r="M224" s="7">
        <f>MAX(0,MIN(J224,12)-10.0)</f>
        <v/>
      </c>
      <c r="N224" s="7">
        <f>MAX(0,J224-12)</f>
        <v/>
      </c>
      <c r="O224" s="5" t="n"/>
      <c r="P224" s="6">
        <f>E224*(L224+M224*1.5+N224*2+O224*3+N(K224))</f>
        <v/>
      </c>
      <c r="Q224" s="6" t="n">
        <v>397.43</v>
      </c>
      <c r="R224" s="6">
        <f>Q224-P224</f>
        <v/>
      </c>
    </row>
    <row r="225">
      <c r="P225" s="2" t="inlineStr">
        <is>
          <t>ASSTMAKE-UP LABOR</t>
        </is>
      </c>
      <c r="R225" s="8">
        <f>SUM(R224:R224)</f>
        <v/>
      </c>
    </row>
    <row r="227">
      <c r="B227" s="2" t="inlineStr">
        <is>
          <t>ADDITIONALMAKE-UPLABOR</t>
        </is>
      </c>
    </row>
    <row r="228">
      <c r="A228" s="5" t="inlineStr">
        <is>
          <t>3103</t>
        </is>
      </c>
      <c r="B228" s="5" t="inlineStr"/>
      <c r="C228" s="5" t="inlineStr">
        <is>
          <t>ADDLMAKEUPARTISTDAYS</t>
        </is>
      </c>
      <c r="D228" s="5" t="inlineStr">
        <is>
          <t>Local706</t>
        </is>
      </c>
      <c r="E228" s="6" t="n">
        <v>23.04</v>
      </c>
      <c r="F228" s="5" t="n"/>
      <c r="G228" s="5" t="n"/>
      <c r="H228" s="5" t="n"/>
      <c r="I228" s="5" t="n"/>
      <c r="J228" s="7">
        <f>IF(AND(N(F228)&gt;0,N(I228)&gt;0),I228-F228-IF(N(G228)&gt;0,0.5,0)-IF(N(H228)&gt;0,0.5,0),0)</f>
        <v/>
      </c>
      <c r="K228" s="5" t="n"/>
      <c r="L228" s="7">
        <f>MIN(J228,10.0)</f>
        <v/>
      </c>
      <c r="M228" s="7">
        <f>MAX(0,MIN(J228,12)-10.0)</f>
        <v/>
      </c>
      <c r="N228" s="7">
        <f>MAX(0,J228-12)</f>
        <v/>
      </c>
      <c r="O228" s="5" t="n"/>
      <c r="P228" s="6">
        <f>E228*(L228+M228*1.5+N228*2+O228*3+N(K228))</f>
        <v/>
      </c>
      <c r="Q228" s="6" t="n">
        <v>397.43</v>
      </c>
      <c r="R228" s="6">
        <f>Q228-P228</f>
        <v/>
      </c>
    </row>
    <row r="229">
      <c r="P229" s="2" t="inlineStr">
        <is>
          <t>ADDITIONALMAKE-UPLABOR LABOR</t>
        </is>
      </c>
      <c r="R229" s="8">
        <f>SUM(R228:R228)</f>
        <v/>
      </c>
    </row>
    <row r="231">
      <c r="B231" s="2" t="inlineStr">
        <is>
          <t>PROSTHETICS</t>
        </is>
      </c>
    </row>
    <row r="232">
      <c r="A232" s="5" t="inlineStr">
        <is>
          <t>3105</t>
        </is>
      </c>
      <c r="B232" s="5" t="inlineStr"/>
      <c r="C232" s="5" t="inlineStr">
        <is>
          <t>PROSTHETICMAKEUPARTIST</t>
        </is>
      </c>
      <c r="D232" s="5" t="inlineStr">
        <is>
          <t>Local706</t>
        </is>
      </c>
      <c r="E232" s="6" t="n">
        <v>25.5</v>
      </c>
      <c r="F232" s="5" t="n"/>
      <c r="G232" s="5" t="n"/>
      <c r="H232" s="5" t="n"/>
      <c r="I232" s="5" t="n"/>
      <c r="J232" s="7">
        <f>IF(AND(N(F232)&gt;0,N(I232)&gt;0),I232-F232-IF(N(G232)&gt;0,0.5,0)-IF(N(H232)&gt;0,0.5,0),0)</f>
        <v/>
      </c>
      <c r="K232" s="5" t="n"/>
      <c r="L232" s="7">
        <f>MIN(J232,10.0)</f>
        <v/>
      </c>
      <c r="M232" s="7">
        <f>MAX(0,MIN(J232,12)-10.0)</f>
        <v/>
      </c>
      <c r="N232" s="7">
        <f>MAX(0,J232-12)</f>
        <v/>
      </c>
      <c r="O232" s="5" t="n"/>
      <c r="P232" s="6">
        <f>E232*(L232+M232*1.5+N232*2+O232*3+N(K232))</f>
        <v/>
      </c>
      <c r="Q232" s="6" t="n">
        <v>439.87</v>
      </c>
      <c r="R232" s="6">
        <f>Q232-P232</f>
        <v/>
      </c>
    </row>
    <row r="233">
      <c r="A233" s="5" t="inlineStr">
        <is>
          <t>3105</t>
        </is>
      </c>
      <c r="B233" s="5" t="inlineStr"/>
      <c r="C233" s="5" t="inlineStr">
        <is>
          <t>LENSCONSULTANT</t>
        </is>
      </c>
      <c r="D233" s="5" t="inlineStr"/>
      <c r="E233" s="6" t="n">
        <v>50</v>
      </c>
      <c r="F233" s="5" t="n"/>
      <c r="G233" s="5" t="n"/>
      <c r="H233" s="5" t="n"/>
      <c r="I233" s="5" t="n"/>
      <c r="J233" s="7">
        <f>IF(AND(N(F233)&gt;0,N(I233)&gt;0),I233-F233-IF(N(G233)&gt;0,0.5,0)-IF(N(H233)&gt;0,0.5,0),0)</f>
        <v/>
      </c>
      <c r="K233" s="5" t="n"/>
      <c r="L233" s="7">
        <f>MIN(J233,8.0)</f>
        <v/>
      </c>
      <c r="M233" s="7">
        <f>MAX(0,MIN(J233,12)-8.0)</f>
        <v/>
      </c>
      <c r="N233" s="7">
        <f>MAX(0,J233-12)</f>
        <v/>
      </c>
      <c r="O233" s="5" t="n"/>
      <c r="P233" s="6">
        <f>E233*(L233+M233*1.5+N233*2+O233*3+N(K233))</f>
        <v/>
      </c>
      <c r="Q233" s="6" t="n">
        <v>862.53</v>
      </c>
      <c r="R233" s="6">
        <f>Q233-P233</f>
        <v/>
      </c>
    </row>
    <row r="234">
      <c r="P234" s="2" t="inlineStr">
        <is>
          <t>PROSTHETICS LABOR</t>
        </is>
      </c>
      <c r="R234" s="8">
        <f>SUM(R232:R233)</f>
        <v/>
      </c>
    </row>
    <row r="236">
      <c r="B236" s="2" t="inlineStr">
        <is>
          <t>KEYHAIR</t>
        </is>
      </c>
    </row>
    <row r="237">
      <c r="A237" s="5" t="inlineStr">
        <is>
          <t>3111</t>
        </is>
      </c>
      <c r="B237" s="5" t="inlineStr">
        <is>
          <t>Traci Smithe</t>
        </is>
      </c>
      <c r="C237" s="5" t="inlineStr">
        <is>
          <t>KEYHAIR</t>
        </is>
      </c>
      <c r="D237" s="5" t="inlineStr">
        <is>
          <t>Local706</t>
        </is>
      </c>
      <c r="E237" s="6" t="n">
        <v>25.5</v>
      </c>
      <c r="F237" s="5" t="n"/>
      <c r="G237" s="5" t="n"/>
      <c r="H237" s="5" t="n"/>
      <c r="I237" s="5" t="n"/>
      <c r="J237" s="7">
        <f>IF(AND(N(F237)&gt;0,N(I237)&gt;0),I237-F237-IF(N(G237)&gt;0,0.5,0)-IF(N(H237)&gt;0,0.5,0),0)</f>
        <v/>
      </c>
      <c r="K237" s="5" t="n"/>
      <c r="L237" s="7">
        <f>MIN(J237,10.0)</f>
        <v/>
      </c>
      <c r="M237" s="7">
        <f>MAX(0,MIN(J237,12)-10.0)</f>
        <v/>
      </c>
      <c r="N237" s="7">
        <f>MAX(0,J237-12)</f>
        <v/>
      </c>
      <c r="O237" s="5" t="n"/>
      <c r="P237" s="6">
        <f>E237*(L237+M237*1.5+N237*2+O237*3+N(K237))</f>
        <v/>
      </c>
      <c r="Q237" s="6" t="n">
        <v>439.87</v>
      </c>
      <c r="R237" s="6">
        <f>Q237-P237</f>
        <v/>
      </c>
    </row>
    <row r="238">
      <c r="P238" s="2" t="inlineStr">
        <is>
          <t>KEYHAIR LABOR</t>
        </is>
      </c>
      <c r="R238" s="8">
        <f>SUM(R237:R237)</f>
        <v/>
      </c>
    </row>
    <row r="240">
      <c r="B240" s="2" t="inlineStr">
        <is>
          <t>ASSTHAIR</t>
        </is>
      </c>
    </row>
    <row r="241">
      <c r="A241" s="5" t="inlineStr">
        <is>
          <t>3112</t>
        </is>
      </c>
      <c r="B241" s="5" t="inlineStr">
        <is>
          <t>Yunea Cruz</t>
        </is>
      </c>
      <c r="C241" s="5" t="inlineStr">
        <is>
          <t>ASSTHAIRSTYLIST#1</t>
        </is>
      </c>
      <c r="D241" s="5" t="inlineStr">
        <is>
          <t>Local706</t>
        </is>
      </c>
      <c r="E241" s="6" t="n">
        <v>23.04</v>
      </c>
      <c r="F241" s="5" t="n"/>
      <c r="G241" s="5" t="n"/>
      <c r="H241" s="5" t="n"/>
      <c r="I241" s="5" t="n"/>
      <c r="J241" s="7">
        <f>IF(AND(N(F241)&gt;0,N(I241)&gt;0),I241-F241-IF(N(G241)&gt;0,0.5,0)-IF(N(H241)&gt;0,0.5,0),0)</f>
        <v/>
      </c>
      <c r="K241" s="5" t="n"/>
      <c r="L241" s="7">
        <f>MIN(J241,10.0)</f>
        <v/>
      </c>
      <c r="M241" s="7">
        <f>MAX(0,MIN(J241,12)-10.0)</f>
        <v/>
      </c>
      <c r="N241" s="7">
        <f>MAX(0,J241-12)</f>
        <v/>
      </c>
      <c r="O241" s="5" t="n"/>
      <c r="P241" s="6">
        <f>E241*(L241+M241*1.5+N241*2+O241*3+N(K241))</f>
        <v/>
      </c>
      <c r="Q241" s="6" t="n">
        <v>397.43</v>
      </c>
      <c r="R241" s="6">
        <f>Q241-P241</f>
        <v/>
      </c>
    </row>
    <row r="242">
      <c r="P242" s="2" t="inlineStr">
        <is>
          <t>ASSTHAIR LABOR</t>
        </is>
      </c>
      <c r="R242" s="8">
        <f>SUM(R241:R241)</f>
        <v/>
      </c>
    </row>
    <row r="244">
      <c r="B244" s="2" t="inlineStr">
        <is>
          <t>ADDITIONALHAIRLABOR</t>
        </is>
      </c>
    </row>
    <row r="245">
      <c r="A245" s="5" t="inlineStr">
        <is>
          <t>3113</t>
        </is>
      </c>
      <c r="B245" s="5" t="inlineStr"/>
      <c r="C245" s="5" t="inlineStr">
        <is>
          <t>ADDLHAIRSTYLISTDAYS</t>
        </is>
      </c>
      <c r="D245" s="5" t="inlineStr">
        <is>
          <t>Local706</t>
        </is>
      </c>
      <c r="E245" s="6" t="n">
        <v>23.04</v>
      </c>
      <c r="F245" s="5" t="n"/>
      <c r="G245" s="5" t="n"/>
      <c r="H245" s="5" t="n"/>
      <c r="I245" s="5" t="n"/>
      <c r="J245" s="7">
        <f>IF(AND(N(F245)&gt;0,N(I245)&gt;0),I245-F245-IF(N(G245)&gt;0,0.5,0)-IF(N(H245)&gt;0,0.5,0),0)</f>
        <v/>
      </c>
      <c r="K245" s="5" t="n"/>
      <c r="L245" s="7">
        <f>MIN(J245,10.0)</f>
        <v/>
      </c>
      <c r="M245" s="7">
        <f>MAX(0,MIN(J245,12)-10.0)</f>
        <v/>
      </c>
      <c r="N245" s="7">
        <f>MAX(0,J245-12)</f>
        <v/>
      </c>
      <c r="O245" s="5" t="n"/>
      <c r="P245" s="6">
        <f>E245*(L245+M245*1.5+N245*2+O245*3+N(K245))</f>
        <v/>
      </c>
      <c r="Q245" s="6" t="n">
        <v>397.43</v>
      </c>
      <c r="R245" s="6">
        <f>Q245-P245</f>
        <v/>
      </c>
    </row>
    <row r="246">
      <c r="P246" s="2" t="inlineStr">
        <is>
          <t>ADDITIONALHAIRLABOR LABOR</t>
        </is>
      </c>
      <c r="R246" s="8">
        <f>SUM(R245:R245)</f>
        <v/>
      </c>
    </row>
    <row r="248">
      <c r="B248" s="2" t="inlineStr">
        <is>
          <t>GAFFER</t>
        </is>
      </c>
    </row>
    <row r="249">
      <c r="A249" s="5" t="inlineStr">
        <is>
          <t>3201</t>
        </is>
      </c>
      <c r="B249" s="5" t="inlineStr">
        <is>
          <t>Nicholas Kaat</t>
        </is>
      </c>
      <c r="C249" s="5" t="inlineStr">
        <is>
          <t>GAFFER</t>
        </is>
      </c>
      <c r="D249" s="5" t="inlineStr">
        <is>
          <t>Local728</t>
        </is>
      </c>
      <c r="E249" s="6" t="n">
        <v>25.5</v>
      </c>
      <c r="F249" s="5" t="n"/>
      <c r="G249" s="5" t="n"/>
      <c r="H249" s="5" t="n"/>
      <c r="I249" s="5" t="n"/>
      <c r="J249" s="7">
        <f>IF(AND(N(F249)&gt;0,N(I249)&gt;0),I249-F249-IF(N(G249)&gt;0,0.5,0)-IF(N(H249)&gt;0,0.5,0),0)</f>
        <v/>
      </c>
      <c r="K249" s="5" t="n"/>
      <c r="L249" s="7">
        <f>MIN(J249,10.0)</f>
        <v/>
      </c>
      <c r="M249" s="7">
        <f>MAX(0,MIN(J249,12)-10.0)</f>
        <v/>
      </c>
      <c r="N249" s="7">
        <f>MAX(0,J249-12)</f>
        <v/>
      </c>
      <c r="O249" s="5" t="n"/>
      <c r="P249" s="6">
        <f>E249*(L249+M249*1.5+N249*2+O249*3+N(K249))</f>
        <v/>
      </c>
      <c r="Q249" s="6" t="n">
        <v>395.25</v>
      </c>
      <c r="R249" s="6">
        <f>Q249-P249</f>
        <v/>
      </c>
    </row>
    <row r="250">
      <c r="P250" s="2" t="inlineStr">
        <is>
          <t>GAFFER LABOR</t>
        </is>
      </c>
      <c r="R250" s="8">
        <f>SUM(R249:R249)</f>
        <v/>
      </c>
    </row>
    <row r="252">
      <c r="B252" s="2" t="inlineStr">
        <is>
          <t>BESTBOYELECTRIC</t>
        </is>
      </c>
    </row>
    <row r="253">
      <c r="A253" s="5" t="inlineStr">
        <is>
          <t>3202</t>
        </is>
      </c>
      <c r="B253" s="5" t="inlineStr">
        <is>
          <t>Nathan Fetzer</t>
        </is>
      </c>
      <c r="C253" s="5" t="inlineStr">
        <is>
          <t>BESTBOYELECTRIC</t>
        </is>
      </c>
      <c r="D253" s="5" t="inlineStr">
        <is>
          <t>Local728</t>
        </is>
      </c>
      <c r="E253" s="6" t="n">
        <v>23.04</v>
      </c>
      <c r="F253" s="5" t="n"/>
      <c r="G253" s="5" t="n"/>
      <c r="H253" s="5" t="n"/>
      <c r="I253" s="5" t="n"/>
      <c r="J253" s="7">
        <f>IF(AND(N(F253)&gt;0,N(I253)&gt;0),I253-F253-IF(N(G253)&gt;0,0.5,0)-IF(N(H253)&gt;0,0.5,0),0)</f>
        <v/>
      </c>
      <c r="K253" s="5" t="n"/>
      <c r="L253" s="7">
        <f>MIN(J253,10.0)</f>
        <v/>
      </c>
      <c r="M253" s="7">
        <f>MAX(0,MIN(J253,12)-10.0)</f>
        <v/>
      </c>
      <c r="N253" s="7">
        <f>MAX(0,J253-12)</f>
        <v/>
      </c>
      <c r="O253" s="5" t="n"/>
      <c r="P253" s="6">
        <f>E253*(L253+M253*1.5+N253*2+O253*3+N(K253))</f>
        <v/>
      </c>
      <c r="Q253" s="6" t="n">
        <v>357.12</v>
      </c>
      <c r="R253" s="6">
        <f>Q253-P253</f>
        <v/>
      </c>
    </row>
    <row r="254">
      <c r="A254" s="5" t="inlineStr">
        <is>
          <t>3202</t>
        </is>
      </c>
      <c r="B254" s="5" t="inlineStr"/>
      <c r="C254" s="5" t="inlineStr">
        <is>
          <t>STUDIOBESTBOYELECTRIC</t>
        </is>
      </c>
      <c r="D254" s="5" t="inlineStr">
        <is>
          <t>Local728</t>
        </is>
      </c>
      <c r="E254" s="6" t="n">
        <v>43.05</v>
      </c>
      <c r="F254" s="5" t="n"/>
      <c r="G254" s="5" t="n"/>
      <c r="H254" s="5" t="n"/>
      <c r="I254" s="5" t="n"/>
      <c r="J254" s="7">
        <f>IF(AND(N(F254)&gt;0,N(I254)&gt;0),I254-F254-IF(N(G254)&gt;0,0.5,0)-IF(N(H254)&gt;0,0.5,0),0)</f>
        <v/>
      </c>
      <c r="K254" s="5" t="n"/>
      <c r="L254" s="7">
        <f>MIN(J254,10.0)</f>
        <v/>
      </c>
      <c r="M254" s="7">
        <f>MAX(0,MIN(J254,12)-10.0)</f>
        <v/>
      </c>
      <c r="N254" s="7">
        <f>MAX(0,J254-12)</f>
        <v/>
      </c>
      <c r="O254" s="5" t="n"/>
      <c r="P254" s="6">
        <f>E254*(L254+M254*1.5+N254*2+O254*3+N(K254))</f>
        <v/>
      </c>
      <c r="Q254" s="6" t="n">
        <v>667.27</v>
      </c>
      <c r="R254" s="6">
        <f>Q254-P254</f>
        <v/>
      </c>
    </row>
    <row r="255">
      <c r="P255" s="2" t="inlineStr">
        <is>
          <t>BESTBOYELECTRIC LABOR</t>
        </is>
      </c>
      <c r="R255" s="8">
        <f>SUM(R253:R254)</f>
        <v/>
      </c>
    </row>
    <row r="257">
      <c r="B257" s="2" t="inlineStr">
        <is>
          <t>ELECTRICIANS</t>
        </is>
      </c>
    </row>
    <row r="258">
      <c r="A258" s="5" t="inlineStr">
        <is>
          <t>3204</t>
        </is>
      </c>
      <c r="B258" s="5" t="inlineStr"/>
      <c r="C258" s="5" t="inlineStr">
        <is>
          <t>ELECTRICIAN#1</t>
        </is>
      </c>
      <c r="D258" s="5" t="inlineStr">
        <is>
          <t>Local728</t>
        </is>
      </c>
      <c r="E258" s="6" t="n">
        <v>20.57</v>
      </c>
      <c r="F258" s="5" t="n"/>
      <c r="G258" s="5" t="n"/>
      <c r="H258" s="5" t="n"/>
      <c r="I258" s="5" t="n"/>
      <c r="J258" s="7">
        <f>IF(AND(N(F258)&gt;0,N(I258)&gt;0),I258-F258-IF(N(G258)&gt;0,0.5,0)-IF(N(H258)&gt;0,0.5,0),0)</f>
        <v/>
      </c>
      <c r="K258" s="5" t="n"/>
      <c r="L258" s="7">
        <f>MIN(J258,10.0)</f>
        <v/>
      </c>
      <c r="M258" s="7">
        <f>MAX(0,MIN(J258,12)-10.0)</f>
        <v/>
      </c>
      <c r="N258" s="7">
        <f>MAX(0,J258-12)</f>
        <v/>
      </c>
      <c r="O258" s="5" t="n"/>
      <c r="P258" s="6">
        <f>E258*(L258+M258*1.5+N258*2+O258*3+N(K258))</f>
        <v/>
      </c>
      <c r="Q258" s="6" t="n">
        <v>318.83</v>
      </c>
      <c r="R258" s="6">
        <f>Q258-P258</f>
        <v/>
      </c>
    </row>
    <row r="259">
      <c r="A259" s="5" t="inlineStr">
        <is>
          <t>3204</t>
        </is>
      </c>
      <c r="B259" s="5" t="inlineStr"/>
      <c r="C259" s="5" t="inlineStr">
        <is>
          <t>ELECTRICIAN#2</t>
        </is>
      </c>
      <c r="D259" s="5" t="inlineStr">
        <is>
          <t>Local728</t>
        </is>
      </c>
      <c r="E259" s="6" t="n">
        <v>20.57</v>
      </c>
      <c r="F259" s="5" t="n"/>
      <c r="G259" s="5" t="n"/>
      <c r="H259" s="5" t="n"/>
      <c r="I259" s="5" t="n"/>
      <c r="J259" s="7">
        <f>IF(AND(N(F259)&gt;0,N(I259)&gt;0),I259-F259-IF(N(G259)&gt;0,0.5,0)-IF(N(H259)&gt;0,0.5,0),0)</f>
        <v/>
      </c>
      <c r="K259" s="5" t="n"/>
      <c r="L259" s="7">
        <f>MIN(J259,10.0)</f>
        <v/>
      </c>
      <c r="M259" s="7">
        <f>MAX(0,MIN(J259,12)-10.0)</f>
        <v/>
      </c>
      <c r="N259" s="7">
        <f>MAX(0,J259-12)</f>
        <v/>
      </c>
      <c r="O259" s="5" t="n"/>
      <c r="P259" s="6">
        <f>E259*(L259+M259*1.5+N259*2+O259*3+N(K259))</f>
        <v/>
      </c>
      <c r="Q259" s="6" t="n">
        <v>318.83</v>
      </c>
      <c r="R259" s="6">
        <f>Q259-P259</f>
        <v/>
      </c>
    </row>
    <row r="260">
      <c r="A260" s="5" t="inlineStr">
        <is>
          <t>3204</t>
        </is>
      </c>
      <c r="B260" s="5" t="inlineStr"/>
      <c r="C260" s="5" t="inlineStr">
        <is>
          <t>ELECTRICIAN#3</t>
        </is>
      </c>
      <c r="D260" s="5" t="inlineStr">
        <is>
          <t>Local728</t>
        </is>
      </c>
      <c r="E260" s="6" t="n">
        <v>20.57</v>
      </c>
      <c r="F260" s="5" t="n"/>
      <c r="G260" s="5" t="n"/>
      <c r="H260" s="5" t="n"/>
      <c r="I260" s="5" t="n"/>
      <c r="J260" s="7">
        <f>IF(AND(N(F260)&gt;0,N(I260)&gt;0),I260-F260-IF(N(G260)&gt;0,0.5,0)-IF(N(H260)&gt;0,0.5,0),0)</f>
        <v/>
      </c>
      <c r="K260" s="5" t="n"/>
      <c r="L260" s="7">
        <f>MIN(J260,10.0)</f>
        <v/>
      </c>
      <c r="M260" s="7">
        <f>MAX(0,MIN(J260,12)-10.0)</f>
        <v/>
      </c>
      <c r="N260" s="7">
        <f>MAX(0,J260-12)</f>
        <v/>
      </c>
      <c r="O260" s="5" t="n"/>
      <c r="P260" s="6">
        <f>E260*(L260+M260*1.5+N260*2+O260*3+N(K260))</f>
        <v/>
      </c>
      <c r="Q260" s="6" t="n">
        <v>318.83</v>
      </c>
      <c r="R260" s="6">
        <f>Q260-P260</f>
        <v/>
      </c>
    </row>
    <row r="261">
      <c r="P261" s="2" t="inlineStr">
        <is>
          <t>ELECTRICIANS LABOR</t>
        </is>
      </c>
      <c r="R261" s="8">
        <f>SUM(R258:R260)</f>
        <v/>
      </c>
    </row>
    <row r="263">
      <c r="B263" s="2" t="inlineStr">
        <is>
          <t>ADDITIONALELECTRICLABOR</t>
        </is>
      </c>
    </row>
    <row r="264">
      <c r="A264" s="5" t="inlineStr">
        <is>
          <t>3206</t>
        </is>
      </c>
      <c r="B264" s="5" t="inlineStr"/>
      <c r="C264" s="5" t="inlineStr">
        <is>
          <t>ELECTRICMANDAYS&amp;RIGGINGMANDAYS</t>
        </is>
      </c>
      <c r="D264" s="5" t="inlineStr">
        <is>
          <t>Local728</t>
        </is>
      </c>
      <c r="E264" s="6" t="n">
        <v>20.57</v>
      </c>
      <c r="F264" s="5" t="n"/>
      <c r="G264" s="5" t="n"/>
      <c r="H264" s="5" t="n"/>
      <c r="I264" s="5" t="n"/>
      <c r="J264" s="7">
        <f>IF(AND(N(F264)&gt;0,N(I264)&gt;0),I264-F264-IF(N(G264)&gt;0,0.5,0)-IF(N(H264)&gt;0,0.5,0),0)</f>
        <v/>
      </c>
      <c r="K264" s="5" t="n"/>
      <c r="L264" s="7">
        <f>MIN(J264,10.0)</f>
        <v/>
      </c>
      <c r="M264" s="7">
        <f>MAX(0,MIN(J264,12)-10.0)</f>
        <v/>
      </c>
      <c r="N264" s="7">
        <f>MAX(0,J264-12)</f>
        <v/>
      </c>
      <c r="O264" s="5" t="n"/>
      <c r="P264" s="6">
        <f>E264*(L264+M264*1.5+N264*2+O264*3+N(K264))</f>
        <v/>
      </c>
      <c r="Q264" s="6" t="n">
        <v>318.83</v>
      </c>
      <c r="R264" s="6">
        <f>Q264-P264</f>
        <v/>
      </c>
    </row>
    <row r="265">
      <c r="P265" s="2" t="inlineStr">
        <is>
          <t>ADDITIONALELECTRICLABOR LABOR</t>
        </is>
      </c>
      <c r="R265" s="8">
        <f>SUM(R264:R264)</f>
        <v/>
      </c>
    </row>
    <row r="267">
      <c r="B267" s="2" t="inlineStr">
        <is>
          <t>DIRECTOROFPHOTOGRAPHY</t>
        </is>
      </c>
    </row>
    <row r="268">
      <c r="A268" s="5" t="inlineStr">
        <is>
          <t>3301</t>
        </is>
      </c>
      <c r="B268" s="5" t="inlineStr">
        <is>
          <t>Michael Burgess</t>
        </is>
      </c>
      <c r="C268" s="5" t="inlineStr">
        <is>
          <t>DIRECTOROFPHOTOGRAPHY</t>
        </is>
      </c>
      <c r="D268" s="5" t="inlineStr">
        <is>
          <t>Local600</t>
        </is>
      </c>
      <c r="E268" s="6" t="n">
        <v>700</v>
      </c>
      <c r="F268" s="5" t="n"/>
      <c r="G268" s="5" t="n"/>
      <c r="H268" s="5" t="n"/>
      <c r="I268" s="5" t="n"/>
      <c r="J268" s="7">
        <f>IF(AND(N(F268)&gt;0,N(I268)&gt;0),I268-F268-IF(N(G268)&gt;0,0.5,0)-IF(N(H268)&gt;0,0.5,0),0)</f>
        <v/>
      </c>
      <c r="K268" s="5" t="n"/>
      <c r="L268" s="7">
        <f>MIN(J268,8.0)</f>
        <v/>
      </c>
      <c r="M268" s="7">
        <f>MAX(0,MIN(J268,12)-8.0)</f>
        <v/>
      </c>
      <c r="N268" s="7">
        <f>MAX(0,J268-12)</f>
        <v/>
      </c>
      <c r="O268" s="5" t="n"/>
      <c r="P268" s="6">
        <f>E268*(L268+M268*1.5+N268*2+O268*3+N(K268))</f>
        <v/>
      </c>
      <c r="Q268" s="6" t="n">
        <v>700</v>
      </c>
      <c r="R268" s="6">
        <f>Q268-P268</f>
        <v/>
      </c>
    </row>
    <row r="269">
      <c r="P269" s="2" t="inlineStr">
        <is>
          <t>DIRECTOROFPHOTOGRAPHY LABOR</t>
        </is>
      </c>
      <c r="R269" s="8">
        <f>SUM(R268:R268)</f>
        <v/>
      </c>
    </row>
    <row r="271">
      <c r="B271" s="2" t="inlineStr">
        <is>
          <t>CAMERAOPERATORS</t>
        </is>
      </c>
    </row>
    <row r="272">
      <c r="A272" s="5" t="inlineStr">
        <is>
          <t>3302</t>
        </is>
      </c>
      <c r="B272" s="5" t="inlineStr">
        <is>
          <t>Craig Bauer</t>
        </is>
      </c>
      <c r="C272" s="5" t="inlineStr">
        <is>
          <t>"B"CAMERAOP</t>
        </is>
      </c>
      <c r="D272" s="5" t="inlineStr">
        <is>
          <t>Local600</t>
        </is>
      </c>
      <c r="E272" s="6" t="n">
        <v>45</v>
      </c>
      <c r="F272" s="5" t="n"/>
      <c r="G272" s="5" t="n"/>
      <c r="H272" s="5" t="n"/>
      <c r="I272" s="5" t="n"/>
      <c r="J272" s="7">
        <f>IF(AND(N(F272)&gt;0,N(I272)&gt;0),I272-F272-IF(N(G272)&gt;0,0.5,0)-IF(N(H272)&gt;0,0.5,0),0)</f>
        <v/>
      </c>
      <c r="K272" s="5" t="n"/>
      <c r="L272" s="7">
        <f>MIN(J272,8.0)</f>
        <v/>
      </c>
      <c r="M272" s="7">
        <f>MAX(0,MIN(J272,12)-8.0)</f>
        <v/>
      </c>
      <c r="N272" s="7">
        <f>MAX(0,J272-12)</f>
        <v/>
      </c>
      <c r="O272" s="5" t="n"/>
      <c r="P272" s="6">
        <f>E272*(L272+M272*1.5+N272*2+O272*3+N(K272))</f>
        <v/>
      </c>
      <c r="Q272" s="6" t="n">
        <v>630</v>
      </c>
      <c r="R272" s="6">
        <f>Q272-P272</f>
        <v/>
      </c>
    </row>
    <row r="273">
      <c r="P273" s="2" t="inlineStr">
        <is>
          <t>CAMERAOPERATORS LABOR</t>
        </is>
      </c>
      <c r="R273" s="8">
        <f>SUM(R272:R272)</f>
        <v/>
      </c>
    </row>
    <row r="275">
      <c r="B275" s="2" t="inlineStr">
        <is>
          <t>DIGITALIMAGINGTECHS</t>
        </is>
      </c>
    </row>
    <row r="276">
      <c r="A276" s="5" t="inlineStr">
        <is>
          <t>3304</t>
        </is>
      </c>
      <c r="B276" s="5" t="inlineStr">
        <is>
          <t>Oliver Mancebo</t>
        </is>
      </c>
      <c r="C276" s="5" t="inlineStr">
        <is>
          <t>DIT</t>
        </is>
      </c>
      <c r="D276" s="5" t="inlineStr">
        <is>
          <t>Local600</t>
        </is>
      </c>
      <c r="E276" s="6" t="n">
        <v>35</v>
      </c>
      <c r="F276" s="5" t="n"/>
      <c r="G276" s="5" t="n"/>
      <c r="H276" s="5" t="n"/>
      <c r="I276" s="5" t="n"/>
      <c r="J276" s="7">
        <f>IF(AND(N(F276)&gt;0,N(I276)&gt;0),I276-F276-IF(N(G276)&gt;0,0.5,0)-IF(N(H276)&gt;0,0.5,0),0)</f>
        <v/>
      </c>
      <c r="K276" s="5" t="n"/>
      <c r="L276" s="7">
        <f>MIN(J276,8.0)</f>
        <v/>
      </c>
      <c r="M276" s="7">
        <f>MAX(0,MIN(J276,12)-8.0)</f>
        <v/>
      </c>
      <c r="N276" s="7">
        <f>MAX(0,J276-12)</f>
        <v/>
      </c>
      <c r="O276" s="5" t="n"/>
      <c r="P276" s="6">
        <f>E276*(L276+M276*1.5+N276*2+O276*3+N(K276))</f>
        <v/>
      </c>
      <c r="Q276" s="6" t="n">
        <v>542.5</v>
      </c>
      <c r="R276" s="6">
        <f>Q276-P276</f>
        <v/>
      </c>
    </row>
    <row r="277">
      <c r="P277" s="2" t="inlineStr">
        <is>
          <t>DIGITALIMAGINGTECHS LABOR</t>
        </is>
      </c>
      <c r="R277" s="8">
        <f>SUM(R276:R276)</f>
        <v/>
      </c>
    </row>
    <row r="279">
      <c r="B279" s="2" t="inlineStr">
        <is>
          <t>1STASSTCAMERA</t>
        </is>
      </c>
    </row>
    <row r="280">
      <c r="A280" s="5" t="inlineStr">
        <is>
          <t>3305</t>
        </is>
      </c>
      <c r="B280" s="5" t="inlineStr">
        <is>
          <t>Steve Cueva</t>
        </is>
      </c>
      <c r="C280" s="5" t="inlineStr">
        <is>
          <t>"A"CAMERA 1STAC</t>
        </is>
      </c>
      <c r="D280" s="5" t="inlineStr">
        <is>
          <t>Local600</t>
        </is>
      </c>
      <c r="E280" s="6" t="n">
        <v>25.5</v>
      </c>
      <c r="F280" s="5" t="n"/>
      <c r="G280" s="5" t="n"/>
      <c r="H280" s="5" t="n"/>
      <c r="I280" s="5" t="n"/>
      <c r="J280" s="7">
        <f>IF(AND(N(F280)&gt;0,N(I280)&gt;0),I280-F280-IF(N(G280)&gt;0,0.5,0)-IF(N(H280)&gt;0,0.5,0),0)</f>
        <v/>
      </c>
      <c r="K280" s="5" t="n"/>
      <c r="L280" s="7">
        <f>MIN(J280,8.0)</f>
        <v/>
      </c>
      <c r="M280" s="7">
        <f>MAX(0,MIN(J280,12)-8.0)</f>
        <v/>
      </c>
      <c r="N280" s="7">
        <f>MAX(0,J280-12)</f>
        <v/>
      </c>
      <c r="O280" s="5" t="n"/>
      <c r="P280" s="6">
        <f>E280*(L280+M280*1.5+N280*2+O280*3+N(K280))</f>
        <v/>
      </c>
      <c r="Q280" s="6" t="n">
        <v>395.25</v>
      </c>
      <c r="R280" s="6">
        <f>Q280-P280</f>
        <v/>
      </c>
    </row>
    <row r="281">
      <c r="A281" s="5" t="inlineStr">
        <is>
          <t>3305</t>
        </is>
      </c>
      <c r="B281" s="5" t="inlineStr">
        <is>
          <t>Chris Garcia</t>
        </is>
      </c>
      <c r="C281" s="5" t="inlineStr">
        <is>
          <t>"B"CAMERA 1STAC</t>
        </is>
      </c>
      <c r="D281" s="5" t="inlineStr">
        <is>
          <t>Local600</t>
        </is>
      </c>
      <c r="E281" s="6" t="n">
        <v>25.5</v>
      </c>
      <c r="F281" s="5" t="n"/>
      <c r="G281" s="5" t="n"/>
      <c r="H281" s="5" t="n"/>
      <c r="I281" s="5" t="n"/>
      <c r="J281" s="7">
        <f>IF(AND(N(F281)&gt;0,N(I281)&gt;0),I281-F281-IF(N(G281)&gt;0,0.5,0)-IF(N(H281)&gt;0,0.5,0),0)</f>
        <v/>
      </c>
      <c r="K281" s="5" t="n"/>
      <c r="L281" s="7">
        <f>MIN(J281,8.0)</f>
        <v/>
      </c>
      <c r="M281" s="7">
        <f>MAX(0,MIN(J281,12)-8.0)</f>
        <v/>
      </c>
      <c r="N281" s="7">
        <f>MAX(0,J281-12)</f>
        <v/>
      </c>
      <c r="O281" s="5" t="n"/>
      <c r="P281" s="6">
        <f>E281*(L281+M281*1.5+N281*2+O281*3+N(K281))</f>
        <v/>
      </c>
      <c r="Q281" s="6" t="n">
        <v>395.25</v>
      </c>
      <c r="R281" s="6">
        <f>Q281-P281</f>
        <v/>
      </c>
    </row>
    <row r="282">
      <c r="P282" s="2" t="inlineStr">
        <is>
          <t>1STASSTCAMERA LABOR</t>
        </is>
      </c>
      <c r="R282" s="8">
        <f>SUM(R280:R281)</f>
        <v/>
      </c>
    </row>
    <row r="284">
      <c r="B284" s="2" t="inlineStr">
        <is>
          <t>2NDASSTCAMERA</t>
        </is>
      </c>
    </row>
    <row r="285">
      <c r="A285" s="5" t="inlineStr">
        <is>
          <t>3306</t>
        </is>
      </c>
      <c r="B285" s="5" t="inlineStr">
        <is>
          <t>Manny Serrano</t>
        </is>
      </c>
      <c r="C285" s="5" t="inlineStr">
        <is>
          <t>"A"CAMERA 2NDAC</t>
        </is>
      </c>
      <c r="D285" s="5" t="inlineStr">
        <is>
          <t>Local600</t>
        </is>
      </c>
      <c r="E285" s="6" t="n">
        <v>23.04</v>
      </c>
      <c r="F285" s="5" t="n"/>
      <c r="G285" s="5" t="n"/>
      <c r="H285" s="5" t="n"/>
      <c r="I285" s="5" t="n"/>
      <c r="J285" s="7">
        <f>IF(AND(N(F285)&gt;0,N(I285)&gt;0),I285-F285-IF(N(G285)&gt;0,0.5,0)-IF(N(H285)&gt;0,0.5,0),0)</f>
        <v/>
      </c>
      <c r="K285" s="5" t="n"/>
      <c r="L285" s="7">
        <f>MIN(J285,8.0)</f>
        <v/>
      </c>
      <c r="M285" s="7">
        <f>MAX(0,MIN(J285,12)-8.0)</f>
        <v/>
      </c>
      <c r="N285" s="7">
        <f>MAX(0,J285-12)</f>
        <v/>
      </c>
      <c r="O285" s="5" t="n"/>
      <c r="P285" s="6">
        <f>E285*(L285+M285*1.5+N285*2+O285*3+N(K285))</f>
        <v/>
      </c>
      <c r="Q285" s="6" t="n">
        <v>357.12</v>
      </c>
      <c r="R285" s="6">
        <f>Q285-P285</f>
        <v/>
      </c>
    </row>
    <row r="286">
      <c r="A286" s="5" t="inlineStr">
        <is>
          <t>3306</t>
        </is>
      </c>
      <c r="B286" s="5" t="inlineStr"/>
      <c r="C286" s="5" t="inlineStr">
        <is>
          <t>"B"CAMERA 2NDAC</t>
        </is>
      </c>
      <c r="D286" s="5" t="inlineStr">
        <is>
          <t>Local600</t>
        </is>
      </c>
      <c r="E286" s="6" t="n">
        <v>23.04</v>
      </c>
      <c r="F286" s="5" t="n"/>
      <c r="G286" s="5" t="n"/>
      <c r="H286" s="5" t="n"/>
      <c r="I286" s="5" t="n"/>
      <c r="J286" s="7">
        <f>IF(AND(N(F286)&gt;0,N(I286)&gt;0),I286-F286-IF(N(G286)&gt;0,0.5,0)-IF(N(H286)&gt;0,0.5,0),0)</f>
        <v/>
      </c>
      <c r="K286" s="5" t="n"/>
      <c r="L286" s="7">
        <f>MIN(J286,8.0)</f>
        <v/>
      </c>
      <c r="M286" s="7">
        <f>MAX(0,MIN(J286,12)-8.0)</f>
        <v/>
      </c>
      <c r="N286" s="7">
        <f>MAX(0,J286-12)</f>
        <v/>
      </c>
      <c r="O286" s="5" t="n"/>
      <c r="P286" s="6">
        <f>E286*(L286+M286*1.5+N286*2+O286*3+N(K286))</f>
        <v/>
      </c>
      <c r="Q286" s="6" t="n">
        <v>357.12</v>
      </c>
      <c r="R286" s="6">
        <f>Q286-P286</f>
        <v/>
      </c>
    </row>
    <row r="287">
      <c r="P287" s="2" t="inlineStr">
        <is>
          <t>2NDASSTCAMERA LABOR</t>
        </is>
      </c>
      <c r="R287" s="8">
        <f>SUM(R285:R286)</f>
        <v/>
      </c>
    </row>
    <row r="289">
      <c r="B289" s="2" t="inlineStr">
        <is>
          <t>STILLPHOTOGRAPHER</t>
        </is>
      </c>
    </row>
    <row r="290">
      <c r="A290" s="5" t="inlineStr">
        <is>
          <t>3308</t>
        </is>
      </c>
      <c r="B290" s="5" t="inlineStr">
        <is>
          <t>Scott Patrick Green</t>
        </is>
      </c>
      <c r="C290" s="5" t="inlineStr">
        <is>
          <t>STILLPHOTOGRAPHER</t>
        </is>
      </c>
      <c r="D290" s="5" t="inlineStr">
        <is>
          <t>Local600</t>
        </is>
      </c>
      <c r="E290" s="6" t="n">
        <v>26.5</v>
      </c>
      <c r="F290" s="5" t="n"/>
      <c r="G290" s="5" t="n"/>
      <c r="H290" s="5" t="n"/>
      <c r="I290" s="5" t="n"/>
      <c r="J290" s="7">
        <f>IF(AND(N(F290)&gt;0,N(I290)&gt;0),I290-F290-IF(N(G290)&gt;0,0.5,0)-IF(N(H290)&gt;0,0.5,0),0)</f>
        <v/>
      </c>
      <c r="K290" s="5" t="n"/>
      <c r="L290" s="7">
        <f>MIN(J290,8.0)</f>
        <v/>
      </c>
      <c r="M290" s="7">
        <f>MAX(0,MIN(J290,12)-8.0)</f>
        <v/>
      </c>
      <c r="N290" s="7">
        <f>MAX(0,J290-12)</f>
        <v/>
      </c>
      <c r="O290" s="5" t="n"/>
      <c r="P290" s="6">
        <f>E290*(L290+M290*1.5+N290*2+O290*3+N(K290))</f>
        <v/>
      </c>
      <c r="Q290" s="6" t="n">
        <v>291.5</v>
      </c>
      <c r="R290" s="6">
        <f>Q290-P290</f>
        <v/>
      </c>
    </row>
    <row r="291">
      <c r="P291" s="2" t="inlineStr">
        <is>
          <t>STILLPHOTOGRAPHER LABOR</t>
        </is>
      </c>
      <c r="R291" s="8">
        <f>SUM(R290:R290)</f>
        <v/>
      </c>
    </row>
    <row r="293">
      <c r="B293" s="2" t="inlineStr">
        <is>
          <t>AERIAL/UNDERWATERPHOTOGRAPHY</t>
        </is>
      </c>
    </row>
    <row r="294">
      <c r="A294" s="5" t="inlineStr">
        <is>
          <t>3385</t>
        </is>
      </c>
      <c r="B294" s="5" t="inlineStr"/>
      <c r="C294" s="5" t="inlineStr">
        <is>
          <t>UNDERWATEROPERATOR</t>
        </is>
      </c>
      <c r="D294" s="5" t="inlineStr">
        <is>
          <t>Local600</t>
        </is>
      </c>
      <c r="E294" s="6" t="n">
        <v>65</v>
      </c>
      <c r="F294" s="5" t="n"/>
      <c r="G294" s="5" t="n"/>
      <c r="H294" s="5" t="n"/>
      <c r="I294" s="5" t="n"/>
      <c r="J294" s="7">
        <f>IF(AND(N(F294)&gt;0,N(I294)&gt;0),I294-F294-IF(N(G294)&gt;0,0.5,0)-IF(N(H294)&gt;0,0.5,0),0)</f>
        <v/>
      </c>
      <c r="K294" s="5" t="n"/>
      <c r="L294" s="7">
        <f>MIN(J294,8.0)</f>
        <v/>
      </c>
      <c r="M294" s="7">
        <f>MAX(0,MIN(J294,12)-8.0)</f>
        <v/>
      </c>
      <c r="N294" s="7">
        <f>MAX(0,J294-12)</f>
        <v/>
      </c>
      <c r="O294" s="5" t="n"/>
      <c r="P294" s="6">
        <f>E294*(L294+M294*1.5+N294*2+O294*3+N(K294))</f>
        <v/>
      </c>
      <c r="Q294" s="6" t="n">
        <v>910</v>
      </c>
      <c r="R294" s="6">
        <f>Q294-P294</f>
        <v/>
      </c>
    </row>
    <row r="295">
      <c r="P295" s="2" t="inlineStr">
        <is>
          <t>AERIAL/UNDERWATERPHOTOGRAPHY LABOR</t>
        </is>
      </c>
      <c r="R295" s="8">
        <f>SUM(R294:R294)</f>
        <v/>
      </c>
    </row>
    <row r="297">
      <c r="B297" s="2" t="inlineStr">
        <is>
          <t>SOUNDMIXER</t>
        </is>
      </c>
    </row>
    <row r="298">
      <c r="A298" s="5" t="inlineStr">
        <is>
          <t>3401</t>
        </is>
      </c>
      <c r="B298" s="5" t="inlineStr">
        <is>
          <t>Julian Howarth</t>
        </is>
      </c>
      <c r="C298" s="5" t="inlineStr">
        <is>
          <t>SOUNDMIXER</t>
        </is>
      </c>
      <c r="D298" s="5" t="inlineStr">
        <is>
          <t>Local695</t>
        </is>
      </c>
      <c r="E298" s="6" t="n">
        <v>26.5</v>
      </c>
      <c r="F298" s="5" t="n"/>
      <c r="G298" s="5" t="n"/>
      <c r="H298" s="5" t="n"/>
      <c r="I298" s="5" t="n"/>
      <c r="J298" s="7">
        <f>IF(AND(N(F298)&gt;0,N(I298)&gt;0),I298-F298-IF(N(G298)&gt;0,0.5,0)-IF(N(H298)&gt;0,0.5,0),0)</f>
        <v/>
      </c>
      <c r="K298" s="5" t="n"/>
      <c r="L298" s="7">
        <f>MIN(J298,10.0)</f>
        <v/>
      </c>
      <c r="M298" s="7">
        <f>MAX(0,MIN(J298,12)-10.0)</f>
        <v/>
      </c>
      <c r="N298" s="7">
        <f>MAX(0,J298-12)</f>
        <v/>
      </c>
      <c r="O298" s="5" t="n"/>
      <c r="P298" s="6">
        <f>E298*(L298+M298*1.5+N298*2+O298*3+N(K298))</f>
        <v/>
      </c>
      <c r="Q298" s="6" t="n">
        <v>410.75</v>
      </c>
      <c r="R298" s="6">
        <f>Q298-P298</f>
        <v/>
      </c>
    </row>
    <row r="299">
      <c r="P299" s="2" t="inlineStr">
        <is>
          <t>SOUNDMIXER LABOR</t>
        </is>
      </c>
      <c r="R299" s="8">
        <f>SUM(R298:R298)</f>
        <v/>
      </c>
    </row>
    <row r="301">
      <c r="B301" s="2" t="inlineStr">
        <is>
          <t>BOOMOPERATOR</t>
        </is>
      </c>
    </row>
    <row r="302">
      <c r="A302" s="5" t="inlineStr">
        <is>
          <t>3402</t>
        </is>
      </c>
      <c r="B302" s="5" t="inlineStr">
        <is>
          <t>Tim Song Jones</t>
        </is>
      </c>
      <c r="C302" s="5" t="inlineStr">
        <is>
          <t>BOOMOPERATOR</t>
        </is>
      </c>
      <c r="D302" s="5" t="inlineStr">
        <is>
          <t>Local695</t>
        </is>
      </c>
      <c r="E302" s="6" t="n">
        <v>23.04</v>
      </c>
      <c r="F302" s="5" t="n"/>
      <c r="G302" s="5" t="n"/>
      <c r="H302" s="5" t="n"/>
      <c r="I302" s="5" t="n"/>
      <c r="J302" s="7">
        <f>IF(AND(N(F302)&gt;0,N(I302)&gt;0),I302-F302-IF(N(G302)&gt;0,0.5,0)-IF(N(H302)&gt;0,0.5,0),0)</f>
        <v/>
      </c>
      <c r="K302" s="5" t="n"/>
      <c r="L302" s="7">
        <f>MIN(J302,10.0)</f>
        <v/>
      </c>
      <c r="M302" s="7">
        <f>MAX(0,MIN(J302,12)-10.0)</f>
        <v/>
      </c>
      <c r="N302" s="7">
        <f>MAX(0,J302-12)</f>
        <v/>
      </c>
      <c r="O302" s="5" t="n"/>
      <c r="P302" s="6">
        <f>E302*(L302+M302*1.5+N302*2+O302*3+N(K302))</f>
        <v/>
      </c>
      <c r="Q302" s="6" t="n">
        <v>357.12</v>
      </c>
      <c r="R302" s="6">
        <f>Q302-P302</f>
        <v/>
      </c>
    </row>
    <row r="303">
      <c r="P303" s="2" t="inlineStr">
        <is>
          <t>BOOMOPERATOR LABOR</t>
        </is>
      </c>
      <c r="R303" s="8">
        <f>SUM(R302:R302)</f>
        <v/>
      </c>
    </row>
    <row r="305">
      <c r="B305" s="2" t="inlineStr">
        <is>
          <t>CABLEPERSON</t>
        </is>
      </c>
    </row>
    <row r="306">
      <c r="A306" s="5" t="inlineStr">
        <is>
          <t>3403</t>
        </is>
      </c>
      <c r="B306" s="5" t="inlineStr"/>
      <c r="C306" s="5" t="inlineStr">
        <is>
          <t>UTILITYSOUND</t>
        </is>
      </c>
      <c r="D306" s="5" t="inlineStr">
        <is>
          <t>Local695</t>
        </is>
      </c>
      <c r="E306" s="6" t="n">
        <v>20.57</v>
      </c>
      <c r="F306" s="5" t="n"/>
      <c r="G306" s="5" t="n"/>
      <c r="H306" s="5" t="n"/>
      <c r="I306" s="5" t="n"/>
      <c r="J306" s="7">
        <f>IF(AND(N(F306)&gt;0,N(I306)&gt;0),I306-F306-IF(N(G306)&gt;0,0.5,0)-IF(N(H306)&gt;0,0.5,0),0)</f>
        <v/>
      </c>
      <c r="K306" s="5" t="n"/>
      <c r="L306" s="7">
        <f>MIN(J306,10.0)</f>
        <v/>
      </c>
      <c r="M306" s="7">
        <f>MAX(0,MIN(J306,12)-10.0)</f>
        <v/>
      </c>
      <c r="N306" s="7">
        <f>MAX(0,J306-12)</f>
        <v/>
      </c>
      <c r="O306" s="5" t="n"/>
      <c r="P306" s="6">
        <f>E306*(L306+M306*1.5+N306*2+O306*3+N(K306))</f>
        <v/>
      </c>
      <c r="Q306" s="6" t="n">
        <v>318.83</v>
      </c>
      <c r="R306" s="6">
        <f>Q306-P306</f>
        <v/>
      </c>
    </row>
    <row r="307">
      <c r="P307" s="2" t="inlineStr">
        <is>
          <t>CABLEPERSON LABOR</t>
        </is>
      </c>
      <c r="R307" s="8">
        <f>SUM(R306:R306)</f>
        <v/>
      </c>
    </row>
    <row r="309">
      <c r="B309" s="2" t="inlineStr">
        <is>
          <t>VIDEOASSIST</t>
        </is>
      </c>
    </row>
    <row r="310">
      <c r="A310" s="5" t="inlineStr">
        <is>
          <t>3404</t>
        </is>
      </c>
      <c r="B310" s="5" t="inlineStr">
        <is>
          <t>Jeff Snyder</t>
        </is>
      </c>
      <c r="C310" s="5" t="inlineStr">
        <is>
          <t>VIDEOASSISTOPERATOR</t>
        </is>
      </c>
      <c r="D310" s="5" t="inlineStr">
        <is>
          <t>Local695</t>
        </is>
      </c>
      <c r="E310" s="6" t="n">
        <v>23.04</v>
      </c>
      <c r="F310" s="5" t="n"/>
      <c r="G310" s="5" t="n"/>
      <c r="H310" s="5" t="n"/>
      <c r="I310" s="5" t="n"/>
      <c r="J310" s="7">
        <f>IF(AND(N(F310)&gt;0,N(I310)&gt;0),I310-F310-IF(N(G310)&gt;0,0.5,0)-IF(N(H310)&gt;0,0.5,0),0)</f>
        <v/>
      </c>
      <c r="K310" s="5" t="n"/>
      <c r="L310" s="7">
        <f>MIN(J310,10.0)</f>
        <v/>
      </c>
      <c r="M310" s="7">
        <f>MAX(0,MIN(J310,12)-10.0)</f>
        <v/>
      </c>
      <c r="N310" s="7">
        <f>MAX(0,J310-12)</f>
        <v/>
      </c>
      <c r="O310" s="5" t="n"/>
      <c r="P310" s="6">
        <f>E310*(L310+M310*1.5+N310*2+O310*3+N(K310))</f>
        <v/>
      </c>
      <c r="Q310" s="6" t="n">
        <v>357.12</v>
      </c>
      <c r="R310" s="6">
        <f>Q310-P310</f>
        <v/>
      </c>
    </row>
    <row r="311">
      <c r="P311" s="2" t="inlineStr">
        <is>
          <t>VIDEOASSIST LABOR</t>
        </is>
      </c>
      <c r="R311" s="8">
        <f>SUM(R310:R310)</f>
        <v/>
      </c>
    </row>
    <row r="313">
      <c r="B313" s="2" t="inlineStr">
        <is>
          <t>CAPTAIN</t>
        </is>
      </c>
    </row>
    <row r="314">
      <c r="A314" s="5" t="inlineStr">
        <is>
          <t>3502</t>
        </is>
      </c>
      <c r="B314" s="5" t="inlineStr">
        <is>
          <t>Kevin Caira</t>
        </is>
      </c>
      <c r="C314" s="5" t="inlineStr">
        <is>
          <t>TRANSPOCAPTAIN(LA)</t>
        </is>
      </c>
      <c r="D314" s="5" t="inlineStr">
        <is>
          <t>Local399</t>
        </is>
      </c>
      <c r="E314" s="6" t="n">
        <v>37.21</v>
      </c>
      <c r="F314" s="5" t="n"/>
      <c r="G314" s="5" t="n"/>
      <c r="H314" s="5" t="n"/>
      <c r="I314" s="5" t="n"/>
      <c r="J314" s="7">
        <f>IF(AND(N(F314)&gt;0,N(I314)&gt;0),I314-F314-IF(N(G314)&gt;0,0.5,0)-IF(N(H314)&gt;0,0.5,0),0)</f>
        <v/>
      </c>
      <c r="K314" s="5" t="n"/>
      <c r="L314" s="7">
        <f>MIN(J314,8.0)</f>
        <v/>
      </c>
      <c r="M314" s="7">
        <f>MAX(0,MIN(J314,12)-8.0)</f>
        <v/>
      </c>
      <c r="N314" s="7">
        <f>MAX(0,J314-12)</f>
        <v/>
      </c>
      <c r="O314" s="5" t="n"/>
      <c r="P314" s="6">
        <f>E314*(L314+M314*1.5+N314*2+O314*3+N(K314))</f>
        <v/>
      </c>
      <c r="Q314" s="6" t="n">
        <v>651.17</v>
      </c>
      <c r="R314" s="6">
        <f>Q314-P314</f>
        <v/>
      </c>
    </row>
    <row r="315">
      <c r="A315" s="5" t="inlineStr">
        <is>
          <t>3502</t>
        </is>
      </c>
      <c r="B315" s="5" t="inlineStr">
        <is>
          <t>Tina Peterson</t>
        </is>
      </c>
      <c r="C315" s="5" t="inlineStr">
        <is>
          <t>CO-CAPTAIN</t>
        </is>
      </c>
      <c r="D315" s="5" t="inlineStr">
        <is>
          <t>Local399</t>
        </is>
      </c>
      <c r="E315" s="6" t="n">
        <v>37.21</v>
      </c>
      <c r="F315" s="5" t="n"/>
      <c r="G315" s="5" t="n"/>
      <c r="H315" s="5" t="n"/>
      <c r="I315" s="5" t="n"/>
      <c r="J315" s="7">
        <f>IF(AND(N(F315)&gt;0,N(I315)&gt;0),I315-F315-IF(N(G315)&gt;0,0.5,0)-IF(N(H315)&gt;0,0.5,0),0)</f>
        <v/>
      </c>
      <c r="K315" s="5" t="n"/>
      <c r="L315" s="7">
        <f>MIN(J315,8.0)</f>
        <v/>
      </c>
      <c r="M315" s="7">
        <f>MAX(0,MIN(J315,12)-8.0)</f>
        <v/>
      </c>
      <c r="N315" s="7">
        <f>MAX(0,J315-12)</f>
        <v/>
      </c>
      <c r="O315" s="5" t="n"/>
      <c r="P315" s="6">
        <f>E315*(L315+M315*1.5+N315*2+O315*3+N(K315))</f>
        <v/>
      </c>
      <c r="Q315" s="6" t="n">
        <v>576.75</v>
      </c>
      <c r="R315" s="6">
        <f>Q315-P315</f>
        <v/>
      </c>
    </row>
    <row r="316">
      <c r="P316" s="2" t="inlineStr">
        <is>
          <t>CAPTAIN LABOR</t>
        </is>
      </c>
      <c r="R316" s="8">
        <f>SUM(R314:R315)</f>
        <v/>
      </c>
    </row>
    <row r="318">
      <c r="B318" s="2" t="inlineStr">
        <is>
          <t>DRIVERS</t>
        </is>
      </c>
    </row>
    <row r="319">
      <c r="A319" s="5" t="inlineStr">
        <is>
          <t>3503</t>
        </is>
      </c>
      <c r="B319" s="5" t="inlineStr"/>
      <c r="C319" s="5" t="inlineStr">
        <is>
          <t>GRIPTRUCK 48'TRACTORTRAILERDRIVER</t>
        </is>
      </c>
      <c r="D319" s="5" t="inlineStr"/>
      <c r="E319" s="6" t="n">
        <v>32.36</v>
      </c>
      <c r="F319" s="5" t="n"/>
      <c r="G319" s="5" t="n"/>
      <c r="H319" s="5" t="n"/>
      <c r="I319" s="5" t="n"/>
      <c r="J319" s="7">
        <f>IF(AND(N(F319)&gt;0,N(I319)&gt;0),I319-F319-IF(N(G319)&gt;0,0.5,0)-IF(N(H319)&gt;0,0.5,0),0)</f>
        <v/>
      </c>
      <c r="K319" s="5" t="n"/>
      <c r="L319" s="7">
        <f>MIN(J319,8.0)</f>
        <v/>
      </c>
      <c r="M319" s="7">
        <f>MAX(0,MIN(J319,12)-8.0)</f>
        <v/>
      </c>
      <c r="N319" s="7">
        <f>MAX(0,J319-12)</f>
        <v/>
      </c>
      <c r="O319" s="5" t="n"/>
      <c r="P319" s="6">
        <f>E319*(L319+M319*1.5+N319*2+O319*3+N(K319))</f>
        <v/>
      </c>
      <c r="Q319" s="6" t="n">
        <v>501.58</v>
      </c>
      <c r="R319" s="6">
        <f>Q319-P319</f>
        <v/>
      </c>
    </row>
    <row r="320">
      <c r="A320" s="5" t="inlineStr">
        <is>
          <t>3503</t>
        </is>
      </c>
      <c r="B320" s="5" t="inlineStr">
        <is>
          <t>Donald Wilson</t>
        </is>
      </c>
      <c r="C320" s="5" t="inlineStr">
        <is>
          <t>PROP 5-TON(ENCLOSED)</t>
        </is>
      </c>
      <c r="D320" s="5" t="inlineStr"/>
      <c r="E320" s="6" t="n">
        <v>32.36</v>
      </c>
      <c r="F320" s="5" t="n"/>
      <c r="G320" s="5" t="n"/>
      <c r="H320" s="5" t="n"/>
      <c r="I320" s="5" t="n"/>
      <c r="J320" s="7">
        <f>IF(AND(N(F320)&gt;0,N(I320)&gt;0),I320-F320-IF(N(G320)&gt;0,0.5,0)-IF(N(H320)&gt;0,0.5,0),0)</f>
        <v/>
      </c>
      <c r="K320" s="5" t="n"/>
      <c r="L320" s="7">
        <f>MIN(J320,8.0)</f>
        <v/>
      </c>
      <c r="M320" s="7">
        <f>MAX(0,MIN(J320,12)-8.0)</f>
        <v/>
      </c>
      <c r="N320" s="7">
        <f>MAX(0,J320-12)</f>
        <v/>
      </c>
      <c r="O320" s="5" t="n"/>
      <c r="P320" s="6">
        <f>E320*(L320+M320*1.5+N320*2+O320*3+N(K320))</f>
        <v/>
      </c>
      <c r="Q320" s="6" t="n">
        <v>501.58</v>
      </c>
      <c r="R320" s="6">
        <f>Q320-P320</f>
        <v/>
      </c>
    </row>
    <row r="321">
      <c r="A321" s="5" t="inlineStr">
        <is>
          <t>3503</t>
        </is>
      </c>
      <c r="B321" s="5" t="inlineStr"/>
      <c r="C321" s="5" t="inlineStr">
        <is>
          <t>WARDROBESTAKEBEDDRIVER#1</t>
        </is>
      </c>
      <c r="D321" s="5" t="inlineStr"/>
      <c r="E321" s="6" t="n">
        <v>37.99</v>
      </c>
      <c r="F321" s="5" t="n"/>
      <c r="G321" s="5" t="n"/>
      <c r="H321" s="5" t="n"/>
      <c r="I321" s="5" t="n"/>
      <c r="J321" s="7">
        <f>IF(AND(N(F321)&gt;0,N(I321)&gt;0),I321-F321-IF(N(G321)&gt;0,0.5,0)-IF(N(H321)&gt;0,0.5,0),0)</f>
        <v/>
      </c>
      <c r="K321" s="5" t="n"/>
      <c r="L321" s="7">
        <f>MIN(J321,8.0)</f>
        <v/>
      </c>
      <c r="M321" s="7">
        <f>MAX(0,MIN(J321,12)-8.0)</f>
        <v/>
      </c>
      <c r="N321" s="7">
        <f>MAX(0,J321-12)</f>
        <v/>
      </c>
      <c r="O321" s="5" t="n"/>
      <c r="P321" s="6">
        <f>E321*(L321+M321*1.5+N321*2+O321*3+N(K321))</f>
        <v/>
      </c>
      <c r="Q321" s="6" t="n">
        <v>588.85</v>
      </c>
      <c r="R321" s="6">
        <f>Q321-P321</f>
        <v/>
      </c>
    </row>
    <row r="322">
      <c r="A322" s="5" t="inlineStr">
        <is>
          <t>3503</t>
        </is>
      </c>
      <c r="B322" s="5" t="inlineStr"/>
      <c r="C322" s="5" t="inlineStr">
        <is>
          <t>MAKEUPHAIRTRAILERDRIVER</t>
        </is>
      </c>
      <c r="D322" s="5" t="inlineStr"/>
      <c r="E322" s="6" t="n">
        <v>32.36</v>
      </c>
      <c r="F322" s="5" t="n"/>
      <c r="G322" s="5" t="n"/>
      <c r="H322" s="5" t="n"/>
      <c r="I322" s="5" t="n"/>
      <c r="J322" s="7">
        <f>IF(AND(N(F322)&gt;0,N(I322)&gt;0),I322-F322-IF(N(G322)&gt;0,0.5,0)-IF(N(H322)&gt;0,0.5,0),0)</f>
        <v/>
      </c>
      <c r="K322" s="5" t="n"/>
      <c r="L322" s="7">
        <f>MIN(J322,8.0)</f>
        <v/>
      </c>
      <c r="M322" s="7">
        <f>MAX(0,MIN(J322,12)-8.0)</f>
        <v/>
      </c>
      <c r="N322" s="7">
        <f>MAX(0,J322-12)</f>
        <v/>
      </c>
      <c r="O322" s="5" t="n"/>
      <c r="P322" s="6">
        <f>E322*(L322+M322*1.5+N322*2+O322*3+N(K322))</f>
        <v/>
      </c>
      <c r="Q322" s="6" t="n">
        <v>501.58</v>
      </c>
      <c r="R322" s="6">
        <f>Q322-P322</f>
        <v/>
      </c>
    </row>
    <row r="323">
      <c r="A323" s="5" t="inlineStr">
        <is>
          <t>3503</t>
        </is>
      </c>
      <c r="B323" s="5" t="inlineStr"/>
      <c r="C323" s="5" t="inlineStr">
        <is>
          <t>ELECTRIC 10TONDRIVER(GENIEOPERATOR)</t>
        </is>
      </c>
      <c r="D323" s="5" t="inlineStr"/>
      <c r="E323" s="6" t="n">
        <v>37.99</v>
      </c>
      <c r="F323" s="5" t="n"/>
      <c r="G323" s="5" t="n"/>
      <c r="H323" s="5" t="n"/>
      <c r="I323" s="5" t="n"/>
      <c r="J323" s="7">
        <f>IF(AND(N(F323)&gt;0,N(I323)&gt;0),I323-F323-IF(N(G323)&gt;0,0.5,0)-IF(N(H323)&gt;0,0.5,0),0)</f>
        <v/>
      </c>
      <c r="K323" s="5" t="n"/>
      <c r="L323" s="7">
        <f>MIN(J323,8.0)</f>
        <v/>
      </c>
      <c r="M323" s="7">
        <f>MAX(0,MIN(J323,12)-8.0)</f>
        <v/>
      </c>
      <c r="N323" s="7">
        <f>MAX(0,J323-12)</f>
        <v/>
      </c>
      <c r="O323" s="5" t="n"/>
      <c r="P323" s="6">
        <f>E323*(L323+M323*1.5+N323*2+O323*3+N(K323))</f>
        <v/>
      </c>
      <c r="Q323" s="6" t="n">
        <v>588.85</v>
      </c>
      <c r="R323" s="6">
        <f>Q323-P323</f>
        <v/>
      </c>
    </row>
    <row r="324">
      <c r="A324" s="5" t="inlineStr">
        <is>
          <t>3503</t>
        </is>
      </c>
      <c r="B324" s="5" t="inlineStr"/>
      <c r="C324" s="5" t="inlineStr">
        <is>
          <t>SOUNDCCSTAKEBEDFUELTRUCKDRIVER</t>
        </is>
      </c>
      <c r="D324" s="5" t="inlineStr"/>
      <c r="E324" s="6" t="n">
        <v>32.36</v>
      </c>
      <c r="F324" s="5" t="n"/>
      <c r="G324" s="5" t="n"/>
      <c r="H324" s="5" t="n"/>
      <c r="I324" s="5" t="n"/>
      <c r="J324" s="7">
        <f>IF(AND(N(F324)&gt;0,N(I324)&gt;0),I324-F324-IF(N(G324)&gt;0,0.5,0)-IF(N(H324)&gt;0,0.5,0),0)</f>
        <v/>
      </c>
      <c r="K324" s="5" t="n"/>
      <c r="L324" s="7">
        <f>MIN(J324,8.0)</f>
        <v/>
      </c>
      <c r="M324" s="7">
        <f>MAX(0,MIN(J324,12)-8.0)</f>
        <v/>
      </c>
      <c r="N324" s="7">
        <f>MAX(0,J324-12)</f>
        <v/>
      </c>
      <c r="O324" s="5" t="n"/>
      <c r="P324" s="6">
        <f>E324*(L324+M324*1.5+N324*2+O324*3+N(K324))</f>
        <v/>
      </c>
      <c r="Q324" s="6" t="n">
        <v>501.58</v>
      </c>
      <c r="R324" s="6">
        <f>Q324-P324</f>
        <v/>
      </c>
    </row>
    <row r="325">
      <c r="A325" s="5" t="inlineStr">
        <is>
          <t>3503</t>
        </is>
      </c>
      <c r="B325" s="5" t="inlineStr"/>
      <c r="C325" s="5" t="inlineStr">
        <is>
          <t>9-ROOMHONEYWAGONTRACTORDRIVER</t>
        </is>
      </c>
      <c r="D325" s="5" t="inlineStr"/>
      <c r="E325" s="6" t="n">
        <v>32.36</v>
      </c>
      <c r="F325" s="5" t="n"/>
      <c r="G325" s="5" t="n"/>
      <c r="H325" s="5" t="n"/>
      <c r="I325" s="5" t="n"/>
      <c r="J325" s="7">
        <f>IF(AND(N(F325)&gt;0,N(I325)&gt;0),I325-F325-IF(N(G325)&gt;0,0.5,0)-IF(N(H325)&gt;0,0.5,0),0)</f>
        <v/>
      </c>
      <c r="K325" s="5" t="n"/>
      <c r="L325" s="7">
        <f>MIN(J325,8.0)</f>
        <v/>
      </c>
      <c r="M325" s="7">
        <f>MAX(0,MIN(J325,12)-8.0)</f>
        <v/>
      </c>
      <c r="N325" s="7">
        <f>MAX(0,J325-12)</f>
        <v/>
      </c>
      <c r="O325" s="5" t="n"/>
      <c r="P325" s="6">
        <f>E325*(L325+M325*1.5+N325*2+O325*3+N(K325))</f>
        <v/>
      </c>
      <c r="Q325" s="6" t="n">
        <v>501.58</v>
      </c>
      <c r="R325" s="6">
        <f>Q325-P325</f>
        <v/>
      </c>
    </row>
    <row r="326">
      <c r="A326" s="5" t="inlineStr">
        <is>
          <t>3503</t>
        </is>
      </c>
      <c r="B326" s="5" t="inlineStr"/>
      <c r="C326" s="5" t="inlineStr">
        <is>
          <t>FORDTRANSITVANDRIVER#1</t>
        </is>
      </c>
      <c r="D326" s="5" t="inlineStr"/>
      <c r="E326" s="6" t="n">
        <v>32.36</v>
      </c>
      <c r="F326" s="5" t="n"/>
      <c r="G326" s="5" t="n"/>
      <c r="H326" s="5" t="n"/>
      <c r="I326" s="5" t="n"/>
      <c r="J326" s="7">
        <f>IF(AND(N(F326)&gt;0,N(I326)&gt;0),I326-F326-IF(N(G326)&gt;0,0.5,0)-IF(N(H326)&gt;0,0.5,0),0)</f>
        <v/>
      </c>
      <c r="K326" s="5" t="n"/>
      <c r="L326" s="7">
        <f>MIN(J326,8.0)</f>
        <v/>
      </c>
      <c r="M326" s="7">
        <f>MAX(0,MIN(J326,12)-8.0)</f>
        <v/>
      </c>
      <c r="N326" s="7">
        <f>MAX(0,J326-12)</f>
        <v/>
      </c>
      <c r="O326" s="5" t="n"/>
      <c r="P326" s="6">
        <f>E326*(L326+M326*1.5+N326*2+O326*3+N(K326))</f>
        <v/>
      </c>
      <c r="Q326" s="6" t="n">
        <v>501.58</v>
      </c>
      <c r="R326" s="6">
        <f>Q326-P326</f>
        <v/>
      </c>
    </row>
    <row r="327">
      <c r="A327" s="5" t="inlineStr">
        <is>
          <t>3503</t>
        </is>
      </c>
      <c r="B327" s="5" t="inlineStr">
        <is>
          <t>Kaiser Clark</t>
        </is>
      </c>
      <c r="C327" s="5" t="inlineStr">
        <is>
          <t>CSETDECTRUCKDRIVER#1</t>
        </is>
      </c>
      <c r="D327" s="5" t="inlineStr"/>
      <c r="E327" s="6" t="n">
        <v>32.36</v>
      </c>
      <c r="F327" s="5" t="n"/>
      <c r="G327" s="5" t="n"/>
      <c r="H327" s="5" t="n"/>
      <c r="I327" s="5" t="n"/>
      <c r="J327" s="7">
        <f>IF(AND(N(F327)&gt;0,N(I327)&gt;0),I327-F327-IF(N(G327)&gt;0,0.5,0)-IF(N(H327)&gt;0,0.5,0),0)</f>
        <v/>
      </c>
      <c r="K327" s="5" t="n"/>
      <c r="L327" s="7">
        <f>MIN(J327,8.0)</f>
        <v/>
      </c>
      <c r="M327" s="7">
        <f>MAX(0,MIN(J327,12)-8.0)</f>
        <v/>
      </c>
      <c r="N327" s="7">
        <f>MAX(0,J327-12)</f>
        <v/>
      </c>
      <c r="O327" s="5" t="n"/>
      <c r="P327" s="6">
        <f>E327*(L327+M327*1.5+N327*2+O327*3+N(K327))</f>
        <v/>
      </c>
      <c r="Q327" s="6" t="n">
        <v>501.58</v>
      </c>
      <c r="R327" s="6">
        <f>Q327-P327</f>
        <v/>
      </c>
    </row>
    <row r="328">
      <c r="A328" s="5" t="inlineStr">
        <is>
          <t>3503</t>
        </is>
      </c>
      <c r="B328" s="5" t="inlineStr"/>
      <c r="C328" s="5" t="inlineStr">
        <is>
          <t>C 5-TONENCLOSEDRIGGINGGRIPDRIVER</t>
        </is>
      </c>
      <c r="D328" s="5" t="inlineStr"/>
      <c r="E328" s="6" t="n">
        <v>32.36</v>
      </c>
      <c r="F328" s="5" t="n"/>
      <c r="G328" s="5" t="n"/>
      <c r="H328" s="5" t="n"/>
      <c r="I328" s="5" t="n"/>
      <c r="J328" s="7">
        <f>IF(AND(N(F328)&gt;0,N(I328)&gt;0),I328-F328-IF(N(G328)&gt;0,0.5,0)-IF(N(H328)&gt;0,0.5,0),0)</f>
        <v/>
      </c>
      <c r="K328" s="5" t="n"/>
      <c r="L328" s="7">
        <f>MIN(J328,8.0)</f>
        <v/>
      </c>
      <c r="M328" s="7">
        <f>MAX(0,MIN(J328,12)-8.0)</f>
        <v/>
      </c>
      <c r="N328" s="7">
        <f>MAX(0,J328-12)</f>
        <v/>
      </c>
      <c r="O328" s="5" t="n"/>
      <c r="P328" s="6">
        <f>E328*(L328+M328*1.5+N328*2+O328*3+N(K328))</f>
        <v/>
      </c>
      <c r="Q328" s="5" t="n"/>
      <c r="R328" s="6">
        <f>Q328-P328</f>
        <v/>
      </c>
    </row>
    <row r="329">
      <c r="A329" s="5" t="inlineStr">
        <is>
          <t>3503</t>
        </is>
      </c>
      <c r="B329" s="5" t="inlineStr"/>
      <c r="C329" s="5" t="inlineStr">
        <is>
          <t>SCOUTBUS</t>
        </is>
      </c>
      <c r="D329" s="5" t="inlineStr"/>
      <c r="E329" s="6" t="n">
        <v>32.36</v>
      </c>
      <c r="F329" s="5" t="n"/>
      <c r="G329" s="5" t="n"/>
      <c r="H329" s="5" t="n"/>
      <c r="I329" s="5" t="n"/>
      <c r="J329" s="7">
        <f>IF(AND(N(F329)&gt;0,N(I329)&gt;0),I329-F329-IF(N(G329)&gt;0,0.5,0)-IF(N(H329)&gt;0,0.5,0),0)</f>
        <v/>
      </c>
      <c r="K329" s="5" t="n"/>
      <c r="L329" s="7">
        <f>MIN(J329,8.0)</f>
        <v/>
      </c>
      <c r="M329" s="7">
        <f>MAX(0,MIN(J329,12)-8.0)</f>
        <v/>
      </c>
      <c r="N329" s="7">
        <f>MAX(0,J329-12)</f>
        <v/>
      </c>
      <c r="O329" s="5" t="n"/>
      <c r="P329" s="6">
        <f>E329*(L329+M329*1.5+N329*2+O329*3+N(K329))</f>
        <v/>
      </c>
      <c r="Q329" s="5" t="n"/>
      <c r="R329" s="6">
        <f>Q329-P329</f>
        <v/>
      </c>
    </row>
    <row r="330">
      <c r="A330" s="5" t="inlineStr">
        <is>
          <t>3503</t>
        </is>
      </c>
      <c r="B330" s="5" t="inlineStr"/>
      <c r="C330" s="5" t="inlineStr">
        <is>
          <t>DRIVERMANDAYS</t>
        </is>
      </c>
      <c r="D330" s="5" t="inlineStr"/>
      <c r="E330" s="6" t="n">
        <v>32.36</v>
      </c>
      <c r="F330" s="5" t="n"/>
      <c r="G330" s="5" t="n"/>
      <c r="H330" s="5" t="n"/>
      <c r="I330" s="5" t="n"/>
      <c r="J330" s="7">
        <f>IF(AND(N(F330)&gt;0,N(I330)&gt;0),I330-F330-IF(N(G330)&gt;0,0.5,0)-IF(N(H330)&gt;0,0.5,0),0)</f>
        <v/>
      </c>
      <c r="K330" s="5" t="n"/>
      <c r="L330" s="7">
        <f>MIN(J330,8.0)</f>
        <v/>
      </c>
      <c r="M330" s="7">
        <f>MAX(0,MIN(J330,12)-8.0)</f>
        <v/>
      </c>
      <c r="N330" s="7">
        <f>MAX(0,J330-12)</f>
        <v/>
      </c>
      <c r="O330" s="5" t="n"/>
      <c r="P330" s="6">
        <f>E330*(L330+M330*1.5+N330*2+O330*3+N(K330))</f>
        <v/>
      </c>
      <c r="Q330" s="5" t="n"/>
      <c r="R330" s="6">
        <f>Q330-P330</f>
        <v/>
      </c>
    </row>
    <row r="331">
      <c r="P331" s="2" t="inlineStr">
        <is>
          <t>DRIVERS LABOR</t>
        </is>
      </c>
      <c r="R331" s="8">
        <f>SUM(R319:R330)</f>
        <v/>
      </c>
    </row>
    <row r="333">
      <c r="B333" s="2" t="inlineStr">
        <is>
          <t>LOCATIONSITEFEES</t>
        </is>
      </c>
    </row>
    <row r="334">
      <c r="A334" s="5" t="inlineStr">
        <is>
          <t>3607</t>
        </is>
      </c>
      <c r="B334" s="5" t="inlineStr"/>
      <c r="C334" s="5" t="inlineStr">
        <is>
          <t>Location#1(Hospital ER, LACountry Childrens Shelter, Shelter Dorm, Dept...</t>
        </is>
      </c>
      <c r="D334" s="5" t="inlineStr">
        <is>
          <t>Local400</t>
        </is>
      </c>
      <c r="E334" s="6" t="n">
        <v>50000</v>
      </c>
      <c r="F334" s="5" t="n"/>
      <c r="G334" s="5" t="n"/>
      <c r="H334" s="5" t="n"/>
      <c r="I334" s="5" t="n"/>
      <c r="J334" s="7">
        <f>IF(AND(N(F334)&gt;0,N(I334)&gt;0),I334-F334-IF(N(G334)&gt;0,0.5,0)-IF(N(H334)&gt;0,0.5,0),0)</f>
        <v/>
      </c>
      <c r="K334" s="5" t="n"/>
      <c r="L334" s="7">
        <f>MIN(J334,8.0)</f>
        <v/>
      </c>
      <c r="M334" s="7">
        <f>MAX(0,MIN(J334,12)-8.0)</f>
        <v/>
      </c>
      <c r="N334" s="7">
        <f>MAX(0,J334-12)</f>
        <v/>
      </c>
      <c r="O334" s="5" t="n"/>
      <c r="P334" s="6">
        <f>E334*(L334+M334*1.5+N334*2+O334*3+N(K334))</f>
        <v/>
      </c>
      <c r="Q334" s="6" t="n">
        <v>50000</v>
      </c>
      <c r="R334" s="6">
        <f>Q334-P334</f>
        <v/>
      </c>
    </row>
    <row r="335">
      <c r="P335" s="2" t="inlineStr">
        <is>
          <t>LOCATIONSITEFEES LABOR</t>
        </is>
      </c>
      <c r="R335" s="8">
        <f>SUM(R334:R334)</f>
        <v/>
      </c>
    </row>
    <row r="337">
      <c r="B337" s="2" t="inlineStr">
        <is>
          <t>CATERINGLABOR</t>
        </is>
      </c>
    </row>
    <row r="338">
      <c r="A338" s="5" t="inlineStr">
        <is>
          <t>3621</t>
        </is>
      </c>
      <c r="B338" s="5" t="inlineStr"/>
      <c r="C338" s="5" t="inlineStr">
        <is>
          <t>COOKDRIVER#1</t>
        </is>
      </c>
      <c r="D338" s="5" t="inlineStr">
        <is>
          <t>Local399</t>
        </is>
      </c>
      <c r="E338" s="6" t="n">
        <v>32.36</v>
      </c>
      <c r="F338" s="5" t="n"/>
      <c r="G338" s="5" t="n"/>
      <c r="H338" s="5" t="n"/>
      <c r="I338" s="5" t="n"/>
      <c r="J338" s="7">
        <f>IF(AND(N(F338)&gt;0,N(I338)&gt;0),I338-F338-IF(N(G338)&gt;0,0.5,0)-IF(N(H338)&gt;0,0.5,0),0)</f>
        <v/>
      </c>
      <c r="K338" s="5" t="n"/>
      <c r="L338" s="7">
        <f>MIN(J338,8.0)</f>
        <v/>
      </c>
      <c r="M338" s="7">
        <f>MAX(0,MIN(J338,12)-8.0)</f>
        <v/>
      </c>
      <c r="N338" s="7">
        <f>MAX(0,J338-12)</f>
        <v/>
      </c>
      <c r="O338" s="5" t="n"/>
      <c r="P338" s="6">
        <f>E338*(L338+M338*1.5+N338*2+O338*3+N(K338))</f>
        <v/>
      </c>
      <c r="Q338" s="6" t="n">
        <v>647.2</v>
      </c>
      <c r="R338" s="6">
        <f>Q338-P338</f>
        <v/>
      </c>
    </row>
    <row r="339">
      <c r="A339" s="5" t="inlineStr">
        <is>
          <t>3621</t>
        </is>
      </c>
      <c r="B339" s="5" t="inlineStr"/>
      <c r="C339" s="5" t="inlineStr">
        <is>
          <t>1STASSTCATERER#1</t>
        </is>
      </c>
      <c r="D339" s="5" t="inlineStr"/>
      <c r="E339" s="6" t="n">
        <v>17</v>
      </c>
      <c r="F339" s="5" t="n"/>
      <c r="G339" s="5" t="n"/>
      <c r="H339" s="5" t="n"/>
      <c r="I339" s="5" t="n"/>
      <c r="J339" s="7">
        <f>IF(AND(N(F339)&gt;0,N(I339)&gt;0),I339-F339-IF(N(G339)&gt;0,0.5,0)-IF(N(H339)&gt;0,0.5,0),0)</f>
        <v/>
      </c>
      <c r="K339" s="5" t="n"/>
      <c r="L339" s="7">
        <f>MIN(J339,8.0)</f>
        <v/>
      </c>
      <c r="M339" s="7">
        <f>MAX(0,MIN(J339,12)-8.0)</f>
        <v/>
      </c>
      <c r="N339" s="7">
        <f>MAX(0,J339-12)</f>
        <v/>
      </c>
      <c r="O339" s="5" t="n"/>
      <c r="P339" s="6">
        <f>E339*(L339+M339*1.5+N339*2+O339*3+N(K339))</f>
        <v/>
      </c>
      <c r="Q339" s="6" t="n">
        <v>340</v>
      </c>
      <c r="R339" s="6">
        <f>Q339-P339</f>
        <v/>
      </c>
    </row>
    <row r="340">
      <c r="A340" s="5" t="inlineStr">
        <is>
          <t>3621</t>
        </is>
      </c>
      <c r="B340" s="5" t="inlineStr"/>
      <c r="C340" s="5" t="inlineStr">
        <is>
          <t>1STASSTCATERER#2</t>
        </is>
      </c>
      <c r="D340" s="5" t="inlineStr"/>
      <c r="E340" s="6" t="n">
        <v>16</v>
      </c>
      <c r="F340" s="5" t="n"/>
      <c r="G340" s="5" t="n"/>
      <c r="H340" s="5" t="n"/>
      <c r="I340" s="5" t="n"/>
      <c r="J340" s="7">
        <f>IF(AND(N(F340)&gt;0,N(I340)&gt;0),I340-F340-IF(N(G340)&gt;0,0.5,0)-IF(N(H340)&gt;0,0.5,0),0)</f>
        <v/>
      </c>
      <c r="K340" s="5" t="n"/>
      <c r="L340" s="7">
        <f>MIN(J340,8.0)</f>
        <v/>
      </c>
      <c r="M340" s="7">
        <f>MAX(0,MIN(J340,12)-8.0)</f>
        <v/>
      </c>
      <c r="N340" s="7">
        <f>MAX(0,J340-12)</f>
        <v/>
      </c>
      <c r="O340" s="5" t="n"/>
      <c r="P340" s="6">
        <f>E340*(L340+M340*1.5+N340*2+O340*3+N(K340))</f>
        <v/>
      </c>
      <c r="Q340" s="6" t="n">
        <v>320</v>
      </c>
      <c r="R340" s="6">
        <f>Q340-P340</f>
        <v/>
      </c>
    </row>
    <row r="341">
      <c r="P341" s="2" t="inlineStr">
        <is>
          <t>CATERINGLABOR LABOR</t>
        </is>
      </c>
      <c r="R341" s="8">
        <f>SUM(R338:R340)</f>
        <v/>
      </c>
    </row>
    <row r="343">
      <c r="K343" s="9" t="inlineStr">
        <is>
          <t>TOTAL</t>
        </is>
      </c>
      <c r="P343" s="9" t="inlineStr">
        <is>
          <t>ACTUAL</t>
        </is>
      </c>
      <c r="Q343" s="9" t="inlineStr">
        <is>
          <t>BUDGET</t>
        </is>
      </c>
      <c r="R343" s="9" t="inlineStr">
        <is>
          <t>TOTAL VAR</t>
        </is>
      </c>
    </row>
    <row r="344">
      <c r="P344" s="9" t="inlineStr">
        <is>
          <t>DAY COST</t>
        </is>
      </c>
      <c r="Q344" s="9" t="inlineStr">
        <is>
          <t>DY COST</t>
        </is>
      </c>
      <c r="R344" s="9" t="inlineStr">
        <is>
          <t>(OVER) / UNDER</t>
        </is>
      </c>
    </row>
    <row r="345">
      <c r="P345" s="10">
        <f>SUM(P6:P6)+SUM(P10:P11)+SUM(P15:P17)+SUM(P21:P22)+SUM(P26:P32)+SUM(P36:P36)+SUM(P40:P41)+SUM(P45:P45)+SUM(P49:P49)+SUM(P53:P54)+SUM(P58:P58)+SUM(P62:P62)+SUM(P66:P67)+SUM(P71:P71)+SUM(P75:P75)+SUM(P79:P80)+SUM(P84:P84)+SUM(P88:P88)+SUM(P92:P93)+SUM(P97:P100)+SUM(P104:P104)+SUM(P108:P109)+SUM(P113:P113)+SUM(P117:P117)+SUM(P121:P121)+SUM(P125:P125)+SUM(P129:P130)+SUM(P134:P134)+SUM(P138:P139)+SUM(P143:P145)+SUM(P149:P149)+SUM(P153:P153)+SUM(P157:P158)+SUM(P162:P163)+SUM(P167:P167)+SUM(P171:P173)+SUM(P177:P177)+SUM(P181:P181)+SUM(P185:P187)+SUM(P191:P191)+SUM(P195:P195)+SUM(P199:P199)+SUM(P203:P203)+SUM(P207:P207)+SUM(P211:P211)+SUM(P215:P216)+SUM(P220:P220)+SUM(P224:P224)+SUM(P228:P228)+SUM(P232:P233)+SUM(P237:P237)+SUM(P241:P241)+SUM(P245:P245)+SUM(P249:P249)+SUM(P253:P254)+SUM(P258:P260)+SUM(P264:P264)+SUM(P268:P268)+SUM(P272:P272)+SUM(P276:P276)+SUM(P280:P281)+SUM(P285:P286)+SUM(P290:P290)+SUM(P294:P294)+SUM(P298:P298)+SUM(P302:P302)+SUM(P306:P306)+SUM(P310:P310)+SUM(P314:P315)+SUM(P319:P330)+SUM(P334:P334)+SUM(P338:P340)</f>
        <v/>
      </c>
      <c r="Q345" s="10">
        <f>SUM(Q6:Q6)+SUM(Q10:Q11)+SUM(Q15:Q17)+SUM(Q21:Q22)+SUM(Q26:Q32)+SUM(Q36:Q36)+SUM(Q40:Q41)+SUM(Q45:Q45)+SUM(Q49:Q49)+SUM(Q53:Q54)+SUM(Q58:Q58)+SUM(Q62:Q62)+SUM(Q66:Q67)+SUM(Q71:Q71)+SUM(Q75:Q75)+SUM(Q79:Q80)+SUM(Q84:Q84)+SUM(Q88:Q88)+SUM(Q92:Q93)+SUM(Q97:Q100)+SUM(Q104:Q104)+SUM(Q108:Q109)+SUM(Q113:Q113)+SUM(Q117:Q117)+SUM(Q121:Q121)+SUM(Q125:Q125)+SUM(Q129:Q130)+SUM(Q134:Q134)+SUM(Q138:Q139)+SUM(Q143:Q145)+SUM(Q149:Q149)+SUM(Q153:Q153)+SUM(Q157:Q158)+SUM(Q162:Q163)+SUM(Q167:Q167)+SUM(Q171:Q173)+SUM(Q177:Q177)+SUM(Q181:Q181)+SUM(Q185:Q187)+SUM(Q191:Q191)+SUM(Q195:Q195)+SUM(Q199:Q199)+SUM(Q203:Q203)+SUM(Q207:Q207)+SUM(Q211:Q211)+SUM(Q215:Q216)+SUM(Q220:Q220)+SUM(Q224:Q224)+SUM(Q228:Q228)+SUM(Q232:Q233)+SUM(Q237:Q237)+SUM(Q241:Q241)+SUM(Q245:Q245)+SUM(Q249:Q249)+SUM(Q253:Q254)+SUM(Q258:Q260)+SUM(Q264:Q264)+SUM(Q268:Q268)+SUM(Q272:Q272)+SUM(Q276:Q276)+SUM(Q280:Q281)+SUM(Q285:Q286)+SUM(Q290:Q290)+SUM(Q294:Q294)+SUM(Q298:Q298)+SUM(Q302:Q302)+SUM(Q306:Q306)+SUM(Q310:Q310)+SUM(Q314:Q315)+SUM(Q319:Q330)+SUM(Q334:Q334)+SUM(Q338:Q340)</f>
        <v/>
      </c>
      <c r="R345" s="10">
        <f>SUM(R6:R6)+SUM(R10:R11)+SUM(R15:R17)+SUM(R21:R22)+SUM(R26:R32)+SUM(R36:R36)+SUM(R40:R41)+SUM(R45:R45)+SUM(R49:R49)+SUM(R53:R54)+SUM(R58:R58)+SUM(R62:R62)+SUM(R66:R67)+SUM(R71:R71)+SUM(R75:R75)+SUM(R79:R80)+SUM(R84:R84)+SUM(R88:R88)+SUM(R92:R93)+SUM(R97:R100)+SUM(R104:R104)+SUM(R108:R109)+SUM(R113:R113)+SUM(R117:R117)+SUM(R121:R121)+SUM(R125:R125)+SUM(R129:R130)+SUM(R134:R134)+SUM(R138:R139)+SUM(R143:R145)+SUM(R149:R149)+SUM(R153:R153)+SUM(R157:R158)+SUM(R162:R163)+SUM(R167:R167)+SUM(R171:R173)+SUM(R177:R177)+SUM(R181:R181)+SUM(R185:R187)+SUM(R191:R191)+SUM(R195:R195)+SUM(R199:R199)+SUM(R203:R203)+SUM(R207:R207)+SUM(R211:R211)+SUM(R215:R216)+SUM(R220:R220)+SUM(R224:R224)+SUM(R228:R228)+SUM(R232:R233)+SUM(R237:R237)+SUM(R241:R241)+SUM(R245:R245)+SUM(R249:R249)+SUM(R253:R254)+SUM(R258:R260)+SUM(R264:R264)+SUM(R268:R268)+SUM(R272:R272)+SUM(R276:R276)+SUM(R280:R281)+SUM(R285:R286)+SUM(R290:R290)+SUM(R294:R294)+SUM(R298:R298)+SUM(R302:R302)+SUM(R306:R306)+SUM(R310:R310)+SUM(R314:R315)+SUM(R319:R330)+SUM(R334:R334)+SUM(R338:R340)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R34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20" customWidth="1" min="3" max="3"/>
    <col width="9" customWidth="1" min="4" max="4"/>
    <col width="9" customWidth="1" min="5" max="5"/>
    <col width="7" customWidth="1" min="6" max="6"/>
    <col width="7" customWidth="1" min="7" max="7"/>
    <col width="8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12" customWidth="1" min="16" max="16"/>
    <col width="13" customWidth="1" min="17" max="17"/>
    <col width="14" customWidth="1" min="18" max="18"/>
  </cols>
  <sheetData>
    <row r="1">
      <c r="A1" s="1" t="inlineStr">
        <is>
          <t>HOT COST</t>
        </is>
      </c>
      <c r="C1" t="inlineStr">
        <is>
          <t>Friday 27 Oct 2017</t>
        </is>
      </c>
      <c r="F1" s="2" t="inlineStr">
        <is>
          <t>DAY #10</t>
        </is>
      </c>
    </row>
    <row r="2">
      <c r="A2" s="3" t="inlineStr">
        <is>
          <t>enter CALL, LUNCH, WRAP as decimal hours (e.g. 7.5) — everything right of WRAP computes</t>
        </is>
      </c>
    </row>
    <row r="4">
      <c r="A4" s="4" t="inlineStr">
        <is>
          <t>ACCT</t>
        </is>
      </c>
      <c r="B4" s="4" t="inlineStr">
        <is>
          <t>NAME</t>
        </is>
      </c>
      <c r="C4" s="4" t="inlineStr">
        <is>
          <t>POSITION</t>
        </is>
      </c>
      <c r="D4" s="4" t="inlineStr">
        <is>
          <t>UNION</t>
        </is>
      </c>
      <c r="E4" s="4" t="inlineStr">
        <is>
          <t>RATE</t>
        </is>
      </c>
      <c r="F4" s="4" t="inlineStr">
        <is>
          <t>CALL</t>
        </is>
      </c>
      <c r="G4" s="4" t="inlineStr">
        <is>
          <t>LUNCH</t>
        </is>
      </c>
      <c r="H4" s="4" t="inlineStr">
        <is>
          <t>LUNCH 2</t>
        </is>
      </c>
      <c r="I4" s="4" t="inlineStr">
        <is>
          <t>WRAP</t>
        </is>
      </c>
      <c r="J4" s="4" t="inlineStr">
        <is>
          <t>HRS</t>
        </is>
      </c>
      <c r="K4" s="4" t="inlineStr">
        <is>
          <t>MP'S</t>
        </is>
      </c>
      <c r="L4" s="4" t="inlineStr">
        <is>
          <t>ST</t>
        </is>
      </c>
      <c r="M4" s="4" t="inlineStr">
        <is>
          <t>1.5X</t>
        </is>
      </c>
      <c r="N4" s="4" t="inlineStr">
        <is>
          <t>2X</t>
        </is>
      </c>
      <c r="O4" s="4" t="inlineStr">
        <is>
          <t>3X</t>
        </is>
      </c>
      <c r="P4" s="4" t="inlineStr">
        <is>
          <t>TOTAL / DAY</t>
        </is>
      </c>
      <c r="Q4" s="4" t="inlineStr">
        <is>
          <t>BUDGET / DAY</t>
        </is>
      </c>
      <c r="R4" s="4" t="inlineStr">
        <is>
          <t>(OVER) / UNDER</t>
        </is>
      </c>
    </row>
    <row r="5">
      <c r="B5" s="2" t="inlineStr">
        <is>
          <t>LEAD#</t>
        </is>
      </c>
    </row>
    <row r="6">
      <c r="A6" s="5" t="inlineStr">
        <is>
          <t>1401</t>
        </is>
      </c>
      <c r="B6" s="5" t="inlineStr">
        <is>
          <t>Linda Cardellini</t>
        </is>
      </c>
      <c r="C6" s="5" t="inlineStr">
        <is>
          <t>"ANNA"</t>
        </is>
      </c>
      <c r="D6" s="5" t="inlineStr"/>
      <c r="E6" s="6" t="n">
        <v>1211.8</v>
      </c>
      <c r="F6" s="5" t="n"/>
      <c r="G6" s="5" t="n"/>
      <c r="H6" s="5" t="n"/>
      <c r="I6" s="5" t="n"/>
      <c r="J6" s="7">
        <f>IF(AND(N(F6)&gt;0,N(I6)&gt;0),I6-F6-IF(N(G6)&gt;0,0.5,0)-IF(N(H6)&gt;0,0.5,0),0)</f>
        <v/>
      </c>
      <c r="K6" s="5" t="n"/>
      <c r="L6" s="7">
        <f>MIN(J6,8.0)</f>
        <v/>
      </c>
      <c r="M6" s="7">
        <f>MAX(0,MIN(J6,12)-8.0)</f>
        <v/>
      </c>
      <c r="N6" s="7">
        <f>MAX(0,J6-12)</f>
        <v/>
      </c>
      <c r="O6" s="5" t="n"/>
      <c r="P6" s="6">
        <f>E6*(L6+M6*1.5+N6*2+O6*3+N(K6))</f>
        <v/>
      </c>
      <c r="Q6" s="6" t="n">
        <v>1211.8</v>
      </c>
      <c r="R6" s="6">
        <f>Q6-P6</f>
        <v/>
      </c>
    </row>
    <row r="7">
      <c r="P7" s="2" t="inlineStr">
        <is>
          <t>LEAD# LABOR</t>
        </is>
      </c>
      <c r="R7" s="8">
        <f>SUM(R6:R6)</f>
        <v/>
      </c>
    </row>
    <row r="9">
      <c r="B9" s="2" t="inlineStr">
        <is>
          <t>LEAD#2&amp;#</t>
        </is>
      </c>
    </row>
    <row r="10">
      <c r="A10" s="5" t="inlineStr">
        <is>
          <t>1402</t>
        </is>
      </c>
      <c r="B10" s="5" t="inlineStr">
        <is>
          <t>Roman Christou</t>
        </is>
      </c>
      <c r="C10" s="5" t="inlineStr">
        <is>
          <t>"CHRIS"(Minor)</t>
        </is>
      </c>
      <c r="D10" s="5" t="inlineStr"/>
      <c r="E10" s="6" t="n">
        <v>755.4</v>
      </c>
      <c r="F10" s="5" t="n"/>
      <c r="G10" s="5" t="n"/>
      <c r="H10" s="5" t="n"/>
      <c r="I10" s="5" t="n"/>
      <c r="J10" s="7">
        <f>IF(AND(N(F10)&gt;0,N(I10)&gt;0),I10-F10-IF(N(G10)&gt;0,0.5,0)-IF(N(H10)&gt;0,0.5,0),0)</f>
        <v/>
      </c>
      <c r="K10" s="5" t="n"/>
      <c r="L10" s="7">
        <f>MIN(J10,8.0)</f>
        <v/>
      </c>
      <c r="M10" s="7">
        <f>MAX(0,MIN(J10,12)-8.0)</f>
        <v/>
      </c>
      <c r="N10" s="7">
        <f>MAX(0,J10-12)</f>
        <v/>
      </c>
      <c r="O10" s="5" t="n"/>
      <c r="P10" s="6">
        <f>E10*(L10+M10*1.5+N10*2+O10*3+N(K10))</f>
        <v/>
      </c>
      <c r="Q10" s="6" t="n">
        <v>755.4</v>
      </c>
      <c r="R10" s="6">
        <f>Q10-P10</f>
        <v/>
      </c>
    </row>
    <row r="11">
      <c r="A11" s="5" t="inlineStr">
        <is>
          <t>1402</t>
        </is>
      </c>
      <c r="B11" s="5" t="inlineStr">
        <is>
          <t>Jaynee Lynee Kinchen</t>
        </is>
      </c>
      <c r="C11" s="5" t="inlineStr">
        <is>
          <t>"SAMANTHA"(Minor)</t>
        </is>
      </c>
      <c r="D11" s="5" t="inlineStr"/>
      <c r="E11" s="6" t="n">
        <v>755.4</v>
      </c>
      <c r="F11" s="5" t="n"/>
      <c r="G11" s="5" t="n"/>
      <c r="H11" s="5" t="n"/>
      <c r="I11" s="5" t="n"/>
      <c r="J11" s="7">
        <f>IF(AND(N(F11)&gt;0,N(I11)&gt;0),I11-F11-IF(N(G11)&gt;0,0.5,0)-IF(N(H11)&gt;0,0.5,0),0)</f>
        <v/>
      </c>
      <c r="K11" s="5" t="n"/>
      <c r="L11" s="7">
        <f>MIN(J11,8.0)</f>
        <v/>
      </c>
      <c r="M11" s="7">
        <f>MAX(0,MIN(J11,12)-8.0)</f>
        <v/>
      </c>
      <c r="N11" s="7">
        <f>MAX(0,J11-12)</f>
        <v/>
      </c>
      <c r="O11" s="5" t="n"/>
      <c r="P11" s="6">
        <f>E11*(L11+M11*1.5+N11*2+O11*3+N(K11))</f>
        <v/>
      </c>
      <c r="Q11" s="6" t="n">
        <v>755.4</v>
      </c>
      <c r="R11" s="6">
        <f>Q11-P11</f>
        <v/>
      </c>
    </row>
    <row r="12">
      <c r="P12" s="2" t="inlineStr">
        <is>
          <t>LEAD#2&amp;# LABOR</t>
        </is>
      </c>
      <c r="R12" s="8">
        <f>SUM(R10:R11)</f>
        <v/>
      </c>
    </row>
    <row r="14">
      <c r="B14" s="2" t="inlineStr">
        <is>
          <t>OTHERLEADCAST</t>
        </is>
      </c>
    </row>
    <row r="15">
      <c r="A15" s="5" t="inlineStr">
        <is>
          <t>1403</t>
        </is>
      </c>
      <c r="B15" s="5" t="inlineStr">
        <is>
          <t>Raymond Cruz</t>
        </is>
      </c>
      <c r="C15" s="5" t="inlineStr">
        <is>
          <t>"RAFAELOLVERA"</t>
        </is>
      </c>
      <c r="D15" s="5" t="inlineStr"/>
      <c r="E15" s="6" t="n">
        <v>1211.8</v>
      </c>
      <c r="F15" s="5" t="n"/>
      <c r="G15" s="5" t="n"/>
      <c r="H15" s="5" t="n"/>
      <c r="I15" s="5" t="n"/>
      <c r="J15" s="7">
        <f>IF(AND(N(F15)&gt;0,N(I15)&gt;0),I15-F15-IF(N(G15)&gt;0,0.5,0)-IF(N(H15)&gt;0,0.5,0),0)</f>
        <v/>
      </c>
      <c r="K15" s="5" t="n"/>
      <c r="L15" s="7">
        <f>MIN(J15,8.0)</f>
        <v/>
      </c>
      <c r="M15" s="7">
        <f>MAX(0,MIN(J15,12)-8.0)</f>
        <v/>
      </c>
      <c r="N15" s="7">
        <f>MAX(0,J15-12)</f>
        <v/>
      </c>
      <c r="O15" s="5" t="n"/>
      <c r="P15" s="6">
        <f>E15*(L15+M15*1.5+N15*2+O15*3+N(K15))</f>
        <v/>
      </c>
      <c r="Q15" s="6" t="n">
        <v>1211.8</v>
      </c>
      <c r="R15" s="6">
        <f>Q15-P15</f>
        <v/>
      </c>
    </row>
    <row r="16">
      <c r="A16" s="5" t="inlineStr">
        <is>
          <t>1403</t>
        </is>
      </c>
      <c r="B16" s="5" t="inlineStr">
        <is>
          <t>Marisol Ramirez</t>
        </is>
      </c>
      <c r="C16" s="5" t="inlineStr">
        <is>
          <t>"LALLORONA"</t>
        </is>
      </c>
      <c r="D16" s="5" t="inlineStr"/>
      <c r="E16" s="6" t="n">
        <v>1211.8</v>
      </c>
      <c r="F16" s="5" t="n"/>
      <c r="G16" s="5" t="n"/>
      <c r="H16" s="5" t="n"/>
      <c r="I16" s="5" t="n"/>
      <c r="J16" s="7">
        <f>IF(AND(N(F16)&gt;0,N(I16)&gt;0),I16-F16-IF(N(G16)&gt;0,0.5,0)-IF(N(H16)&gt;0,0.5,0),0)</f>
        <v/>
      </c>
      <c r="K16" s="5" t="n"/>
      <c r="L16" s="7">
        <f>MIN(J16,8.0)</f>
        <v/>
      </c>
      <c r="M16" s="7">
        <f>MAX(0,MIN(J16,12)-8.0)</f>
        <v/>
      </c>
      <c r="N16" s="7">
        <f>MAX(0,J16-12)</f>
        <v/>
      </c>
      <c r="O16" s="5" t="n"/>
      <c r="P16" s="6">
        <f>E16*(L16+M16*1.5+N16*2+O16*3+N(K16))</f>
        <v/>
      </c>
      <c r="Q16" s="6" t="n">
        <v>1211.8</v>
      </c>
      <c r="R16" s="6">
        <f>Q16-P16</f>
        <v/>
      </c>
    </row>
    <row r="17">
      <c r="A17" s="5" t="inlineStr">
        <is>
          <t>1403</t>
        </is>
      </c>
      <c r="B17" s="5" t="inlineStr">
        <is>
          <t>Patrica Velasquez</t>
        </is>
      </c>
      <c r="C17" s="5" t="inlineStr">
        <is>
          <t>"PATRICIA"</t>
        </is>
      </c>
      <c r="D17" s="5" t="inlineStr"/>
      <c r="E17" s="6" t="n">
        <v>1972</v>
      </c>
      <c r="F17" s="5" t="n"/>
      <c r="G17" s="5" t="n"/>
      <c r="H17" s="5" t="n"/>
      <c r="I17" s="5" t="n"/>
      <c r="J17" s="7">
        <f>IF(AND(N(F17)&gt;0,N(I17)&gt;0),I17-F17-IF(N(G17)&gt;0,0.5,0)-IF(N(H17)&gt;0,0.5,0),0)</f>
        <v/>
      </c>
      <c r="K17" s="5" t="n"/>
      <c r="L17" s="7">
        <f>MIN(J17,8.0)</f>
        <v/>
      </c>
      <c r="M17" s="7">
        <f>MAX(0,MIN(J17,12)-8.0)</f>
        <v/>
      </c>
      <c r="N17" s="7">
        <f>MAX(0,J17-12)</f>
        <v/>
      </c>
      <c r="O17" s="5" t="n"/>
      <c r="P17" s="6">
        <f>E17*(L17+M17*1.5+N17*2+O17*3+N(K17))</f>
        <v/>
      </c>
      <c r="Q17" s="6" t="n">
        <v>1972</v>
      </c>
      <c r="R17" s="6">
        <f>Q17-P17</f>
        <v/>
      </c>
    </row>
    <row r="18">
      <c r="P18" s="2" t="inlineStr">
        <is>
          <t>OTHERLEADCAST LABOR</t>
        </is>
      </c>
      <c r="R18" s="8">
        <f>SUM(R15:R17)</f>
        <v/>
      </c>
    </row>
    <row r="20">
      <c r="B20" s="2" t="inlineStr">
        <is>
          <t>SUPPORTINGCAST</t>
        </is>
      </c>
    </row>
    <row r="21">
      <c r="A21" s="5" t="inlineStr">
        <is>
          <t>1404</t>
        </is>
      </c>
      <c r="B21" s="5" t="inlineStr">
        <is>
          <t>Sean Patrick Thomas</t>
        </is>
      </c>
      <c r="C21" s="5" t="inlineStr">
        <is>
          <t>DETCOOPER</t>
        </is>
      </c>
      <c r="D21" s="5" t="inlineStr"/>
      <c r="E21" s="6" t="n">
        <v>1211.8</v>
      </c>
      <c r="F21" s="5" t="n"/>
      <c r="G21" s="5" t="n"/>
      <c r="H21" s="5" t="n"/>
      <c r="I21" s="5" t="n"/>
      <c r="J21" s="7">
        <f>IF(AND(N(F21)&gt;0,N(I21)&gt;0),I21-F21-IF(N(G21)&gt;0,0.5,0)-IF(N(H21)&gt;0,0.5,0),0)</f>
        <v/>
      </c>
      <c r="K21" s="5" t="n"/>
      <c r="L21" s="7">
        <f>MIN(J21,8.0)</f>
        <v/>
      </c>
      <c r="M21" s="7">
        <f>MAX(0,MIN(J21,12)-8.0)</f>
        <v/>
      </c>
      <c r="N21" s="7">
        <f>MAX(0,J21-12)</f>
        <v/>
      </c>
      <c r="O21" s="5" t="n"/>
      <c r="P21" s="6">
        <f>E21*(L21+M21*1.5+N21*2+O21*3+N(K21))</f>
        <v/>
      </c>
      <c r="Q21" s="6" t="n">
        <v>1211.8</v>
      </c>
      <c r="R21" s="6">
        <f>Q21-P21</f>
        <v/>
      </c>
    </row>
    <row r="22">
      <c r="A22" s="5" t="inlineStr">
        <is>
          <t>1404</t>
        </is>
      </c>
      <c r="B22" s="5" t="inlineStr">
        <is>
          <t>Tony Amendola</t>
        </is>
      </c>
      <c r="C22" s="5" t="inlineStr">
        <is>
          <t>"FATHERPEREZ"</t>
        </is>
      </c>
      <c r="D22" s="5" t="inlineStr"/>
      <c r="E22" s="6" t="n">
        <v>1972</v>
      </c>
      <c r="F22" s="5" t="n"/>
      <c r="G22" s="5" t="n"/>
      <c r="H22" s="5" t="n"/>
      <c r="I22" s="5" t="n"/>
      <c r="J22" s="7">
        <f>IF(AND(N(F22)&gt;0,N(I22)&gt;0),I22-F22-IF(N(G22)&gt;0,0.5,0)-IF(N(H22)&gt;0,0.5,0),0)</f>
        <v/>
      </c>
      <c r="K22" s="5" t="n"/>
      <c r="L22" s="7">
        <f>MIN(J22,8.0)</f>
        <v/>
      </c>
      <c r="M22" s="7">
        <f>MAX(0,MIN(J22,12)-8.0)</f>
        <v/>
      </c>
      <c r="N22" s="7">
        <f>MAX(0,J22-12)</f>
        <v/>
      </c>
      <c r="O22" s="5" t="n"/>
      <c r="P22" s="6">
        <f>E22*(L22+M22*1.5+N22*2+O22*3+N(K22))</f>
        <v/>
      </c>
      <c r="Q22" s="6" t="n">
        <v>1972</v>
      </c>
      <c r="R22" s="6">
        <f>Q22-P22</f>
        <v/>
      </c>
    </row>
    <row r="23">
      <c r="P23" s="2" t="inlineStr">
        <is>
          <t>SUPPORTINGCAST LABOR</t>
        </is>
      </c>
      <c r="R23" s="8">
        <f>SUM(R21:R22)</f>
        <v/>
      </c>
    </row>
    <row r="25">
      <c r="B25" s="2" t="inlineStr">
        <is>
          <t>DAYPLAYERS</t>
        </is>
      </c>
    </row>
    <row r="26">
      <c r="A26" s="5" t="inlineStr">
        <is>
          <t>1405</t>
        </is>
      </c>
      <c r="B26" s="5" t="inlineStr">
        <is>
          <t>Kristy Keng(Drop/Pickup)</t>
        </is>
      </c>
      <c r="C26" s="5" t="inlineStr">
        <is>
          <t>"DONNA"</t>
        </is>
      </c>
      <c r="D26" s="5" t="inlineStr"/>
      <c r="E26" s="6" t="n">
        <v>1972</v>
      </c>
      <c r="F26" s="5" t="n"/>
      <c r="G26" s="5" t="n"/>
      <c r="H26" s="5" t="n"/>
      <c r="I26" s="5" t="n"/>
      <c r="J26" s="7">
        <f>IF(AND(N(F26)&gt;0,N(I26)&gt;0),I26-F26-IF(N(G26)&gt;0,0.5,0)-IF(N(H26)&gt;0,0.5,0),0)</f>
        <v/>
      </c>
      <c r="K26" s="5" t="n"/>
      <c r="L26" s="7">
        <f>MIN(J26,8.0)</f>
        <v/>
      </c>
      <c r="M26" s="7">
        <f>MAX(0,MIN(J26,12)-8.0)</f>
        <v/>
      </c>
      <c r="N26" s="7">
        <f>MAX(0,J26-12)</f>
        <v/>
      </c>
      <c r="O26" s="5" t="n"/>
      <c r="P26" s="6">
        <f>E26*(L26+M26*1.5+N26*2+O26*3+N(K26))</f>
        <v/>
      </c>
      <c r="Q26" s="6" t="n">
        <v>1972</v>
      </c>
      <c r="R26" s="6">
        <f>Q26-P26</f>
        <v/>
      </c>
    </row>
    <row r="27">
      <c r="A27" s="5" t="inlineStr">
        <is>
          <t>1405</t>
        </is>
      </c>
      <c r="B27" s="5" t="inlineStr">
        <is>
          <t>Oliver Alexander</t>
        </is>
      </c>
      <c r="C27" s="5" t="inlineStr">
        <is>
          <t>"CARLOS"(Minor)</t>
        </is>
      </c>
      <c r="D27" s="5" t="inlineStr"/>
      <c r="E27" s="6" t="n">
        <v>1249</v>
      </c>
      <c r="F27" s="5" t="n"/>
      <c r="G27" s="5" t="n"/>
      <c r="H27" s="5" t="n"/>
      <c r="I27" s="5" t="n"/>
      <c r="J27" s="7">
        <f>IF(AND(N(F27)&gt;0,N(I27)&gt;0),I27-F27-IF(N(G27)&gt;0,0.5,0)-IF(N(H27)&gt;0,0.5,0),0)</f>
        <v/>
      </c>
      <c r="K27" s="5" t="n"/>
      <c r="L27" s="7">
        <f>MIN(J27,8.0)</f>
        <v/>
      </c>
      <c r="M27" s="7">
        <f>MAX(0,MIN(J27,12)-8.0)</f>
        <v/>
      </c>
      <c r="N27" s="7">
        <f>MAX(0,J27-12)</f>
        <v/>
      </c>
      <c r="O27" s="5" t="n"/>
      <c r="P27" s="6">
        <f>E27*(L27+M27*1.5+N27*2+O27*3+N(K27))</f>
        <v/>
      </c>
      <c r="Q27" s="6" t="n">
        <v>1249</v>
      </c>
      <c r="R27" s="6">
        <f>Q27-P27</f>
        <v/>
      </c>
    </row>
    <row r="28">
      <c r="A28" s="5" t="inlineStr">
        <is>
          <t>1405</t>
        </is>
      </c>
      <c r="B28" s="5" t="inlineStr">
        <is>
          <t>Adam Lewandowski</t>
        </is>
      </c>
      <c r="C28" s="5" t="inlineStr">
        <is>
          <t>"TOMAS"(Minor)</t>
        </is>
      </c>
      <c r="D28" s="5" t="inlineStr"/>
      <c r="E28" s="6" t="n">
        <v>1249</v>
      </c>
      <c r="F28" s="5" t="n"/>
      <c r="G28" s="5" t="n"/>
      <c r="H28" s="5" t="n"/>
      <c r="I28" s="5" t="n"/>
      <c r="J28" s="7">
        <f>IF(AND(N(F28)&gt;0,N(I28)&gt;0),I28-F28-IF(N(G28)&gt;0,0.5,0)-IF(N(H28)&gt;0,0.5,0),0)</f>
        <v/>
      </c>
      <c r="K28" s="5" t="n"/>
      <c r="L28" s="7">
        <f>MIN(J28,8.0)</f>
        <v/>
      </c>
      <c r="M28" s="7">
        <f>MAX(0,MIN(J28,12)-8.0)</f>
        <v/>
      </c>
      <c r="N28" s="7">
        <f>MAX(0,J28-12)</f>
        <v/>
      </c>
      <c r="O28" s="5" t="n"/>
      <c r="P28" s="6">
        <f>E28*(L28+M28*1.5+N28*2+O28*3+N(K28))</f>
        <v/>
      </c>
      <c r="Q28" s="6" t="n">
        <v>1249</v>
      </c>
      <c r="R28" s="6">
        <f>Q28-P28</f>
        <v/>
      </c>
    </row>
    <row r="29">
      <c r="A29" s="5" t="inlineStr">
        <is>
          <t>1405</t>
        </is>
      </c>
      <c r="B29" s="5" t="inlineStr">
        <is>
          <t>Paul Rodriquez Jr.</t>
        </is>
      </c>
      <c r="C29" s="5" t="inlineStr">
        <is>
          <t>"OFFICERCLARO"</t>
        </is>
      </c>
      <c r="D29" s="5" t="inlineStr"/>
      <c r="E29" s="6" t="n">
        <v>1972</v>
      </c>
      <c r="F29" s="5" t="n"/>
      <c r="G29" s="5" t="n"/>
      <c r="H29" s="5" t="n"/>
      <c r="I29" s="5" t="n"/>
      <c r="J29" s="7">
        <f>IF(AND(N(F29)&gt;0,N(I29)&gt;0),I29-F29-IF(N(G29)&gt;0,0.5,0)-IF(N(H29)&gt;0,0.5,0),0)</f>
        <v/>
      </c>
      <c r="K29" s="5" t="n"/>
      <c r="L29" s="7">
        <f>MIN(J29,8.0)</f>
        <v/>
      </c>
      <c r="M29" s="7">
        <f>MAX(0,MIN(J29,12)-8.0)</f>
        <v/>
      </c>
      <c r="N29" s="7">
        <f>MAX(0,J29-12)</f>
        <v/>
      </c>
      <c r="O29" s="5" t="n"/>
      <c r="P29" s="6">
        <f>E29*(L29+M29*1.5+N29*2+O29*3+N(K29))</f>
        <v/>
      </c>
      <c r="Q29" s="6" t="n">
        <v>1972</v>
      </c>
      <c r="R29" s="6">
        <f>Q29-P29</f>
        <v/>
      </c>
    </row>
    <row r="30">
      <c r="A30" s="5" t="inlineStr">
        <is>
          <t>1405</t>
        </is>
      </c>
      <c r="B30" s="5" t="inlineStr">
        <is>
          <t>Sophia Santi</t>
        </is>
      </c>
      <c r="C30" s="5" t="inlineStr">
        <is>
          <t>"FEMALECUSTOMER"</t>
        </is>
      </c>
      <c r="D30" s="5" t="inlineStr"/>
      <c r="E30" s="6" t="n">
        <v>1972</v>
      </c>
      <c r="F30" s="5" t="n"/>
      <c r="G30" s="5" t="n"/>
      <c r="H30" s="5" t="n"/>
      <c r="I30" s="5" t="n"/>
      <c r="J30" s="7">
        <f>IF(AND(N(F30)&gt;0,N(I30)&gt;0),I30-F30-IF(N(G30)&gt;0,0.5,0)-IF(N(H30)&gt;0,0.5,0),0)</f>
        <v/>
      </c>
      <c r="K30" s="5" t="n"/>
      <c r="L30" s="7">
        <f>MIN(J30,8.0)</f>
        <v/>
      </c>
      <c r="M30" s="7">
        <f>MAX(0,MIN(J30,12)-8.0)</f>
        <v/>
      </c>
      <c r="N30" s="7">
        <f>MAX(0,J30-12)</f>
        <v/>
      </c>
      <c r="O30" s="5" t="n"/>
      <c r="P30" s="6">
        <f>E30*(L30+M30*1.5+N30*2+O30*3+N(K30))</f>
        <v/>
      </c>
      <c r="Q30" s="6" t="n">
        <v>1972</v>
      </c>
      <c r="R30" s="6">
        <f>Q30-P30</f>
        <v/>
      </c>
    </row>
    <row r="31">
      <c r="A31" s="5" t="inlineStr">
        <is>
          <t>1405</t>
        </is>
      </c>
      <c r="B31" s="5" t="inlineStr">
        <is>
          <t>John Marshall Jones</t>
        </is>
      </c>
      <c r="C31" s="5" t="inlineStr">
        <is>
          <t>"MRHANKINS"</t>
        </is>
      </c>
      <c r="D31" s="5" t="inlineStr"/>
      <c r="E31" s="6" t="n">
        <v>1972</v>
      </c>
      <c r="F31" s="5" t="n"/>
      <c r="G31" s="5" t="n"/>
      <c r="H31" s="5" t="n"/>
      <c r="I31" s="5" t="n"/>
      <c r="J31" s="7">
        <f>IF(AND(N(F31)&gt;0,N(I31)&gt;0),I31-F31-IF(N(G31)&gt;0,0.5,0)-IF(N(H31)&gt;0,0.5,0),0)</f>
        <v/>
      </c>
      <c r="K31" s="5" t="n"/>
      <c r="L31" s="7">
        <f>MIN(J31,8.0)</f>
        <v/>
      </c>
      <c r="M31" s="7">
        <f>MAX(0,MIN(J31,12)-8.0)</f>
        <v/>
      </c>
      <c r="N31" s="7">
        <f>MAX(0,J31-12)</f>
        <v/>
      </c>
      <c r="O31" s="5" t="n"/>
      <c r="P31" s="6">
        <f>E31*(L31+M31*1.5+N31*2+O31*3+N(K31))</f>
        <v/>
      </c>
      <c r="Q31" s="6" t="n">
        <v>1972</v>
      </c>
      <c r="R31" s="6">
        <f>Q31-P31</f>
        <v/>
      </c>
    </row>
    <row r="32">
      <c r="A32" s="5" t="inlineStr">
        <is>
          <t>1405</t>
        </is>
      </c>
      <c r="B32" s="5" t="inlineStr">
        <is>
          <t>Madeleine Mcgraw</t>
        </is>
      </c>
      <c r="C32" s="5" t="inlineStr">
        <is>
          <t>"APRIL"(Minor)</t>
        </is>
      </c>
      <c r="D32" s="5" t="inlineStr"/>
      <c r="E32" s="6" t="n">
        <v>1249</v>
      </c>
      <c r="F32" s="5" t="n"/>
      <c r="G32" s="5" t="n"/>
      <c r="H32" s="5" t="n"/>
      <c r="I32" s="5" t="n"/>
      <c r="J32" s="7">
        <f>IF(AND(N(F32)&gt;0,N(I32)&gt;0),I32-F32-IF(N(G32)&gt;0,0.5,0)-IF(N(H32)&gt;0,0.5,0),0)</f>
        <v/>
      </c>
      <c r="K32" s="5" t="n"/>
      <c r="L32" s="7">
        <f>MIN(J32,8.0)</f>
        <v/>
      </c>
      <c r="M32" s="7">
        <f>MAX(0,MIN(J32,12)-8.0)</f>
        <v/>
      </c>
      <c r="N32" s="7">
        <f>MAX(0,J32-12)</f>
        <v/>
      </c>
      <c r="O32" s="5" t="n"/>
      <c r="P32" s="6">
        <f>E32*(L32+M32*1.5+N32*2+O32*3+N(K32))</f>
        <v/>
      </c>
      <c r="Q32" s="6" t="n">
        <v>1249</v>
      </c>
      <c r="R32" s="6">
        <f>Q32-P32</f>
        <v/>
      </c>
    </row>
    <row r="33">
      <c r="P33" s="2" t="inlineStr">
        <is>
          <t>DAYPLAYERS LABOR</t>
        </is>
      </c>
      <c r="R33" s="8">
        <f>SUM(R26:R32)</f>
        <v/>
      </c>
    </row>
    <row r="35">
      <c r="B35" s="2" t="inlineStr">
        <is>
          <t>STUNTCOORD</t>
        </is>
      </c>
    </row>
    <row r="36">
      <c r="A36" s="5" t="inlineStr">
        <is>
          <t>1406</t>
        </is>
      </c>
      <c r="B36" s="5" t="inlineStr">
        <is>
          <t>Rob King</t>
        </is>
      </c>
      <c r="C36" s="5" t="inlineStr">
        <is>
          <t>STUNTCOORDINATOR</t>
        </is>
      </c>
      <c r="D36" s="5" t="inlineStr"/>
      <c r="E36" s="6" t="n">
        <v>1173</v>
      </c>
      <c r="F36" s="5" t="n"/>
      <c r="G36" s="5" t="n"/>
      <c r="H36" s="5" t="n"/>
      <c r="I36" s="5" t="n"/>
      <c r="J36" s="7">
        <f>IF(AND(N(F36)&gt;0,N(I36)&gt;0),I36-F36-IF(N(G36)&gt;0,0.5,0)-IF(N(H36)&gt;0,0.5,0),0)</f>
        <v/>
      </c>
      <c r="K36" s="5" t="n"/>
      <c r="L36" s="7">
        <f>MIN(J36,8.0)</f>
        <v/>
      </c>
      <c r="M36" s="7">
        <f>MAX(0,MIN(J36,12)-8.0)</f>
        <v/>
      </c>
      <c r="N36" s="7">
        <f>MAX(0,J36-12)</f>
        <v/>
      </c>
      <c r="O36" s="5" t="n"/>
      <c r="P36" s="6">
        <f>E36*(L36+M36*1.5+N36*2+O36*3+N(K36))</f>
        <v/>
      </c>
      <c r="Q36" s="6" t="n">
        <v>1173</v>
      </c>
      <c r="R36" s="6">
        <f>Q36-P36</f>
        <v/>
      </c>
    </row>
    <row r="37">
      <c r="P37" s="2" t="inlineStr">
        <is>
          <t>STUNTCOORD LABOR</t>
        </is>
      </c>
      <c r="R37" s="8">
        <f>SUM(R36:R36)</f>
        <v/>
      </c>
    </row>
    <row r="39">
      <c r="B39" s="2" t="inlineStr">
        <is>
          <t>TEACHER/WELFAREWORKER</t>
        </is>
      </c>
    </row>
    <row r="40">
      <c r="A40" s="5" t="inlineStr">
        <is>
          <t>1412</t>
        </is>
      </c>
      <c r="B40" s="5" t="inlineStr"/>
      <c r="C40" s="5" t="inlineStr">
        <is>
          <t>WELFAREWORKER</t>
        </is>
      </c>
      <c r="D40" s="5" t="inlineStr">
        <is>
          <t>Local884</t>
        </is>
      </c>
      <c r="E40" s="6" t="n">
        <v>25.5</v>
      </c>
      <c r="F40" s="5" t="n"/>
      <c r="G40" s="5" t="n"/>
      <c r="H40" s="5" t="n"/>
      <c r="I40" s="5" t="n"/>
      <c r="J40" s="7">
        <f>IF(AND(N(F40)&gt;0,N(I40)&gt;0),I40-F40-IF(N(G40)&gt;0,0.5,0)-IF(N(H40)&gt;0,0.5,0),0)</f>
        <v/>
      </c>
      <c r="K40" s="5" t="n"/>
      <c r="L40" s="7">
        <f>MIN(J40,8.0)</f>
        <v/>
      </c>
      <c r="M40" s="7">
        <f>MAX(0,MIN(J40,12)-8.0)</f>
        <v/>
      </c>
      <c r="N40" s="7">
        <f>MAX(0,J40-12)</f>
        <v/>
      </c>
      <c r="O40" s="5" t="n"/>
      <c r="P40" s="6">
        <f>E40*(L40+M40*1.5+N40*2+O40*3+N(K40))</f>
        <v/>
      </c>
      <c r="Q40" s="6" t="n">
        <v>280.5</v>
      </c>
      <c r="R40" s="6">
        <f>Q40-P40</f>
        <v/>
      </c>
    </row>
    <row r="41">
      <c r="A41" s="5" t="inlineStr">
        <is>
          <t>1412</t>
        </is>
      </c>
      <c r="B41" s="5" t="inlineStr"/>
      <c r="C41" s="5" t="inlineStr">
        <is>
          <t>ADDLWELFAREWORKER</t>
        </is>
      </c>
      <c r="D41" s="5" t="inlineStr">
        <is>
          <t>Local884</t>
        </is>
      </c>
      <c r="E41" s="6" t="n">
        <v>25.5</v>
      </c>
      <c r="F41" s="5" t="n"/>
      <c r="G41" s="5" t="n"/>
      <c r="H41" s="5" t="n"/>
      <c r="I41" s="5" t="n"/>
      <c r="J41" s="7">
        <f>IF(AND(N(F41)&gt;0,N(I41)&gt;0),I41-F41-IF(N(G41)&gt;0,0.5,0)-IF(N(H41)&gt;0,0.5,0),0)</f>
        <v/>
      </c>
      <c r="K41" s="5" t="n"/>
      <c r="L41" s="7">
        <f>MIN(J41,8.0)</f>
        <v/>
      </c>
      <c r="M41" s="7">
        <f>MAX(0,MIN(J41,12)-8.0)</f>
        <v/>
      </c>
      <c r="N41" s="7">
        <f>MAX(0,J41-12)</f>
        <v/>
      </c>
      <c r="O41" s="5" t="n"/>
      <c r="P41" s="6">
        <f>E41*(L41+M41*1.5+N41*2+O41*3+N(K41))</f>
        <v/>
      </c>
      <c r="Q41" s="6" t="n">
        <v>280.5</v>
      </c>
      <c r="R41" s="6">
        <f>Q41-P41</f>
        <v/>
      </c>
    </row>
    <row r="42">
      <c r="P42" s="2" t="inlineStr">
        <is>
          <t>TEACHER/WELFAREWORKER LABOR</t>
        </is>
      </c>
      <c r="R42" s="8">
        <f>SUM(R40:R41)</f>
        <v/>
      </c>
    </row>
    <row r="44">
      <c r="B44" s="2" t="inlineStr">
        <is>
          <t>CASTINGDIRECTORS</t>
        </is>
      </c>
    </row>
    <row r="45">
      <c r="A45" s="5" t="inlineStr">
        <is>
          <t>1413</t>
        </is>
      </c>
      <c r="B45" s="5" t="inlineStr">
        <is>
          <t>Rich Delia</t>
        </is>
      </c>
      <c r="C45" s="5" t="inlineStr">
        <is>
          <t>CASTINGDIRECTOR</t>
        </is>
      </c>
      <c r="D45" s="5" t="inlineStr"/>
      <c r="E45" s="6" t="n">
        <v>600</v>
      </c>
      <c r="F45" s="5" t="n"/>
      <c r="G45" s="5" t="n"/>
      <c r="H45" s="5" t="n"/>
      <c r="I45" s="5" t="n"/>
      <c r="J45" s="7">
        <f>IF(AND(N(F45)&gt;0,N(I45)&gt;0),I45-F45-IF(N(G45)&gt;0,0.5,0)-IF(N(H45)&gt;0,0.5,0),0)</f>
        <v/>
      </c>
      <c r="K45" s="5" t="n"/>
      <c r="L45" s="7">
        <f>MIN(J45,8.0)</f>
        <v/>
      </c>
      <c r="M45" s="7">
        <f>MAX(0,MIN(J45,12)-8.0)</f>
        <v/>
      </c>
      <c r="N45" s="7">
        <f>MAX(0,J45-12)</f>
        <v/>
      </c>
      <c r="O45" s="5" t="n"/>
      <c r="P45" s="6">
        <f>E45*(L45+M45*1.5+N45*2+O45*3+N(K45))</f>
        <v/>
      </c>
      <c r="Q45" s="5" t="n"/>
      <c r="R45" s="6">
        <f>Q45-P45</f>
        <v/>
      </c>
    </row>
    <row r="46">
      <c r="P46" s="2" t="inlineStr">
        <is>
          <t>CASTINGDIRECTORS LABOR</t>
        </is>
      </c>
      <c r="R46" s="8">
        <f>SUM(R45:R45)</f>
        <v/>
      </c>
    </row>
    <row r="48">
      <c r="B48" s="2" t="inlineStr">
        <is>
          <t>CASTINGASSOCIATES/ASSISTANTS</t>
        </is>
      </c>
    </row>
    <row r="49">
      <c r="A49" s="5" t="inlineStr">
        <is>
          <t>1414</t>
        </is>
      </c>
      <c r="B49" s="5" t="inlineStr">
        <is>
          <t>Adam Richards</t>
        </is>
      </c>
      <c r="C49" s="5" t="inlineStr">
        <is>
          <t>CASTINGASSOCIATE</t>
        </is>
      </c>
      <c r="D49" s="5" t="inlineStr"/>
      <c r="E49" s="6" t="n">
        <v>200</v>
      </c>
      <c r="F49" s="5" t="n"/>
      <c r="G49" s="5" t="n"/>
      <c r="H49" s="5" t="n"/>
      <c r="I49" s="5" t="n"/>
      <c r="J49" s="7">
        <f>IF(AND(N(F49)&gt;0,N(I49)&gt;0),I49-F49-IF(N(G49)&gt;0,0.5,0)-IF(N(H49)&gt;0,0.5,0),0)</f>
        <v/>
      </c>
      <c r="K49" s="5" t="n"/>
      <c r="L49" s="7">
        <f>MIN(J49,8.0)</f>
        <v/>
      </c>
      <c r="M49" s="7">
        <f>MAX(0,MIN(J49,12)-8.0)</f>
        <v/>
      </c>
      <c r="N49" s="7">
        <f>MAX(0,J49-12)</f>
        <v/>
      </c>
      <c r="O49" s="5" t="n"/>
      <c r="P49" s="6">
        <f>E49*(L49+M49*1.5+N49*2+O49*3+N(K49))</f>
        <v/>
      </c>
      <c r="Q49" s="5" t="n"/>
      <c r="R49" s="6">
        <f>Q49-P49</f>
        <v/>
      </c>
    </row>
    <row r="50">
      <c r="P50" s="2" t="inlineStr">
        <is>
          <t>CASTINGASSOCIATES/ASSISTANTS LABOR</t>
        </is>
      </c>
      <c r="R50" s="8">
        <f>SUM(R49:R49)</f>
        <v/>
      </c>
    </row>
    <row r="52">
      <c r="B52" s="2" t="inlineStr">
        <is>
          <t>CASTDRIVERS/VEHICLES</t>
        </is>
      </c>
    </row>
    <row r="53">
      <c r="A53" s="5" t="inlineStr">
        <is>
          <t>1455</t>
        </is>
      </c>
      <c r="B53" s="5" t="inlineStr"/>
      <c r="C53" s="5" t="inlineStr">
        <is>
          <t>CAST 3-RMDRIVER</t>
        </is>
      </c>
      <c r="D53" s="5" t="inlineStr">
        <is>
          <t>Local399</t>
        </is>
      </c>
      <c r="E53" s="6" t="n">
        <v>32.36</v>
      </c>
      <c r="F53" s="5" t="n"/>
      <c r="G53" s="5" t="n"/>
      <c r="H53" s="5" t="n"/>
      <c r="I53" s="5" t="n"/>
      <c r="J53" s="7">
        <f>IF(AND(N(F53)&gt;0,N(I53)&gt;0),I53-F53-IF(N(G53)&gt;0,0.5,0)-IF(N(H53)&gt;0,0.5,0),0)</f>
        <v/>
      </c>
      <c r="K53" s="5" t="n"/>
      <c r="L53" s="7">
        <f>MIN(J53,8.0)</f>
        <v/>
      </c>
      <c r="M53" s="7">
        <f>MAX(0,MIN(J53,12)-8.0)</f>
        <v/>
      </c>
      <c r="N53" s="7">
        <f>MAX(0,J53-12)</f>
        <v/>
      </c>
      <c r="O53" s="5" t="n"/>
      <c r="P53" s="6">
        <f>E53*(L53+M53*1.5+N53*2+O53*3+N(K53))</f>
        <v/>
      </c>
      <c r="Q53" s="6" t="n">
        <v>501.58</v>
      </c>
      <c r="R53" s="6">
        <f>Q53-P53</f>
        <v/>
      </c>
    </row>
    <row r="54">
      <c r="A54" s="5" t="inlineStr">
        <is>
          <t>1455</t>
        </is>
      </c>
      <c r="B54" s="5" t="inlineStr"/>
      <c r="C54" s="5" t="inlineStr">
        <is>
          <t>CASTMINIVANDRIVER</t>
        </is>
      </c>
      <c r="D54" s="5" t="inlineStr">
        <is>
          <t>Local399</t>
        </is>
      </c>
      <c r="E54" s="6" t="n">
        <v>32.36</v>
      </c>
      <c r="F54" s="5" t="n"/>
      <c r="G54" s="5" t="n"/>
      <c r="H54" s="5" t="n"/>
      <c r="I54" s="5" t="n"/>
      <c r="J54" s="7">
        <f>IF(AND(N(F54)&gt;0,N(I54)&gt;0),I54-F54-IF(N(G54)&gt;0,0.5,0)-IF(N(H54)&gt;0,0.5,0),0)</f>
        <v/>
      </c>
      <c r="K54" s="5" t="n"/>
      <c r="L54" s="7">
        <f>MIN(J54,8.0)</f>
        <v/>
      </c>
      <c r="M54" s="7">
        <f>MAX(0,MIN(J54,12)-8.0)</f>
        <v/>
      </c>
      <c r="N54" s="7">
        <f>MAX(0,J54-12)</f>
        <v/>
      </c>
      <c r="O54" s="5" t="n"/>
      <c r="P54" s="6">
        <f>E54*(L54+M54*1.5+N54*2+O54*3+N(K54))</f>
        <v/>
      </c>
      <c r="Q54" s="6" t="n">
        <v>501.58</v>
      </c>
      <c r="R54" s="6">
        <f>Q54-P54</f>
        <v/>
      </c>
    </row>
    <row r="55">
      <c r="P55" s="2" t="inlineStr">
        <is>
          <t>CASTDRIVERS/VEHICLES LABOR</t>
        </is>
      </c>
      <c r="R55" s="8">
        <f>SUM(R53:R54)</f>
        <v/>
      </c>
    </row>
    <row r="57">
      <c r="B57" s="2" t="inlineStr">
        <is>
          <t>PRODUCTIONMANAGER</t>
        </is>
      </c>
    </row>
    <row r="58">
      <c r="A58" s="5" t="inlineStr">
        <is>
          <t>2001</t>
        </is>
      </c>
      <c r="B58" s="5" t="inlineStr">
        <is>
          <t>Carrie Morrow</t>
        </is>
      </c>
      <c r="C58" s="5" t="inlineStr">
        <is>
          <t>UPM</t>
        </is>
      </c>
      <c r="D58" s="5" t="inlineStr">
        <is>
          <t>DGA</t>
        </is>
      </c>
      <c r="E58" s="6" t="n">
        <v>1063.6</v>
      </c>
      <c r="F58" s="5" t="n"/>
      <c r="G58" s="5" t="n"/>
      <c r="H58" s="5" t="n"/>
      <c r="I58" s="5" t="n"/>
      <c r="J58" s="7">
        <f>IF(AND(N(F58)&gt;0,N(I58)&gt;0),I58-F58-IF(N(G58)&gt;0,0.5,0)-IF(N(H58)&gt;0,0.5,0),0)</f>
        <v/>
      </c>
      <c r="K58" s="5" t="n"/>
      <c r="L58" s="7">
        <f>MIN(J58,8.0)</f>
        <v/>
      </c>
      <c r="M58" s="7">
        <f>MAX(0,MIN(J58,12)-8.0)</f>
        <v/>
      </c>
      <c r="N58" s="7">
        <f>MAX(0,J58-12)</f>
        <v/>
      </c>
      <c r="O58" s="5" t="n"/>
      <c r="P58" s="6">
        <f>E58*(L58+M58*1.5+N58*2+O58*3+N(K58))</f>
        <v/>
      </c>
      <c r="Q58" s="6" t="n">
        <v>1063.6</v>
      </c>
      <c r="R58" s="6">
        <f>Q58-P58</f>
        <v/>
      </c>
    </row>
    <row r="59">
      <c r="P59" s="2" t="inlineStr">
        <is>
          <t>PRODUCTIONMANAGER LABOR</t>
        </is>
      </c>
      <c r="R59" s="8">
        <f>SUM(R58:R58)</f>
        <v/>
      </c>
    </row>
    <row r="61">
      <c r="B61" s="2" t="inlineStr">
        <is>
          <t>1STASSTDIRECTOR</t>
        </is>
      </c>
    </row>
    <row r="62">
      <c r="A62" s="5" t="inlineStr">
        <is>
          <t>2002</t>
        </is>
      </c>
      <c r="B62" s="5" t="inlineStr">
        <is>
          <t>James Moran</t>
        </is>
      </c>
      <c r="C62" s="5" t="inlineStr">
        <is>
          <t>1STASSTDIRECTOR</t>
        </is>
      </c>
      <c r="D62" s="5" t="inlineStr">
        <is>
          <t>DGA</t>
        </is>
      </c>
      <c r="E62" s="6" t="n">
        <v>985.6</v>
      </c>
      <c r="F62" s="5" t="n"/>
      <c r="G62" s="5" t="n"/>
      <c r="H62" s="5" t="n"/>
      <c r="I62" s="5" t="n"/>
      <c r="J62" s="7">
        <f>IF(AND(N(F62)&gt;0,N(I62)&gt;0),I62-F62-IF(N(G62)&gt;0,0.5,0)-IF(N(H62)&gt;0,0.5,0),0)</f>
        <v/>
      </c>
      <c r="K62" s="5" t="n"/>
      <c r="L62" s="7">
        <f>MIN(J62,8.0)</f>
        <v/>
      </c>
      <c r="M62" s="7">
        <f>MAX(0,MIN(J62,12)-8.0)</f>
        <v/>
      </c>
      <c r="N62" s="7">
        <f>MAX(0,J62-12)</f>
        <v/>
      </c>
      <c r="O62" s="5" t="n"/>
      <c r="P62" s="6">
        <f>E62*(L62+M62*1.5+N62*2+O62*3+N(K62))</f>
        <v/>
      </c>
      <c r="Q62" s="6" t="n">
        <v>985.6</v>
      </c>
      <c r="R62" s="6">
        <f>Q62-P62</f>
        <v/>
      </c>
    </row>
    <row r="63">
      <c r="P63" s="2" t="inlineStr">
        <is>
          <t>1STASSTDIRECTOR LABOR</t>
        </is>
      </c>
      <c r="R63" s="8">
        <f>SUM(R62:R62)</f>
        <v/>
      </c>
    </row>
    <row r="65">
      <c r="B65" s="2" t="inlineStr">
        <is>
          <t>2NDASSTDIRECTORS</t>
        </is>
      </c>
    </row>
    <row r="66">
      <c r="A66" s="5" t="inlineStr">
        <is>
          <t>2003</t>
        </is>
      </c>
      <c r="B66" s="5" t="inlineStr">
        <is>
          <t>Mark Newland</t>
        </is>
      </c>
      <c r="C66" s="5" t="inlineStr">
        <is>
          <t>KEY 2NDA. D.</t>
        </is>
      </c>
      <c r="D66" s="5" t="inlineStr">
        <is>
          <t>DGA</t>
        </is>
      </c>
      <c r="E66" s="6" t="n">
        <v>674.6</v>
      </c>
      <c r="F66" s="5" t="n"/>
      <c r="G66" s="5" t="n"/>
      <c r="H66" s="5" t="n"/>
      <c r="I66" s="5" t="n"/>
      <c r="J66" s="7">
        <f>IF(AND(N(F66)&gt;0,N(I66)&gt;0),I66-F66-IF(N(G66)&gt;0,0.5,0)-IF(N(H66)&gt;0,0.5,0),0)</f>
        <v/>
      </c>
      <c r="K66" s="5" t="n"/>
      <c r="L66" s="7">
        <f>MIN(J66,8.0)</f>
        <v/>
      </c>
      <c r="M66" s="7">
        <f>MAX(0,MIN(J66,12)-8.0)</f>
        <v/>
      </c>
      <c r="N66" s="7">
        <f>MAX(0,J66-12)</f>
        <v/>
      </c>
      <c r="O66" s="5" t="n"/>
      <c r="P66" s="6">
        <f>E66*(L66+M66*1.5+N66*2+O66*3+N(K66))</f>
        <v/>
      </c>
      <c r="Q66" s="6" t="n">
        <v>674.6</v>
      </c>
      <c r="R66" s="6">
        <f>Q66-P66</f>
        <v/>
      </c>
    </row>
    <row r="67">
      <c r="A67" s="5" t="inlineStr">
        <is>
          <t>2003</t>
        </is>
      </c>
      <c r="B67" s="5" t="inlineStr"/>
      <c r="C67" s="5" t="inlineStr">
        <is>
          <t>2ND 2NDA. D.</t>
        </is>
      </c>
      <c r="D67" s="5" t="inlineStr">
        <is>
          <t>DGA</t>
        </is>
      </c>
      <c r="E67" s="6" t="n">
        <v>526</v>
      </c>
      <c r="F67" s="5" t="n"/>
      <c r="G67" s="5" t="n"/>
      <c r="H67" s="5" t="n"/>
      <c r="I67" s="5" t="n"/>
      <c r="J67" s="7">
        <f>IF(AND(N(F67)&gt;0,N(I67)&gt;0),I67-F67-IF(N(G67)&gt;0,0.5,0)-IF(N(H67)&gt;0,0.5,0),0)</f>
        <v/>
      </c>
      <c r="K67" s="5" t="n"/>
      <c r="L67" s="7">
        <f>MIN(J67,8.0)</f>
        <v/>
      </c>
      <c r="M67" s="7">
        <f>MAX(0,MIN(J67,12)-8.0)</f>
        <v/>
      </c>
      <c r="N67" s="7">
        <f>MAX(0,J67-12)</f>
        <v/>
      </c>
      <c r="O67" s="5" t="n"/>
      <c r="P67" s="6">
        <f>E67*(L67+M67*1.5+N67*2+O67*3+N(K67))</f>
        <v/>
      </c>
      <c r="Q67" s="6" t="n">
        <v>526</v>
      </c>
      <c r="R67" s="6">
        <f>Q67-P67</f>
        <v/>
      </c>
    </row>
    <row r="68">
      <c r="P68" s="2" t="inlineStr">
        <is>
          <t>2NDASSTDIRECTORS LABOR</t>
        </is>
      </c>
      <c r="R68" s="8">
        <f>SUM(R66:R67)</f>
        <v/>
      </c>
    </row>
    <row r="70">
      <c r="B70" s="2" t="inlineStr">
        <is>
          <t>SCRIPTSUPERVISOR</t>
        </is>
      </c>
    </row>
    <row r="71">
      <c r="A71" s="5" t="inlineStr">
        <is>
          <t>2005</t>
        </is>
      </c>
      <c r="B71" s="5" t="inlineStr">
        <is>
          <t>Renata Amador</t>
        </is>
      </c>
      <c r="C71" s="5" t="inlineStr">
        <is>
          <t>SCRIPTSUPERVISOR</t>
        </is>
      </c>
      <c r="D71" s="5" t="inlineStr">
        <is>
          <t>Local871</t>
        </is>
      </c>
      <c r="E71" s="6" t="n">
        <v>25.5</v>
      </c>
      <c r="F71" s="5" t="n"/>
      <c r="G71" s="5" t="n"/>
      <c r="H71" s="5" t="n"/>
      <c r="I71" s="5" t="n"/>
      <c r="J71" s="7">
        <f>IF(AND(N(F71)&gt;0,N(I71)&gt;0),I71-F71-IF(N(G71)&gt;0,0.5,0)-IF(N(H71)&gt;0,0.5,0),0)</f>
        <v/>
      </c>
      <c r="K71" s="5" t="n"/>
      <c r="L71" s="7">
        <f>MIN(J71,10.0)</f>
        <v/>
      </c>
      <c r="M71" s="7">
        <f>MAX(0,MIN(J71,12)-10.0)</f>
        <v/>
      </c>
      <c r="N71" s="7">
        <f>MAX(0,J71-12)</f>
        <v/>
      </c>
      <c r="O71" s="5" t="n"/>
      <c r="P71" s="6">
        <f>E71*(L71+M71*1.5+N71*2+O71*3+N(K71))</f>
        <v/>
      </c>
      <c r="Q71" s="6" t="n">
        <v>439.87</v>
      </c>
      <c r="R71" s="6">
        <f>Q71-P71</f>
        <v/>
      </c>
    </row>
    <row r="72">
      <c r="P72" s="2" t="inlineStr">
        <is>
          <t>SCRIPTSUPERVISOR LABOR</t>
        </is>
      </c>
      <c r="R72" s="8">
        <f>SUM(R71:R71)</f>
        <v/>
      </c>
    </row>
    <row r="74">
      <c r="B74" s="2" t="inlineStr">
        <is>
          <t>LOCATIONMANAGERS</t>
        </is>
      </c>
    </row>
    <row r="75">
      <c r="A75" s="5" t="inlineStr">
        <is>
          <t>2007</t>
        </is>
      </c>
      <c r="B75" s="5" t="inlineStr">
        <is>
          <t>Stacey Brashear-Rodriquez</t>
        </is>
      </c>
      <c r="C75" s="5" t="inlineStr">
        <is>
          <t>LOCATIONMANAGER</t>
        </is>
      </c>
      <c r="D75" s="5" t="inlineStr">
        <is>
          <t>Local399</t>
        </is>
      </c>
      <c r="E75" s="6" t="n">
        <v>557.6</v>
      </c>
      <c r="F75" s="5" t="n"/>
      <c r="G75" s="5" t="n"/>
      <c r="H75" s="5" t="n"/>
      <c r="I75" s="5" t="n"/>
      <c r="J75" s="7">
        <f>IF(AND(N(F75)&gt;0,N(I75)&gt;0),I75-F75-IF(N(G75)&gt;0,0.5,0)-IF(N(H75)&gt;0,0.5,0),0)</f>
        <v/>
      </c>
      <c r="K75" s="5" t="n"/>
      <c r="L75" s="7">
        <f>MIN(J75,8.0)</f>
        <v/>
      </c>
      <c r="M75" s="7">
        <f>MAX(0,MIN(J75,12)-8.0)</f>
        <v/>
      </c>
      <c r="N75" s="7">
        <f>MAX(0,J75-12)</f>
        <v/>
      </c>
      <c r="O75" s="5" t="n"/>
      <c r="P75" s="6">
        <f>E75*(L75+M75*1.5+N75*2+O75*3+N(K75))</f>
        <v/>
      </c>
      <c r="Q75" s="6" t="n">
        <v>557.6</v>
      </c>
      <c r="R75" s="6">
        <f>Q75-P75</f>
        <v/>
      </c>
    </row>
    <row r="76">
      <c r="P76" s="2" t="inlineStr">
        <is>
          <t>LOCATIONMANAGERS LABOR</t>
        </is>
      </c>
      <c r="R76" s="8">
        <f>SUM(R75:R75)</f>
        <v/>
      </c>
    </row>
    <row r="78">
      <c r="B78" s="2" t="inlineStr">
        <is>
          <t>ASSISTANTLOCATIONMANAGERS</t>
        </is>
      </c>
    </row>
    <row r="79">
      <c r="A79" s="5" t="inlineStr">
        <is>
          <t>2008</t>
        </is>
      </c>
      <c r="B79" s="5" t="inlineStr">
        <is>
          <t>Rich Heichel</t>
        </is>
      </c>
      <c r="C79" s="5" t="inlineStr">
        <is>
          <t>KEYASSTLOCATIONMGR#1</t>
        </is>
      </c>
      <c r="D79" s="5" t="inlineStr">
        <is>
          <t>Local399</t>
        </is>
      </c>
      <c r="E79" s="6" t="n">
        <v>334.2</v>
      </c>
      <c r="F79" s="5" t="n"/>
      <c r="G79" s="5" t="n"/>
      <c r="H79" s="5" t="n"/>
      <c r="I79" s="5" t="n"/>
      <c r="J79" s="7">
        <f>IF(AND(N(F79)&gt;0,N(I79)&gt;0),I79-F79-IF(N(G79)&gt;0,0.5,0)-IF(N(H79)&gt;0,0.5,0),0)</f>
        <v/>
      </c>
      <c r="K79" s="5" t="n"/>
      <c r="L79" s="7">
        <f>MIN(J79,8.0)</f>
        <v/>
      </c>
      <c r="M79" s="7">
        <f>MAX(0,MIN(J79,12)-8.0)</f>
        <v/>
      </c>
      <c r="N79" s="7">
        <f>MAX(0,J79-12)</f>
        <v/>
      </c>
      <c r="O79" s="5" t="n"/>
      <c r="P79" s="6">
        <f>E79*(L79+M79*1.5+N79*2+O79*3+N(K79))</f>
        <v/>
      </c>
      <c r="Q79" s="6" t="n">
        <v>334.2</v>
      </c>
      <c r="R79" s="6">
        <f>Q79-P79</f>
        <v/>
      </c>
    </row>
    <row r="80">
      <c r="A80" s="5" t="inlineStr">
        <is>
          <t>2008</t>
        </is>
      </c>
      <c r="B80" s="5" t="inlineStr">
        <is>
          <t>Jason Mc Cauley</t>
        </is>
      </c>
      <c r="C80" s="5" t="inlineStr">
        <is>
          <t>LOCATIONASST</t>
        </is>
      </c>
      <c r="D80" s="5" t="inlineStr">
        <is>
          <t>Local399</t>
        </is>
      </c>
      <c r="E80" s="6" t="n">
        <v>229</v>
      </c>
      <c r="F80" s="5" t="n"/>
      <c r="G80" s="5" t="n"/>
      <c r="H80" s="5" t="n"/>
      <c r="I80" s="5" t="n"/>
      <c r="J80" s="7">
        <f>IF(AND(N(F80)&gt;0,N(I80)&gt;0),I80-F80-IF(N(G80)&gt;0,0.5,0)-IF(N(H80)&gt;0,0.5,0),0)</f>
        <v/>
      </c>
      <c r="K80" s="5" t="n"/>
      <c r="L80" s="7">
        <f>MIN(J80,8.0)</f>
        <v/>
      </c>
      <c r="M80" s="7">
        <f>MAX(0,MIN(J80,12)-8.0)</f>
        <v/>
      </c>
      <c r="N80" s="7">
        <f>MAX(0,J80-12)</f>
        <v/>
      </c>
      <c r="O80" s="5" t="n"/>
      <c r="P80" s="6">
        <f>E80*(L80+M80*1.5+N80*2+O80*3+N(K80))</f>
        <v/>
      </c>
      <c r="Q80" s="6" t="n">
        <v>229</v>
      </c>
      <c r="R80" s="6">
        <f>Q80-P80</f>
        <v/>
      </c>
    </row>
    <row r="81">
      <c r="P81" s="2" t="inlineStr">
        <is>
          <t>ASSISTANTLOCATIONMANAGERS LABOR</t>
        </is>
      </c>
      <c r="R81" s="8">
        <f>SUM(R79:R80)</f>
        <v/>
      </c>
    </row>
    <row r="83">
      <c r="B83" s="2" t="inlineStr">
        <is>
          <t>PRODUCTIONCOORDINATOR</t>
        </is>
      </c>
    </row>
    <row r="84">
      <c r="A84" s="5" t="inlineStr">
        <is>
          <t>2009</t>
        </is>
      </c>
      <c r="B84" s="5" t="inlineStr">
        <is>
          <t>Ali Griffith</t>
        </is>
      </c>
      <c r="C84" s="5" t="inlineStr">
        <is>
          <t>PRODUCTIONOFCCOORD</t>
        </is>
      </c>
      <c r="D84" s="5" t="inlineStr"/>
      <c r="E84" s="6" t="n">
        <v>360</v>
      </c>
      <c r="F84" s="5" t="n"/>
      <c r="G84" s="5" t="n"/>
      <c r="H84" s="5" t="n"/>
      <c r="I84" s="5" t="n"/>
      <c r="J84" s="7">
        <f>IF(AND(N(F84)&gt;0,N(I84)&gt;0),I84-F84-IF(N(G84)&gt;0,0.5,0)-IF(N(H84)&gt;0,0.5,0),0)</f>
        <v/>
      </c>
      <c r="K84" s="5" t="n"/>
      <c r="L84" s="7">
        <f>MIN(J84,8.0)</f>
        <v/>
      </c>
      <c r="M84" s="7">
        <f>MAX(0,MIN(J84,12)-8.0)</f>
        <v/>
      </c>
      <c r="N84" s="7">
        <f>MAX(0,J84-12)</f>
        <v/>
      </c>
      <c r="O84" s="5" t="n"/>
      <c r="P84" s="6">
        <f>E84*(L84+M84*1.5+N84*2+O84*3+N(K84))</f>
        <v/>
      </c>
      <c r="Q84" s="6" t="n">
        <v>360</v>
      </c>
      <c r="R84" s="6">
        <f>Q84-P84</f>
        <v/>
      </c>
    </row>
    <row r="85">
      <c r="P85" s="2" t="inlineStr">
        <is>
          <t>PRODUCTIONCOORDINATOR LABOR</t>
        </is>
      </c>
      <c r="R85" s="8">
        <f>SUM(R84:R84)</f>
        <v/>
      </c>
    </row>
    <row r="87">
      <c r="B87" s="2" t="inlineStr">
        <is>
          <t>ASSTPRODUCTIONCOORDINATOR</t>
        </is>
      </c>
    </row>
    <row r="88">
      <c r="A88" s="5" t="inlineStr">
        <is>
          <t>2010</t>
        </is>
      </c>
      <c r="B88" s="5" t="inlineStr">
        <is>
          <t>Holly Dellocono</t>
        </is>
      </c>
      <c r="C88" s="5" t="inlineStr">
        <is>
          <t>APOC</t>
        </is>
      </c>
      <c r="D88" s="5" t="inlineStr">
        <is>
          <t>Local871</t>
        </is>
      </c>
      <c r="E88" s="6" t="n">
        <v>20.57</v>
      </c>
      <c r="F88" s="5" t="n"/>
      <c r="G88" s="5" t="n"/>
      <c r="H88" s="5" t="n"/>
      <c r="I88" s="5" t="n"/>
      <c r="J88" s="7">
        <f>IF(AND(N(F88)&gt;0,N(I88)&gt;0),I88-F88-IF(N(G88)&gt;0,0.5,0)-IF(N(H88)&gt;0,0.5,0),0)</f>
        <v/>
      </c>
      <c r="K88" s="5" t="n"/>
      <c r="L88" s="7">
        <f>MIN(J88,10.0)</f>
        <v/>
      </c>
      <c r="M88" s="7">
        <f>MAX(0,MIN(J88,12)-10.0)</f>
        <v/>
      </c>
      <c r="N88" s="7">
        <f>MAX(0,J88-12)</f>
        <v/>
      </c>
      <c r="O88" s="5" t="n"/>
      <c r="P88" s="6">
        <f>E88*(L88+M88*1.5+N88*2+O88*3+N(K88))</f>
        <v/>
      </c>
      <c r="Q88" s="6" t="n">
        <v>287.98</v>
      </c>
      <c r="R88" s="6">
        <f>Q88-P88</f>
        <v/>
      </c>
    </row>
    <row r="89">
      <c r="P89" s="2" t="inlineStr">
        <is>
          <t>ASSTPRODUCTIONCOORDINATOR LABOR</t>
        </is>
      </c>
      <c r="R89" s="8">
        <f>SUM(R88:R88)</f>
        <v/>
      </c>
    </row>
    <row r="91">
      <c r="B91" s="2" t="inlineStr">
        <is>
          <t>OFFICESTAFFASSISTANTS</t>
        </is>
      </c>
    </row>
    <row r="92">
      <c r="A92" s="5" t="inlineStr">
        <is>
          <t>2011</t>
        </is>
      </c>
      <c r="B92" s="5" t="inlineStr">
        <is>
          <t>John Humber</t>
        </is>
      </c>
      <c r="C92" s="5" t="inlineStr">
        <is>
          <t>OFFICEPA#1</t>
        </is>
      </c>
      <c r="D92" s="5" t="inlineStr"/>
      <c r="E92" s="6" t="n">
        <v>22.5</v>
      </c>
      <c r="F92" s="5" t="n"/>
      <c r="G92" s="5" t="n"/>
      <c r="H92" s="5" t="n"/>
      <c r="I92" s="5" t="n"/>
      <c r="J92" s="7">
        <f>IF(AND(N(F92)&gt;0,N(I92)&gt;0),I92-F92-IF(N(G92)&gt;0,0.5,0)-IF(N(H92)&gt;0,0.5,0),0)</f>
        <v/>
      </c>
      <c r="K92" s="5" t="n"/>
      <c r="L92" s="7">
        <f>MIN(J92,8.0)</f>
        <v/>
      </c>
      <c r="M92" s="7">
        <f>MAX(0,MIN(J92,12)-8.0)</f>
        <v/>
      </c>
      <c r="N92" s="7">
        <f>MAX(0,J92-12)</f>
        <v/>
      </c>
      <c r="O92" s="5" t="n"/>
      <c r="P92" s="6">
        <f>E92*(L92+M92*1.5+N92*2+O92*3+N(K92))</f>
        <v/>
      </c>
      <c r="Q92" s="6" t="n">
        <v>168</v>
      </c>
      <c r="R92" s="6">
        <f>Q92-P92</f>
        <v/>
      </c>
    </row>
    <row r="93">
      <c r="A93" s="5" t="inlineStr">
        <is>
          <t>2011</t>
        </is>
      </c>
      <c r="B93" s="5" t="inlineStr">
        <is>
          <t>Sarah Semenas</t>
        </is>
      </c>
      <c r="C93" s="5" t="inlineStr">
        <is>
          <t>OFFICEPA#2</t>
        </is>
      </c>
      <c r="D93" s="5" t="inlineStr"/>
      <c r="E93" s="6" t="n">
        <v>22.5</v>
      </c>
      <c r="F93" s="5" t="n"/>
      <c r="G93" s="5" t="n"/>
      <c r="H93" s="5" t="n"/>
      <c r="I93" s="5" t="n"/>
      <c r="J93" s="7">
        <f>IF(AND(N(F93)&gt;0,N(I93)&gt;0),I93-F93-IF(N(G93)&gt;0,0.5,0)-IF(N(H93)&gt;0,0.5,0),0)</f>
        <v/>
      </c>
      <c r="K93" s="5" t="n"/>
      <c r="L93" s="7">
        <f>MIN(J93,8.0)</f>
        <v/>
      </c>
      <c r="M93" s="7">
        <f>MAX(0,MIN(J93,12)-8.0)</f>
        <v/>
      </c>
      <c r="N93" s="7">
        <f>MAX(0,J93-12)</f>
        <v/>
      </c>
      <c r="O93" s="5" t="n"/>
      <c r="P93" s="6">
        <f>E93*(L93+M93*1.5+N93*2+O93*3+N(K93))</f>
        <v/>
      </c>
      <c r="Q93" s="6" t="n">
        <v>168</v>
      </c>
      <c r="R93" s="6">
        <f>Q93-P93</f>
        <v/>
      </c>
    </row>
    <row r="94">
      <c r="P94" s="2" t="inlineStr">
        <is>
          <t>OFFICESTAFFASSISTANTS LABOR</t>
        </is>
      </c>
      <c r="R94" s="8">
        <f>SUM(R92:R93)</f>
        <v/>
      </c>
    </row>
    <row r="96">
      <c r="B96" s="2" t="inlineStr">
        <is>
          <t>SETSTAFFASSISTANTS</t>
        </is>
      </c>
    </row>
    <row r="97">
      <c r="A97" s="5" t="inlineStr">
        <is>
          <t>2012</t>
        </is>
      </c>
      <c r="B97" s="5" t="inlineStr">
        <is>
          <t>Paula Henry</t>
        </is>
      </c>
      <c r="C97" s="5" t="inlineStr">
        <is>
          <t>KEYSETPA</t>
        </is>
      </c>
      <c r="D97" s="5" t="inlineStr"/>
      <c r="E97" s="6" t="n">
        <v>12</v>
      </c>
      <c r="F97" s="5" t="n"/>
      <c r="G97" s="5" t="n"/>
      <c r="H97" s="5" t="n"/>
      <c r="I97" s="5" t="n"/>
      <c r="J97" s="7">
        <f>IF(AND(N(F97)&gt;0,N(I97)&gt;0),I97-F97-IF(N(G97)&gt;0,0.5,0)-IF(N(H97)&gt;0,0.5,0),0)</f>
        <v/>
      </c>
      <c r="K97" s="5" t="n"/>
      <c r="L97" s="7">
        <f>MIN(J97,8.0)</f>
        <v/>
      </c>
      <c r="M97" s="7">
        <f>MAX(0,MIN(J97,12)-8.0)</f>
        <v/>
      </c>
      <c r="N97" s="7">
        <f>MAX(0,J97-12)</f>
        <v/>
      </c>
      <c r="O97" s="5" t="n"/>
      <c r="P97" s="6">
        <f>E97*(L97+M97*1.5+N97*2+O97*3+N(K97))</f>
        <v/>
      </c>
      <c r="Q97" s="6" t="n">
        <v>216</v>
      </c>
      <c r="R97" s="6">
        <f>Q97-P97</f>
        <v/>
      </c>
    </row>
    <row r="98">
      <c r="A98" s="5" t="inlineStr">
        <is>
          <t>2012</t>
        </is>
      </c>
      <c r="B98" s="5" t="inlineStr"/>
      <c r="C98" s="5" t="inlineStr">
        <is>
          <t>SETPA#2</t>
        </is>
      </c>
      <c r="D98" s="5" t="inlineStr"/>
      <c r="E98" s="6" t="n">
        <v>12</v>
      </c>
      <c r="F98" s="5" t="n"/>
      <c r="G98" s="5" t="n"/>
      <c r="H98" s="5" t="n"/>
      <c r="I98" s="5" t="n"/>
      <c r="J98" s="7">
        <f>IF(AND(N(F98)&gt;0,N(I98)&gt;0),I98-F98-IF(N(G98)&gt;0,0.5,0)-IF(N(H98)&gt;0,0.5,0),0)</f>
        <v/>
      </c>
      <c r="K98" s="5" t="n"/>
      <c r="L98" s="7">
        <f>MIN(J98,8.0)</f>
        <v/>
      </c>
      <c r="M98" s="7">
        <f>MAX(0,MIN(J98,12)-8.0)</f>
        <v/>
      </c>
      <c r="N98" s="7">
        <f>MAX(0,J98-12)</f>
        <v/>
      </c>
      <c r="O98" s="5" t="n"/>
      <c r="P98" s="6">
        <f>E98*(L98+M98*1.5+N98*2+O98*3+N(K98))</f>
        <v/>
      </c>
      <c r="Q98" s="6" t="n">
        <v>216</v>
      </c>
      <c r="R98" s="6">
        <f>Q98-P98</f>
        <v/>
      </c>
    </row>
    <row r="99">
      <c r="A99" s="5" t="inlineStr">
        <is>
          <t>2012</t>
        </is>
      </c>
      <c r="B99" s="5" t="inlineStr"/>
      <c r="C99" s="5" t="inlineStr">
        <is>
          <t>SETPA#3</t>
        </is>
      </c>
      <c r="D99" s="5" t="inlineStr"/>
      <c r="E99" s="6" t="n">
        <v>12</v>
      </c>
      <c r="F99" s="5" t="n"/>
      <c r="G99" s="5" t="n"/>
      <c r="H99" s="5" t="n"/>
      <c r="I99" s="5" t="n"/>
      <c r="J99" s="7">
        <f>IF(AND(N(F99)&gt;0,N(I99)&gt;0),I99-F99-IF(N(G99)&gt;0,0.5,0)-IF(N(H99)&gt;0,0.5,0),0)</f>
        <v/>
      </c>
      <c r="K99" s="5" t="n"/>
      <c r="L99" s="7">
        <f>MIN(J99,8.0)</f>
        <v/>
      </c>
      <c r="M99" s="7">
        <f>MAX(0,MIN(J99,12)-8.0)</f>
        <v/>
      </c>
      <c r="N99" s="7">
        <f>MAX(0,J99-12)</f>
        <v/>
      </c>
      <c r="O99" s="5" t="n"/>
      <c r="P99" s="6">
        <f>E99*(L99+M99*1.5+N99*2+O99*3+N(K99))</f>
        <v/>
      </c>
      <c r="Q99" s="6" t="n">
        <v>216</v>
      </c>
      <c r="R99" s="6">
        <f>Q99-P99</f>
        <v/>
      </c>
    </row>
    <row r="100">
      <c r="A100" s="5" t="inlineStr">
        <is>
          <t>2012</t>
        </is>
      </c>
      <c r="B100" s="5" t="inlineStr"/>
      <c r="C100" s="5" t="inlineStr">
        <is>
          <t>SETPA#4</t>
        </is>
      </c>
      <c r="D100" s="5" t="inlineStr"/>
      <c r="E100" s="6" t="n">
        <v>12</v>
      </c>
      <c r="F100" s="5" t="n"/>
      <c r="G100" s="5" t="n"/>
      <c r="H100" s="5" t="n"/>
      <c r="I100" s="5" t="n"/>
      <c r="J100" s="7">
        <f>IF(AND(N(F100)&gt;0,N(I100)&gt;0),I100-F100-IF(N(G100)&gt;0,0.5,0)-IF(N(H100)&gt;0,0.5,0),0)</f>
        <v/>
      </c>
      <c r="K100" s="5" t="n"/>
      <c r="L100" s="7">
        <f>MIN(J100,8.0)</f>
        <v/>
      </c>
      <c r="M100" s="7">
        <f>MAX(0,MIN(J100,12)-8.0)</f>
        <v/>
      </c>
      <c r="N100" s="7">
        <f>MAX(0,J100-12)</f>
        <v/>
      </c>
      <c r="O100" s="5" t="n"/>
      <c r="P100" s="6">
        <f>E100*(L100+M100*1.5+N100*2+O100*3+N(K100))</f>
        <v/>
      </c>
      <c r="Q100" s="6" t="n">
        <v>216</v>
      </c>
      <c r="R100" s="6">
        <f>Q100-P100</f>
        <v/>
      </c>
    </row>
    <row r="101">
      <c r="P101" s="2" t="inlineStr">
        <is>
          <t>SETSTAFFASSISTANTS LABOR</t>
        </is>
      </c>
      <c r="R101" s="8">
        <f>SUM(R97:R100)</f>
        <v/>
      </c>
    </row>
    <row r="103">
      <c r="B103" s="2" t="inlineStr">
        <is>
          <t>PRODUCTIONACCOUNTANT</t>
        </is>
      </c>
    </row>
    <row r="104">
      <c r="A104" s="5" t="inlineStr">
        <is>
          <t>2013</t>
        </is>
      </c>
      <c r="B104" s="5" t="inlineStr">
        <is>
          <t>Joel Tokarsky</t>
        </is>
      </c>
      <c r="C104" s="5" t="inlineStr">
        <is>
          <t>PRODUCTIONACCOUNTANT</t>
        </is>
      </c>
      <c r="D104" s="5" t="inlineStr">
        <is>
          <t>Local871</t>
        </is>
      </c>
      <c r="E104" s="6" t="n">
        <v>740</v>
      </c>
      <c r="F104" s="5" t="n"/>
      <c r="G104" s="5" t="n"/>
      <c r="H104" s="5" t="n"/>
      <c r="I104" s="5" t="n"/>
      <c r="J104" s="7">
        <f>IF(AND(N(F104)&gt;0,N(I104)&gt;0),I104-F104-IF(N(G104)&gt;0,0.5,0)-IF(N(H104)&gt;0,0.5,0),0)</f>
        <v/>
      </c>
      <c r="K104" s="5" t="n"/>
      <c r="L104" s="7">
        <f>MIN(J104,10.0)</f>
        <v/>
      </c>
      <c r="M104" s="7">
        <f>MAX(0,MIN(J104,12)-10.0)</f>
        <v/>
      </c>
      <c r="N104" s="7">
        <f>MAX(0,J104-12)</f>
        <v/>
      </c>
      <c r="O104" s="5" t="n"/>
      <c r="P104" s="6">
        <f>E104*(L104+M104*1.5+N104*2+O104*3+N(K104))</f>
        <v/>
      </c>
      <c r="Q104" s="6" t="n">
        <v>740</v>
      </c>
      <c r="R104" s="6">
        <f>Q104-P104</f>
        <v/>
      </c>
    </row>
    <row r="105">
      <c r="P105" s="2" t="inlineStr">
        <is>
          <t>PRODUCTIONACCOUNTANT LABOR</t>
        </is>
      </c>
      <c r="R105" s="8">
        <f>SUM(R104:R104)</f>
        <v/>
      </c>
    </row>
    <row r="107">
      <c r="B107" s="2" t="inlineStr">
        <is>
          <t>ASSTPRODUCTIONACCOUNTANTS</t>
        </is>
      </c>
    </row>
    <row r="108">
      <c r="A108" s="5" t="inlineStr">
        <is>
          <t>2014</t>
        </is>
      </c>
      <c r="B108" s="5" t="inlineStr">
        <is>
          <t>Co-Co Aiello</t>
        </is>
      </c>
      <c r="C108" s="5" t="inlineStr">
        <is>
          <t>1STASSTACCT</t>
        </is>
      </c>
      <c r="D108" s="5" t="inlineStr">
        <is>
          <t>Local871</t>
        </is>
      </c>
      <c r="E108" s="6" t="n">
        <v>480</v>
      </c>
      <c r="F108" s="5" t="n"/>
      <c r="G108" s="5" t="n"/>
      <c r="H108" s="5" t="n"/>
      <c r="I108" s="5" t="n"/>
      <c r="J108" s="7">
        <f>IF(AND(N(F108)&gt;0,N(I108)&gt;0),I108-F108-IF(N(G108)&gt;0,0.5,0)-IF(N(H108)&gt;0,0.5,0),0)</f>
        <v/>
      </c>
      <c r="K108" s="5" t="n"/>
      <c r="L108" s="7">
        <f>MIN(J108,10.0)</f>
        <v/>
      </c>
      <c r="M108" s="7">
        <f>MAX(0,MIN(J108,12)-10.0)</f>
        <v/>
      </c>
      <c r="N108" s="7">
        <f>MAX(0,J108-12)</f>
        <v/>
      </c>
      <c r="O108" s="5" t="n"/>
      <c r="P108" s="6">
        <f>E108*(L108+M108*1.5+N108*2+O108*3+N(K108))</f>
        <v/>
      </c>
      <c r="Q108" s="6" t="n">
        <v>480</v>
      </c>
      <c r="R108" s="6">
        <f>Q108-P108</f>
        <v/>
      </c>
    </row>
    <row r="109">
      <c r="A109" s="5" t="inlineStr">
        <is>
          <t>2014</t>
        </is>
      </c>
      <c r="B109" s="5" t="inlineStr">
        <is>
          <t>Steve Goldstein</t>
        </is>
      </c>
      <c r="C109" s="5" t="inlineStr">
        <is>
          <t>PAYROLLACCT</t>
        </is>
      </c>
      <c r="D109" s="5" t="inlineStr">
        <is>
          <t>Local871</t>
        </is>
      </c>
      <c r="E109" s="6" t="n">
        <v>420</v>
      </c>
      <c r="F109" s="5" t="n"/>
      <c r="G109" s="5" t="n"/>
      <c r="H109" s="5" t="n"/>
      <c r="I109" s="5" t="n"/>
      <c r="J109" s="7">
        <f>IF(AND(N(F109)&gt;0,N(I109)&gt;0),I109-F109-IF(N(G109)&gt;0,0.5,0)-IF(N(H109)&gt;0,0.5,0),0)</f>
        <v/>
      </c>
      <c r="K109" s="5" t="n"/>
      <c r="L109" s="7">
        <f>MIN(J109,10.0)</f>
        <v/>
      </c>
      <c r="M109" s="7">
        <f>MAX(0,MIN(J109,12)-10.0)</f>
        <v/>
      </c>
      <c r="N109" s="7">
        <f>MAX(0,J109-12)</f>
        <v/>
      </c>
      <c r="O109" s="5" t="n"/>
      <c r="P109" s="6">
        <f>E109*(L109+M109*1.5+N109*2+O109*3+N(K109))</f>
        <v/>
      </c>
      <c r="Q109" s="6" t="n">
        <v>420</v>
      </c>
      <c r="R109" s="6">
        <f>Q109-P109</f>
        <v/>
      </c>
    </row>
    <row r="110">
      <c r="P110" s="2" t="inlineStr">
        <is>
          <t>ASSTPRODUCTIONACCOUNTANTS LABOR</t>
        </is>
      </c>
      <c r="R110" s="8">
        <f>SUM(R108:R109)</f>
        <v/>
      </c>
    </row>
    <row r="112">
      <c r="B112" s="2" t="inlineStr">
        <is>
          <t>CONSTRUCTIONCOORDINATOR</t>
        </is>
      </c>
    </row>
    <row r="113">
      <c r="A113" s="5" t="inlineStr">
        <is>
          <t>2302</t>
        </is>
      </c>
      <c r="B113" s="5" t="inlineStr">
        <is>
          <t>Drew Rebelin</t>
        </is>
      </c>
      <c r="C113" s="5" t="inlineStr">
        <is>
          <t>CONSTCOORDINATOR</t>
        </is>
      </c>
      <c r="D113" s="5" t="inlineStr">
        <is>
          <t>Local44</t>
        </is>
      </c>
      <c r="E113" s="6" t="n">
        <v>400</v>
      </c>
      <c r="F113" s="5" t="n"/>
      <c r="G113" s="5" t="n"/>
      <c r="H113" s="5" t="n"/>
      <c r="I113" s="5" t="n"/>
      <c r="J113" s="7">
        <f>IF(AND(N(F113)&gt;0,N(I113)&gt;0),I113-F113-IF(N(G113)&gt;0,0.5,0)-IF(N(H113)&gt;0,0.5,0),0)</f>
        <v/>
      </c>
      <c r="K113" s="5" t="n"/>
      <c r="L113" s="7">
        <f>MIN(J113,10.0)</f>
        <v/>
      </c>
      <c r="M113" s="7">
        <f>MAX(0,MIN(J113,12)-10.0)</f>
        <v/>
      </c>
      <c r="N113" s="7">
        <f>MAX(0,J113-12)</f>
        <v/>
      </c>
      <c r="O113" s="5" t="n"/>
      <c r="P113" s="6">
        <f>E113*(L113+M113*1.5+N113*2+O113*3+N(K113))</f>
        <v/>
      </c>
      <c r="Q113" s="5" t="n"/>
      <c r="R113" s="6">
        <f>Q113-P113</f>
        <v/>
      </c>
    </row>
    <row r="114">
      <c r="P114" s="2" t="inlineStr">
        <is>
          <t>CONSTRUCTIONCOORDINATOR LABOR</t>
        </is>
      </c>
      <c r="R114" s="8">
        <f>SUM(R113:R113)</f>
        <v/>
      </c>
    </row>
    <row r="116">
      <c r="B116" s="2" t="inlineStr">
        <is>
          <t>PAINTFOREMAN</t>
        </is>
      </c>
    </row>
    <row r="117">
      <c r="A117" s="5" t="inlineStr">
        <is>
          <t>2304</t>
        </is>
      </c>
      <c r="B117" s="5" t="inlineStr">
        <is>
          <t>Kristeen Reimnitz</t>
        </is>
      </c>
      <c r="C117" s="5" t="inlineStr">
        <is>
          <t>PAINTER</t>
        </is>
      </c>
      <c r="D117" s="5" t="inlineStr">
        <is>
          <t>Local729</t>
        </is>
      </c>
      <c r="E117" s="6" t="n">
        <v>23.04</v>
      </c>
      <c r="F117" s="5" t="n"/>
      <c r="G117" s="5" t="n"/>
      <c r="H117" s="5" t="n"/>
      <c r="I117" s="5" t="n"/>
      <c r="J117" s="7">
        <f>IF(AND(N(F117)&gt;0,N(I117)&gt;0),I117-F117-IF(N(G117)&gt;0,0.5,0)-IF(N(H117)&gt;0,0.5,0),0)</f>
        <v/>
      </c>
      <c r="K117" s="5" t="n"/>
      <c r="L117" s="7">
        <f>MIN(J117,10.0)</f>
        <v/>
      </c>
      <c r="M117" s="7">
        <f>MAX(0,MIN(J117,12)-10.0)</f>
        <v/>
      </c>
      <c r="N117" s="7">
        <f>MAX(0,J117-12)</f>
        <v/>
      </c>
      <c r="O117" s="5" t="n"/>
      <c r="P117" s="6">
        <f>E117*(L117+M117*1.5+N117*2+O117*3+N(K117))</f>
        <v/>
      </c>
      <c r="Q117" s="5" t="n"/>
      <c r="R117" s="6">
        <f>Q117-P117</f>
        <v/>
      </c>
    </row>
    <row r="118">
      <c r="P118" s="2" t="inlineStr">
        <is>
          <t>PAINTFOREMAN LABOR</t>
        </is>
      </c>
      <c r="R118" s="8">
        <f>SUM(R117:R117)</f>
        <v/>
      </c>
    </row>
    <row r="120">
      <c r="B120" s="2" t="inlineStr">
        <is>
          <t>FIRSTAIDLABOR</t>
        </is>
      </c>
    </row>
    <row r="121">
      <c r="A121" s="5" t="inlineStr">
        <is>
          <t>2310</t>
        </is>
      </c>
      <c r="B121" s="5" t="inlineStr"/>
      <c r="C121" s="5" t="inlineStr">
        <is>
          <t>CONSTRUCTIONMEDIC</t>
        </is>
      </c>
      <c r="D121" s="5" t="inlineStr">
        <is>
          <t>Local80</t>
        </is>
      </c>
      <c r="E121" s="6" t="n">
        <v>23.04</v>
      </c>
      <c r="F121" s="5" t="n"/>
      <c r="G121" s="5" t="n"/>
      <c r="H121" s="5" t="n"/>
      <c r="I121" s="5" t="n"/>
      <c r="J121" s="7">
        <f>IF(AND(N(F121)&gt;0,N(I121)&gt;0),I121-F121-IF(N(G121)&gt;0,0.5,0)-IF(N(H121)&gt;0,0.5,0),0)</f>
        <v/>
      </c>
      <c r="K121" s="5" t="n"/>
      <c r="L121" s="7">
        <f>MIN(J121,10.0)</f>
        <v/>
      </c>
      <c r="M121" s="7">
        <f>MAX(0,MIN(J121,12)-10.0)</f>
        <v/>
      </c>
      <c r="N121" s="7">
        <f>MAX(0,J121-12)</f>
        <v/>
      </c>
      <c r="O121" s="5" t="n"/>
      <c r="P121" s="6">
        <f>E121*(L121+M121*1.5+N121*2+O121*3+N(K121))</f>
        <v/>
      </c>
      <c r="Q121" s="5" t="n"/>
      <c r="R121" s="6">
        <f>Q121-P121</f>
        <v/>
      </c>
    </row>
    <row r="122">
      <c r="P122" s="2" t="inlineStr">
        <is>
          <t>FIRSTAIDLABOR LABOR</t>
        </is>
      </c>
      <c r="R122" s="8">
        <f>SUM(R121:R121)</f>
        <v/>
      </c>
    </row>
    <row r="124">
      <c r="B124" s="2" t="inlineStr">
        <is>
          <t>KEYGRIP</t>
        </is>
      </c>
    </row>
    <row r="125">
      <c r="A125" s="5" t="inlineStr">
        <is>
          <t>2501</t>
        </is>
      </c>
      <c r="B125" s="5" t="inlineStr">
        <is>
          <t>Pat O'Mara</t>
        </is>
      </c>
      <c r="C125" s="5" t="inlineStr">
        <is>
          <t>KEYGRIP</t>
        </is>
      </c>
      <c r="D125" s="5" t="inlineStr">
        <is>
          <t>Local80</t>
        </is>
      </c>
      <c r="E125" s="6" t="n">
        <v>25.5</v>
      </c>
      <c r="F125" s="5" t="n"/>
      <c r="G125" s="5" t="n"/>
      <c r="H125" s="5" t="n"/>
      <c r="I125" s="5" t="n"/>
      <c r="J125" s="7">
        <f>IF(AND(N(F125)&gt;0,N(I125)&gt;0),I125-F125-IF(N(G125)&gt;0,0.5,0)-IF(N(H125)&gt;0,0.5,0),0)</f>
        <v/>
      </c>
      <c r="K125" s="5" t="n"/>
      <c r="L125" s="7">
        <f>MIN(J125,10.0)</f>
        <v/>
      </c>
      <c r="M125" s="7">
        <f>MAX(0,MIN(J125,12)-10.0)</f>
        <v/>
      </c>
      <c r="N125" s="7">
        <f>MAX(0,J125-12)</f>
        <v/>
      </c>
      <c r="O125" s="5" t="n"/>
      <c r="P125" s="6">
        <f>E125*(L125+M125*1.5+N125*2+O125*3+N(K125))</f>
        <v/>
      </c>
      <c r="Q125" s="6" t="n">
        <v>395.25</v>
      </c>
      <c r="R125" s="6">
        <f>Q125-P125</f>
        <v/>
      </c>
    </row>
    <row r="126">
      <c r="P126" s="2" t="inlineStr">
        <is>
          <t>KEYGRIP LABOR</t>
        </is>
      </c>
      <c r="R126" s="8">
        <f>SUM(R125:R125)</f>
        <v/>
      </c>
    </row>
    <row r="128">
      <c r="B128" s="2" t="inlineStr">
        <is>
          <t>BESTBOYGRIP</t>
        </is>
      </c>
    </row>
    <row r="129">
      <c r="A129" s="5" t="inlineStr">
        <is>
          <t>2502</t>
        </is>
      </c>
      <c r="B129" s="5" t="inlineStr">
        <is>
          <t>Aaron Fairley</t>
        </is>
      </c>
      <c r="C129" s="5" t="inlineStr">
        <is>
          <t>BESTBOYGRIP</t>
        </is>
      </c>
      <c r="D129" s="5" t="inlineStr">
        <is>
          <t>Local80</t>
        </is>
      </c>
      <c r="E129" s="6" t="n">
        <v>23.04</v>
      </c>
      <c r="F129" s="5" t="n"/>
      <c r="G129" s="5" t="n"/>
      <c r="H129" s="5" t="n"/>
      <c r="I129" s="5" t="n"/>
      <c r="J129" s="7">
        <f>IF(AND(N(F129)&gt;0,N(I129)&gt;0),I129-F129-IF(N(G129)&gt;0,0.5,0)-IF(N(H129)&gt;0,0.5,0),0)</f>
        <v/>
      </c>
      <c r="K129" s="5" t="n"/>
      <c r="L129" s="7">
        <f>MIN(J129,10.0)</f>
        <v/>
      </c>
      <c r="M129" s="7">
        <f>MAX(0,MIN(J129,12)-10.0)</f>
        <v/>
      </c>
      <c r="N129" s="7">
        <f>MAX(0,J129-12)</f>
        <v/>
      </c>
      <c r="O129" s="5" t="n"/>
      <c r="P129" s="6">
        <f>E129*(L129+M129*1.5+N129*2+O129*3+N(K129))</f>
        <v/>
      </c>
      <c r="Q129" s="6" t="n">
        <v>357.12</v>
      </c>
      <c r="R129" s="6">
        <f>Q129-P129</f>
        <v/>
      </c>
    </row>
    <row r="130">
      <c r="A130" s="5" t="inlineStr">
        <is>
          <t>2502</t>
        </is>
      </c>
      <c r="B130" s="5" t="inlineStr"/>
      <c r="C130" s="5" t="inlineStr">
        <is>
          <t>STUDIOBESTBOYGRIP</t>
        </is>
      </c>
      <c r="D130" s="5" t="inlineStr">
        <is>
          <t>Local80</t>
        </is>
      </c>
      <c r="E130" s="6" t="n">
        <v>43.05</v>
      </c>
      <c r="F130" s="5" t="n"/>
      <c r="G130" s="5" t="n"/>
      <c r="H130" s="5" t="n"/>
      <c r="I130" s="5" t="n"/>
      <c r="J130" s="7">
        <f>IF(AND(N(F130)&gt;0,N(I130)&gt;0),I130-F130-IF(N(G130)&gt;0,0.5,0)-IF(N(H130)&gt;0,0.5,0),0)</f>
        <v/>
      </c>
      <c r="K130" s="5" t="n"/>
      <c r="L130" s="7">
        <f>MIN(J130,10.0)</f>
        <v/>
      </c>
      <c r="M130" s="7">
        <f>MAX(0,MIN(J130,12)-10.0)</f>
        <v/>
      </c>
      <c r="N130" s="7">
        <f>MAX(0,J130-12)</f>
        <v/>
      </c>
      <c r="O130" s="5" t="n"/>
      <c r="P130" s="6">
        <f>E130*(L130+M130*1.5+N130*2+O130*3+N(K130))</f>
        <v/>
      </c>
      <c r="Q130" s="6" t="n">
        <v>667.27</v>
      </c>
      <c r="R130" s="6">
        <f>Q130-P130</f>
        <v/>
      </c>
    </row>
    <row r="131">
      <c r="P131" s="2" t="inlineStr">
        <is>
          <t>BESTBOYGRIP LABOR</t>
        </is>
      </c>
      <c r="R131" s="8">
        <f>SUM(R129:R130)</f>
        <v/>
      </c>
    </row>
    <row r="133">
      <c r="B133" s="2" t="inlineStr">
        <is>
          <t>DOLLYGRIP</t>
        </is>
      </c>
    </row>
    <row r="134">
      <c r="A134" s="5" t="inlineStr">
        <is>
          <t>2503</t>
        </is>
      </c>
      <c r="B134" s="5" t="inlineStr">
        <is>
          <t>Peter Weidenfeller</t>
        </is>
      </c>
      <c r="C134" s="5" t="inlineStr">
        <is>
          <t>"A"DOLLYGRIP</t>
        </is>
      </c>
      <c r="D134" s="5" t="inlineStr">
        <is>
          <t>Local80</t>
        </is>
      </c>
      <c r="E134" s="6" t="n">
        <v>23.04</v>
      </c>
      <c r="F134" s="5" t="n"/>
      <c r="G134" s="5" t="n"/>
      <c r="H134" s="5" t="n"/>
      <c r="I134" s="5" t="n"/>
      <c r="J134" s="7">
        <f>IF(AND(N(F134)&gt;0,N(I134)&gt;0),I134-F134-IF(N(G134)&gt;0,0.5,0)-IF(N(H134)&gt;0,0.5,0),0)</f>
        <v/>
      </c>
      <c r="K134" s="5" t="n"/>
      <c r="L134" s="7">
        <f>MIN(J134,10.0)</f>
        <v/>
      </c>
      <c r="M134" s="7">
        <f>MAX(0,MIN(J134,12)-10.0)</f>
        <v/>
      </c>
      <c r="N134" s="7">
        <f>MAX(0,J134-12)</f>
        <v/>
      </c>
      <c r="O134" s="5" t="n"/>
      <c r="P134" s="6">
        <f>E134*(L134+M134*1.5+N134*2+O134*3+N(K134))</f>
        <v/>
      </c>
      <c r="Q134" s="6" t="n">
        <v>357.12</v>
      </c>
      <c r="R134" s="6">
        <f>Q134-P134</f>
        <v/>
      </c>
    </row>
    <row r="135">
      <c r="P135" s="2" t="inlineStr">
        <is>
          <t>DOLLYGRIP LABOR</t>
        </is>
      </c>
      <c r="R135" s="8">
        <f>SUM(R134:R134)</f>
        <v/>
      </c>
    </row>
    <row r="137">
      <c r="B137" s="2" t="inlineStr">
        <is>
          <t>CRANEGRIPS</t>
        </is>
      </c>
    </row>
    <row r="138">
      <c r="A138" s="5" t="inlineStr">
        <is>
          <t>2504</t>
        </is>
      </c>
      <c r="B138" s="5" t="inlineStr"/>
      <c r="C138" s="5" t="inlineStr">
        <is>
          <t>CRANEOPERATOR</t>
        </is>
      </c>
      <c r="D138" s="5" t="inlineStr">
        <is>
          <t>Local80</t>
        </is>
      </c>
      <c r="E138" s="6" t="n">
        <v>792</v>
      </c>
      <c r="F138" s="5" t="n"/>
      <c r="G138" s="5" t="n"/>
      <c r="H138" s="5" t="n"/>
      <c r="I138" s="5" t="n"/>
      <c r="J138" s="7">
        <f>IF(AND(N(F138)&gt;0,N(I138)&gt;0),I138-F138-IF(N(G138)&gt;0,0.5,0)-IF(N(H138)&gt;0,0.5,0),0)</f>
        <v/>
      </c>
      <c r="K138" s="5" t="n"/>
      <c r="L138" s="7">
        <f>MIN(J138,10.0)</f>
        <v/>
      </c>
      <c r="M138" s="7">
        <f>MAX(0,MIN(J138,12)-10.0)</f>
        <v/>
      </c>
      <c r="N138" s="7">
        <f>MAX(0,J138-12)</f>
        <v/>
      </c>
      <c r="O138" s="5" t="n"/>
      <c r="P138" s="6">
        <f>E138*(L138+M138*1.5+N138*2+O138*3+N(K138))</f>
        <v/>
      </c>
      <c r="Q138" s="6" t="n">
        <v>924</v>
      </c>
      <c r="R138" s="6">
        <f>Q138-P138</f>
        <v/>
      </c>
    </row>
    <row r="139">
      <c r="A139" s="5" t="inlineStr">
        <is>
          <t>2504</t>
        </is>
      </c>
      <c r="B139" s="5" t="inlineStr"/>
      <c r="C139" s="5" t="inlineStr">
        <is>
          <t>CRANEASSISTANT</t>
        </is>
      </c>
      <c r="D139" s="5" t="inlineStr">
        <is>
          <t>Local80</t>
        </is>
      </c>
      <c r="E139" s="6" t="n">
        <v>660</v>
      </c>
      <c r="F139" s="5" t="n"/>
      <c r="G139" s="5" t="n"/>
      <c r="H139" s="5" t="n"/>
      <c r="I139" s="5" t="n"/>
      <c r="J139" s="7">
        <f>IF(AND(N(F139)&gt;0,N(I139)&gt;0),I139-F139-IF(N(G139)&gt;0,0.5,0)-IF(N(H139)&gt;0,0.5,0),0)</f>
        <v/>
      </c>
      <c r="K139" s="5" t="n"/>
      <c r="L139" s="7">
        <f>MIN(J139,10.0)</f>
        <v/>
      </c>
      <c r="M139" s="7">
        <f>MAX(0,MIN(J139,12)-10.0)</f>
        <v/>
      </c>
      <c r="N139" s="7">
        <f>MAX(0,J139-12)</f>
        <v/>
      </c>
      <c r="O139" s="5" t="n"/>
      <c r="P139" s="6">
        <f>E139*(L139+M139*1.5+N139*2+O139*3+N(K139))</f>
        <v/>
      </c>
      <c r="Q139" s="6" t="n">
        <v>770</v>
      </c>
      <c r="R139" s="6">
        <f>Q139-P139</f>
        <v/>
      </c>
    </row>
    <row r="140">
      <c r="P140" s="2" t="inlineStr">
        <is>
          <t>CRANEGRIPS LABOR</t>
        </is>
      </c>
      <c r="R140" s="8">
        <f>SUM(R138:R139)</f>
        <v/>
      </c>
    </row>
    <row r="142">
      <c r="B142" s="2" t="inlineStr">
        <is>
          <t>COMPANYGRIPS</t>
        </is>
      </c>
    </row>
    <row r="143">
      <c r="A143" s="5" t="inlineStr">
        <is>
          <t>2505</t>
        </is>
      </c>
      <c r="B143" s="5" t="inlineStr"/>
      <c r="C143" s="5" t="inlineStr">
        <is>
          <t>GRIP#1</t>
        </is>
      </c>
      <c r="D143" s="5" t="inlineStr">
        <is>
          <t>Local80</t>
        </is>
      </c>
      <c r="E143" s="6" t="n">
        <v>20.57</v>
      </c>
      <c r="F143" s="5" t="n"/>
      <c r="G143" s="5" t="n"/>
      <c r="H143" s="5" t="n"/>
      <c r="I143" s="5" t="n"/>
      <c r="J143" s="7">
        <f>IF(AND(N(F143)&gt;0,N(I143)&gt;0),I143-F143-IF(N(G143)&gt;0,0.5,0)-IF(N(H143)&gt;0,0.5,0),0)</f>
        <v/>
      </c>
      <c r="K143" s="5" t="n"/>
      <c r="L143" s="7">
        <f>MIN(J143,10.0)</f>
        <v/>
      </c>
      <c r="M143" s="7">
        <f>MAX(0,MIN(J143,12)-10.0)</f>
        <v/>
      </c>
      <c r="N143" s="7">
        <f>MAX(0,J143-12)</f>
        <v/>
      </c>
      <c r="O143" s="5" t="n"/>
      <c r="P143" s="6">
        <f>E143*(L143+M143*1.5+N143*2+O143*3+N(K143))</f>
        <v/>
      </c>
      <c r="Q143" s="6" t="n">
        <v>318.83</v>
      </c>
      <c r="R143" s="6">
        <f>Q143-P143</f>
        <v/>
      </c>
    </row>
    <row r="144">
      <c r="A144" s="5" t="inlineStr">
        <is>
          <t>2505</t>
        </is>
      </c>
      <c r="B144" s="5" t="inlineStr"/>
      <c r="C144" s="5" t="inlineStr">
        <is>
          <t>GRIP#2</t>
        </is>
      </c>
      <c r="D144" s="5" t="inlineStr">
        <is>
          <t>Local80</t>
        </is>
      </c>
      <c r="E144" s="6" t="n">
        <v>20.57</v>
      </c>
      <c r="F144" s="5" t="n"/>
      <c r="G144" s="5" t="n"/>
      <c r="H144" s="5" t="n"/>
      <c r="I144" s="5" t="n"/>
      <c r="J144" s="7">
        <f>IF(AND(N(F144)&gt;0,N(I144)&gt;0),I144-F144-IF(N(G144)&gt;0,0.5,0)-IF(N(H144)&gt;0,0.5,0),0)</f>
        <v/>
      </c>
      <c r="K144" s="5" t="n"/>
      <c r="L144" s="7">
        <f>MIN(J144,10.0)</f>
        <v/>
      </c>
      <c r="M144" s="7">
        <f>MAX(0,MIN(J144,12)-10.0)</f>
        <v/>
      </c>
      <c r="N144" s="7">
        <f>MAX(0,J144-12)</f>
        <v/>
      </c>
      <c r="O144" s="5" t="n"/>
      <c r="P144" s="6">
        <f>E144*(L144+M144*1.5+N144*2+O144*3+N(K144))</f>
        <v/>
      </c>
      <c r="Q144" s="6" t="n">
        <v>318.83</v>
      </c>
      <c r="R144" s="6">
        <f>Q144-P144</f>
        <v/>
      </c>
    </row>
    <row r="145">
      <c r="A145" s="5" t="inlineStr">
        <is>
          <t>2505</t>
        </is>
      </c>
      <c r="B145" s="5" t="inlineStr"/>
      <c r="C145" s="5" t="inlineStr">
        <is>
          <t>GRIP#3</t>
        </is>
      </c>
      <c r="D145" s="5" t="inlineStr">
        <is>
          <t>Local80</t>
        </is>
      </c>
      <c r="E145" s="6" t="n">
        <v>20.57</v>
      </c>
      <c r="F145" s="5" t="n"/>
      <c r="G145" s="5" t="n"/>
      <c r="H145" s="5" t="n"/>
      <c r="I145" s="5" t="n"/>
      <c r="J145" s="7">
        <f>IF(AND(N(F145)&gt;0,N(I145)&gt;0),I145-F145-IF(N(G145)&gt;0,0.5,0)-IF(N(H145)&gt;0,0.5,0),0)</f>
        <v/>
      </c>
      <c r="K145" s="5" t="n"/>
      <c r="L145" s="7">
        <f>MIN(J145,10.0)</f>
        <v/>
      </c>
      <c r="M145" s="7">
        <f>MAX(0,MIN(J145,12)-10.0)</f>
        <v/>
      </c>
      <c r="N145" s="7">
        <f>MAX(0,J145-12)</f>
        <v/>
      </c>
      <c r="O145" s="5" t="n"/>
      <c r="P145" s="6">
        <f>E145*(L145+M145*1.5+N145*2+O145*3+N(K145))</f>
        <v/>
      </c>
      <c r="Q145" s="6" t="n">
        <v>318.83</v>
      </c>
      <c r="R145" s="6">
        <f>Q145-P145</f>
        <v/>
      </c>
    </row>
    <row r="146">
      <c r="P146" s="2" t="inlineStr">
        <is>
          <t>COMPANYGRIPS LABOR</t>
        </is>
      </c>
      <c r="R146" s="8">
        <f>SUM(R143:R145)</f>
        <v/>
      </c>
    </row>
    <row r="148">
      <c r="B148" s="2" t="inlineStr">
        <is>
          <t>OTHERLABOR</t>
        </is>
      </c>
    </row>
    <row r="149">
      <c r="A149" s="5" t="inlineStr">
        <is>
          <t>2506</t>
        </is>
      </c>
      <c r="B149" s="5" t="inlineStr"/>
      <c r="C149" s="5" t="inlineStr">
        <is>
          <t>GRIPMANDAYS&amp;RIGGINGMANDAYS</t>
        </is>
      </c>
      <c r="D149" s="5" t="inlineStr">
        <is>
          <t>Local80</t>
        </is>
      </c>
      <c r="E149" s="6" t="n">
        <v>20.57</v>
      </c>
      <c r="F149" s="5" t="n"/>
      <c r="G149" s="5" t="n"/>
      <c r="H149" s="5" t="n"/>
      <c r="I149" s="5" t="n"/>
      <c r="J149" s="7">
        <f>IF(AND(N(F149)&gt;0,N(I149)&gt;0),I149-F149-IF(N(G149)&gt;0,0.5,0)-IF(N(H149)&gt;0,0.5,0),0)</f>
        <v/>
      </c>
      <c r="K149" s="5" t="n"/>
      <c r="L149" s="7">
        <f>MIN(J149,10.0)</f>
        <v/>
      </c>
      <c r="M149" s="7">
        <f>MAX(0,MIN(J149,12)-10.0)</f>
        <v/>
      </c>
      <c r="N149" s="7">
        <f>MAX(0,J149-12)</f>
        <v/>
      </c>
      <c r="O149" s="5" t="n"/>
      <c r="P149" s="6">
        <f>E149*(L149+M149*1.5+N149*2+O149*3+N(K149))</f>
        <v/>
      </c>
      <c r="Q149" s="6" t="n">
        <v>318.83</v>
      </c>
      <c r="R149" s="6">
        <f>Q149-P149</f>
        <v/>
      </c>
    </row>
    <row r="150">
      <c r="P150" s="2" t="inlineStr">
        <is>
          <t>OTHERLABOR LABOR</t>
        </is>
      </c>
      <c r="R150" s="8">
        <f>SUM(R149:R149)</f>
        <v/>
      </c>
    </row>
    <row r="152">
      <c r="B152" s="2" t="inlineStr">
        <is>
          <t>STANDBYLABOR</t>
        </is>
      </c>
    </row>
    <row r="153">
      <c r="A153" s="5" t="inlineStr">
        <is>
          <t>2510</t>
        </is>
      </c>
      <c r="B153" s="5" t="inlineStr"/>
      <c r="C153" s="5" t="inlineStr">
        <is>
          <t>LAYOUTBOARD</t>
        </is>
      </c>
      <c r="D153" s="5" t="inlineStr">
        <is>
          <t>Local729</t>
        </is>
      </c>
      <c r="E153" s="6" t="n">
        <v>25.5</v>
      </c>
      <c r="F153" s="5" t="n"/>
      <c r="G153" s="5" t="n"/>
      <c r="H153" s="5" t="n"/>
      <c r="I153" s="5" t="n"/>
      <c r="J153" s="7">
        <f>IF(AND(N(F153)&gt;0,N(I153)&gt;0),I153-F153-IF(N(G153)&gt;0,0.5,0)-IF(N(H153)&gt;0,0.5,0),0)</f>
        <v/>
      </c>
      <c r="K153" s="5" t="n"/>
      <c r="L153" s="7">
        <f>MIN(J153,10.0)</f>
        <v/>
      </c>
      <c r="M153" s="7">
        <f>MAX(0,MIN(J153,12)-10.0)</f>
        <v/>
      </c>
      <c r="N153" s="7">
        <f>MAX(0,J153-12)</f>
        <v/>
      </c>
      <c r="O153" s="5" t="n"/>
      <c r="P153" s="6">
        <f>E153*(L153+M153*1.5+N153*2+O153*3+N(K153))</f>
        <v/>
      </c>
      <c r="Q153" s="6" t="n">
        <v>395.25</v>
      </c>
      <c r="R153" s="6">
        <f>Q153-P153</f>
        <v/>
      </c>
    </row>
    <row r="154">
      <c r="P154" s="2" t="inlineStr">
        <is>
          <t>STANDBYLABOR LABOR</t>
        </is>
      </c>
      <c r="R154" s="8">
        <f>SUM(R153:R153)</f>
        <v/>
      </c>
    </row>
    <row r="156">
      <c r="B156" s="2" t="inlineStr">
        <is>
          <t>SETCRAFTSERVICELABOR</t>
        </is>
      </c>
    </row>
    <row r="157">
      <c r="A157" s="5" t="inlineStr">
        <is>
          <t>2511</t>
        </is>
      </c>
      <c r="B157" s="5" t="inlineStr">
        <is>
          <t>Maurico Solis</t>
        </is>
      </c>
      <c r="C157" s="5" t="inlineStr">
        <is>
          <t>KEYCRAFTSERVICE</t>
        </is>
      </c>
      <c r="D157" s="5" t="inlineStr">
        <is>
          <t>Local80</t>
        </is>
      </c>
      <c r="E157" s="6" t="n">
        <v>25.5</v>
      </c>
      <c r="F157" s="5" t="n"/>
      <c r="G157" s="5" t="n"/>
      <c r="H157" s="5" t="n"/>
      <c r="I157" s="5" t="n"/>
      <c r="J157" s="7">
        <f>IF(AND(N(F157)&gt;0,N(I157)&gt;0),I157-F157-IF(N(G157)&gt;0,0.5,0)-IF(N(H157)&gt;0,0.5,0),0)</f>
        <v/>
      </c>
      <c r="K157" s="5" t="n"/>
      <c r="L157" s="7">
        <f>MIN(J157,10.0)</f>
        <v/>
      </c>
      <c r="M157" s="7">
        <f>MAX(0,MIN(J157,12)-10.0)</f>
        <v/>
      </c>
      <c r="N157" s="7">
        <f>MAX(0,J157-12)</f>
        <v/>
      </c>
      <c r="O157" s="5" t="n"/>
      <c r="P157" s="6">
        <f>E157*(L157+M157*1.5+N157*2+O157*3+N(K157))</f>
        <v/>
      </c>
      <c r="Q157" s="6" t="n">
        <v>439.87</v>
      </c>
      <c r="R157" s="6">
        <f>Q157-P157</f>
        <v/>
      </c>
    </row>
    <row r="158">
      <c r="A158" s="5" t="inlineStr">
        <is>
          <t>2511</t>
        </is>
      </c>
      <c r="B158" s="5" t="inlineStr"/>
      <c r="C158" s="5" t="inlineStr">
        <is>
          <t>ASSTCRAFTSERVICE</t>
        </is>
      </c>
      <c r="D158" s="5" t="inlineStr">
        <is>
          <t>Local80</t>
        </is>
      </c>
      <c r="E158" s="6" t="n">
        <v>23.04</v>
      </c>
      <c r="F158" s="5" t="n"/>
      <c r="G158" s="5" t="n"/>
      <c r="H158" s="5" t="n"/>
      <c r="I158" s="5" t="n"/>
      <c r="J158" s="7">
        <f>IF(AND(N(F158)&gt;0,N(I158)&gt;0),I158-F158-IF(N(G158)&gt;0,0.5,0)-IF(N(H158)&gt;0,0.5,0),0)</f>
        <v/>
      </c>
      <c r="K158" s="5" t="n"/>
      <c r="L158" s="7">
        <f>MIN(J158,10.0)</f>
        <v/>
      </c>
      <c r="M158" s="7">
        <f>MAX(0,MIN(J158,12)-10.0)</f>
        <v/>
      </c>
      <c r="N158" s="7">
        <f>MAX(0,J158-12)</f>
        <v/>
      </c>
      <c r="O158" s="5" t="n"/>
      <c r="P158" s="6">
        <f>E158*(L158+M158*1.5+N158*2+O158*3+N(K158))</f>
        <v/>
      </c>
      <c r="Q158" s="6" t="n">
        <v>397.43</v>
      </c>
      <c r="R158" s="6">
        <f>Q158-P158</f>
        <v/>
      </c>
    </row>
    <row r="159">
      <c r="P159" s="2" t="inlineStr">
        <is>
          <t>SETCRAFTSERVICELABOR LABOR</t>
        </is>
      </c>
      <c r="R159" s="8">
        <f>SUM(R157:R158)</f>
        <v/>
      </c>
    </row>
    <row r="161">
      <c r="B161" s="2" t="inlineStr">
        <is>
          <t>SETFIRSTAIDLABOR</t>
        </is>
      </c>
    </row>
    <row r="162">
      <c r="A162" s="5" t="inlineStr">
        <is>
          <t>2514</t>
        </is>
      </c>
      <c r="B162" s="5" t="inlineStr">
        <is>
          <t>Robert Hill</t>
        </is>
      </c>
      <c r="C162" s="5" t="inlineStr">
        <is>
          <t>SETMEDIC</t>
        </is>
      </c>
      <c r="D162" s="5" t="inlineStr">
        <is>
          <t>Local80</t>
        </is>
      </c>
      <c r="E162" s="6" t="n">
        <v>23.04</v>
      </c>
      <c r="F162" s="5" t="n"/>
      <c r="G162" s="5" t="n"/>
      <c r="H162" s="5" t="n"/>
      <c r="I162" s="5" t="n"/>
      <c r="J162" s="7">
        <f>IF(AND(N(F162)&gt;0,N(I162)&gt;0),I162-F162-IF(N(G162)&gt;0,0.5,0)-IF(N(H162)&gt;0,0.5,0),0)</f>
        <v/>
      </c>
      <c r="K162" s="5" t="n"/>
      <c r="L162" s="7">
        <f>MIN(J162,10.0)</f>
        <v/>
      </c>
      <c r="M162" s="7">
        <f>MAX(0,MIN(J162,12)-10.0)</f>
        <v/>
      </c>
      <c r="N162" s="7">
        <f>MAX(0,J162-12)</f>
        <v/>
      </c>
      <c r="O162" s="5" t="n"/>
      <c r="P162" s="6">
        <f>E162*(L162+M162*1.5+N162*2+O162*3+N(K162))</f>
        <v/>
      </c>
      <c r="Q162" s="6" t="n">
        <v>397.43</v>
      </c>
      <c r="R162" s="6">
        <f>Q162-P162</f>
        <v/>
      </c>
    </row>
    <row r="163">
      <c r="A163" s="5" t="inlineStr">
        <is>
          <t>2514</t>
        </is>
      </c>
      <c r="B163" s="5" t="inlineStr"/>
      <c r="C163" s="5" t="inlineStr">
        <is>
          <t>RIGGINGMEDICMANDAYS</t>
        </is>
      </c>
      <c r="D163" s="5" t="inlineStr">
        <is>
          <t>Local80</t>
        </is>
      </c>
      <c r="E163" s="6" t="n">
        <v>23.04</v>
      </c>
      <c r="F163" s="5" t="n"/>
      <c r="G163" s="5" t="n"/>
      <c r="H163" s="5" t="n"/>
      <c r="I163" s="5" t="n"/>
      <c r="J163" s="7">
        <f>IF(AND(N(F163)&gt;0,N(I163)&gt;0),I163-F163-IF(N(G163)&gt;0,0.5,0)-IF(N(H163)&gt;0,0.5,0),0)</f>
        <v/>
      </c>
      <c r="K163" s="5" t="n"/>
      <c r="L163" s="7">
        <f>MIN(J163,10.0)</f>
        <v/>
      </c>
      <c r="M163" s="7">
        <f>MAX(0,MIN(J163,12)-10.0)</f>
        <v/>
      </c>
      <c r="N163" s="7">
        <f>MAX(0,J163-12)</f>
        <v/>
      </c>
      <c r="O163" s="5" t="n"/>
      <c r="P163" s="6">
        <f>E163*(L163+M163*1.5+N163*2+O163*3+N(K163))</f>
        <v/>
      </c>
      <c r="Q163" s="5" t="n"/>
      <c r="R163" s="6">
        <f>Q163-P163</f>
        <v/>
      </c>
    </row>
    <row r="164">
      <c r="P164" s="2" t="inlineStr">
        <is>
          <t>SETFIRSTAIDLABOR LABOR</t>
        </is>
      </c>
      <c r="R164" s="8">
        <f>SUM(R162:R163)</f>
        <v/>
      </c>
    </row>
    <row r="166">
      <c r="B166" s="2" t="inlineStr">
        <is>
          <t>SFXCOORDINATOR</t>
        </is>
      </c>
    </row>
    <row r="167">
      <c r="A167" s="5" t="inlineStr">
        <is>
          <t>2601</t>
        </is>
      </c>
      <c r="B167" s="5" t="inlineStr">
        <is>
          <t>Zak Knight</t>
        </is>
      </c>
      <c r="C167" s="5" t="inlineStr">
        <is>
          <t>SPFXCOORDINATOR</t>
        </is>
      </c>
      <c r="D167" s="5" t="inlineStr">
        <is>
          <t>Local44</t>
        </is>
      </c>
      <c r="E167" s="6" t="n">
        <v>42</v>
      </c>
      <c r="F167" s="5" t="n"/>
      <c r="G167" s="5" t="n"/>
      <c r="H167" s="5" t="n"/>
      <c r="I167" s="5" t="n"/>
      <c r="J167" s="7">
        <f>IF(AND(N(F167)&gt;0,N(I167)&gt;0),I167-F167-IF(N(G167)&gt;0,0.5,0)-IF(N(H167)&gt;0,0.5,0),0)</f>
        <v/>
      </c>
      <c r="K167" s="5" t="n"/>
      <c r="L167" s="7">
        <f>MIN(J167,10.0)</f>
        <v/>
      </c>
      <c r="M167" s="7">
        <f>MAX(0,MIN(J167,12)-10.0)</f>
        <v/>
      </c>
      <c r="N167" s="7">
        <f>MAX(0,J167-12)</f>
        <v/>
      </c>
      <c r="O167" s="5" t="n"/>
      <c r="P167" s="6">
        <f>E167*(L167+M167*1.5+N167*2+O167*3+N(K167))</f>
        <v/>
      </c>
      <c r="Q167" s="6" t="n">
        <v>651</v>
      </c>
      <c r="R167" s="6">
        <f>Q167-P167</f>
        <v/>
      </c>
    </row>
    <row r="168">
      <c r="P168" s="2" t="inlineStr">
        <is>
          <t>SFXCOORDINATOR LABOR</t>
        </is>
      </c>
      <c r="R168" s="8">
        <f>SUM(R167:R167)</f>
        <v/>
      </c>
    </row>
    <row r="170">
      <c r="B170" s="2" t="inlineStr">
        <is>
          <t>SFXTECHMANDAYS</t>
        </is>
      </c>
    </row>
    <row r="171">
      <c r="A171" s="5" t="inlineStr">
        <is>
          <t>2609</t>
        </is>
      </c>
      <c r="B171" s="5" t="inlineStr"/>
      <c r="C171" s="5" t="inlineStr">
        <is>
          <t>SPFXTECHMANDAYS</t>
        </is>
      </c>
      <c r="D171" s="5" t="inlineStr">
        <is>
          <t>Local44</t>
        </is>
      </c>
      <c r="E171" s="6" t="n">
        <v>40</v>
      </c>
      <c r="F171" s="5" t="n"/>
      <c r="G171" s="5" t="n"/>
      <c r="H171" s="5" t="n"/>
      <c r="I171" s="5" t="n"/>
      <c r="J171" s="7">
        <f>IF(AND(N(F171)&gt;0,N(I171)&gt;0),I171-F171-IF(N(G171)&gt;0,0.5,0)-IF(N(H171)&gt;0,0.5,0),0)</f>
        <v/>
      </c>
      <c r="K171" s="5" t="n"/>
      <c r="L171" s="7">
        <f>MIN(J171,10.0)</f>
        <v/>
      </c>
      <c r="M171" s="7">
        <f>MAX(0,MIN(J171,12)-10.0)</f>
        <v/>
      </c>
      <c r="N171" s="7">
        <f>MAX(0,J171-12)</f>
        <v/>
      </c>
      <c r="O171" s="5" t="n"/>
      <c r="P171" s="6">
        <f>E171*(L171+M171*1.5+N171*2+O171*3+N(K171))</f>
        <v/>
      </c>
      <c r="Q171" s="6" t="n">
        <v>620</v>
      </c>
      <c r="R171" s="6">
        <f>Q171-P171</f>
        <v/>
      </c>
    </row>
    <row r="172">
      <c r="A172" s="5" t="inlineStr">
        <is>
          <t>2609</t>
        </is>
      </c>
      <c r="B172" s="5" t="inlineStr"/>
      <c r="C172" s="5" t="inlineStr">
        <is>
          <t>SPFXASSISTANTMANDAYS</t>
        </is>
      </c>
      <c r="D172" s="5" t="inlineStr">
        <is>
          <t>Local44</t>
        </is>
      </c>
      <c r="E172" s="6" t="n">
        <v>25.5</v>
      </c>
      <c r="F172" s="5" t="n"/>
      <c r="G172" s="5" t="n"/>
      <c r="H172" s="5" t="n"/>
      <c r="I172" s="5" t="n"/>
      <c r="J172" s="7">
        <f>IF(AND(N(F172)&gt;0,N(I172)&gt;0),I172-F172-IF(N(G172)&gt;0,0.5,0)-IF(N(H172)&gt;0,0.5,0),0)</f>
        <v/>
      </c>
      <c r="K172" s="5" t="n"/>
      <c r="L172" s="7">
        <f>MIN(J172,10.0)</f>
        <v/>
      </c>
      <c r="M172" s="7">
        <f>MAX(0,MIN(J172,12)-10.0)</f>
        <v/>
      </c>
      <c r="N172" s="7">
        <f>MAX(0,J172-12)</f>
        <v/>
      </c>
      <c r="O172" s="5" t="n"/>
      <c r="P172" s="6">
        <f>E172*(L172+M172*1.5+N172*2+O172*3+N(K172))</f>
        <v/>
      </c>
      <c r="Q172" s="6" t="n">
        <v>395.25</v>
      </c>
      <c r="R172" s="6">
        <f>Q172-P172</f>
        <v/>
      </c>
    </row>
    <row r="173">
      <c r="A173" s="5" t="inlineStr">
        <is>
          <t>2609</t>
        </is>
      </c>
      <c r="B173" s="5" t="inlineStr"/>
      <c r="C173" s="5" t="inlineStr">
        <is>
          <t>PYROMANDAYS</t>
        </is>
      </c>
      <c r="D173" s="5" t="inlineStr">
        <is>
          <t>Local44</t>
        </is>
      </c>
      <c r="E173" s="6" t="n">
        <v>68.18000000000001</v>
      </c>
      <c r="F173" s="5" t="n"/>
      <c r="G173" s="5" t="n"/>
      <c r="H173" s="5" t="n"/>
      <c r="I173" s="5" t="n"/>
      <c r="J173" s="7">
        <f>IF(AND(N(F173)&gt;0,N(I173)&gt;0),I173-F173-IF(N(G173)&gt;0,0.5,0)-IF(N(H173)&gt;0,0.5,0),0)</f>
        <v/>
      </c>
      <c r="K173" s="5" t="n"/>
      <c r="L173" s="7">
        <f>MIN(J173,10.0)</f>
        <v/>
      </c>
      <c r="M173" s="7">
        <f>MAX(0,MIN(J173,12)-10.0)</f>
        <v/>
      </c>
      <c r="N173" s="7">
        <f>MAX(0,J173-12)</f>
        <v/>
      </c>
      <c r="O173" s="5" t="n"/>
      <c r="P173" s="6">
        <f>E173*(L173+M173*1.5+N173*2+O173*3+N(K173))</f>
        <v/>
      </c>
      <c r="Q173" s="6" t="n">
        <v>749.98</v>
      </c>
      <c r="R173" s="6">
        <f>Q173-P173</f>
        <v/>
      </c>
    </row>
    <row r="174">
      <c r="P174" s="2" t="inlineStr">
        <is>
          <t>SFXTECHMANDAYS LABOR</t>
        </is>
      </c>
      <c r="R174" s="8">
        <f>SUM(R171:R173)</f>
        <v/>
      </c>
    </row>
    <row r="176">
      <c r="B176" s="2" t="inlineStr">
        <is>
          <t>SETDECORATOR</t>
        </is>
      </c>
    </row>
    <row r="177">
      <c r="A177" s="5" t="inlineStr">
        <is>
          <t>2701</t>
        </is>
      </c>
      <c r="B177" s="5" t="inlineStr">
        <is>
          <t>Sandy Skora</t>
        </is>
      </c>
      <c r="C177" s="5" t="inlineStr">
        <is>
          <t>SETDECORATOR</t>
        </is>
      </c>
      <c r="D177" s="5" t="inlineStr">
        <is>
          <t>Local44</t>
        </is>
      </c>
      <c r="E177" s="6" t="n">
        <v>400</v>
      </c>
      <c r="F177" s="5" t="n"/>
      <c r="G177" s="5" t="n"/>
      <c r="H177" s="5" t="n"/>
      <c r="I177" s="5" t="n"/>
      <c r="J177" s="7">
        <f>IF(AND(N(F177)&gt;0,N(I177)&gt;0),I177-F177-IF(N(G177)&gt;0,0.5,0)-IF(N(H177)&gt;0,0.5,0),0)</f>
        <v/>
      </c>
      <c r="K177" s="5" t="n"/>
      <c r="L177" s="7">
        <f>MIN(J177,10.0)</f>
        <v/>
      </c>
      <c r="M177" s="7">
        <f>MAX(0,MIN(J177,12)-10.0)</f>
        <v/>
      </c>
      <c r="N177" s="7">
        <f>MAX(0,J177-12)</f>
        <v/>
      </c>
      <c r="O177" s="5" t="n"/>
      <c r="P177" s="6">
        <f>E177*(L177+M177*1.5+N177*2+O177*3+N(K177))</f>
        <v/>
      </c>
      <c r="Q177" s="6" t="n">
        <v>400</v>
      </c>
      <c r="R177" s="6">
        <f>Q177-P177</f>
        <v/>
      </c>
    </row>
    <row r="178">
      <c r="P178" s="2" t="inlineStr">
        <is>
          <t>SETDECORATOR LABOR</t>
        </is>
      </c>
      <c r="R178" s="8">
        <f>SUM(R177:R177)</f>
        <v/>
      </c>
    </row>
    <row r="180">
      <c r="B180" s="2" t="inlineStr">
        <is>
          <t>LEADPERSON</t>
        </is>
      </c>
    </row>
    <row r="181">
      <c r="A181" s="5" t="inlineStr">
        <is>
          <t>2702</t>
        </is>
      </c>
      <c r="B181" s="5" t="inlineStr">
        <is>
          <t>Josh Richmond</t>
        </is>
      </c>
      <c r="C181" s="5" t="inlineStr">
        <is>
          <t>LEADPERSON</t>
        </is>
      </c>
      <c r="D181" s="5" t="inlineStr">
        <is>
          <t>Local44</t>
        </is>
      </c>
      <c r="E181" s="6" t="n">
        <v>23.04</v>
      </c>
      <c r="F181" s="5" t="n"/>
      <c r="G181" s="5" t="n"/>
      <c r="H181" s="5" t="n"/>
      <c r="I181" s="5" t="n"/>
      <c r="J181" s="7">
        <f>IF(AND(N(F181)&gt;0,N(I181)&gt;0),I181-F181-IF(N(G181)&gt;0,0.5,0)-IF(N(H181)&gt;0,0.5,0),0)</f>
        <v/>
      </c>
      <c r="K181" s="5" t="n"/>
      <c r="L181" s="7">
        <f>MIN(J181,10.0)</f>
        <v/>
      </c>
      <c r="M181" s="7">
        <f>MAX(0,MIN(J181,12)-10.0)</f>
        <v/>
      </c>
      <c r="N181" s="7">
        <f>MAX(0,J181-12)</f>
        <v/>
      </c>
      <c r="O181" s="5" t="n"/>
      <c r="P181" s="6">
        <f>E181*(L181+M181*1.5+N181*2+O181*3+N(K181))</f>
        <v/>
      </c>
      <c r="Q181" s="6" t="n">
        <v>322.56</v>
      </c>
      <c r="R181" s="6">
        <f>Q181-P181</f>
        <v/>
      </c>
    </row>
    <row r="182">
      <c r="P182" s="2" t="inlineStr">
        <is>
          <t>LEADPERSON LABOR</t>
        </is>
      </c>
      <c r="R182" s="8">
        <f>SUM(R181:R181)</f>
        <v/>
      </c>
    </row>
    <row r="184">
      <c r="B184" s="2" t="inlineStr">
        <is>
          <t>SWINGLABOR</t>
        </is>
      </c>
    </row>
    <row r="185">
      <c r="A185" s="5" t="inlineStr">
        <is>
          <t>2703</t>
        </is>
      </c>
      <c r="B185" s="5" t="inlineStr">
        <is>
          <t>Tim Dodge</t>
        </is>
      </c>
      <c r="C185" s="5" t="inlineStr">
        <is>
          <t>SWING#1</t>
        </is>
      </c>
      <c r="D185" s="5" t="inlineStr">
        <is>
          <t>Local44</t>
        </is>
      </c>
      <c r="E185" s="6" t="n">
        <v>20.57</v>
      </c>
      <c r="F185" s="5" t="n"/>
      <c r="G185" s="5" t="n"/>
      <c r="H185" s="5" t="n"/>
      <c r="I185" s="5" t="n"/>
      <c r="J185" s="7">
        <f>IF(AND(N(F185)&gt;0,N(I185)&gt;0),I185-F185-IF(N(G185)&gt;0,0.5,0)-IF(N(H185)&gt;0,0.5,0),0)</f>
        <v/>
      </c>
      <c r="K185" s="5" t="n"/>
      <c r="L185" s="7">
        <f>MIN(J185,10.0)</f>
        <v/>
      </c>
      <c r="M185" s="7">
        <f>MAX(0,MIN(J185,12)-10.0)</f>
        <v/>
      </c>
      <c r="N185" s="7">
        <f>MAX(0,J185-12)</f>
        <v/>
      </c>
      <c r="O185" s="5" t="n"/>
      <c r="P185" s="6">
        <f>E185*(L185+M185*1.5+N185*2+O185*3+N(K185))</f>
        <v/>
      </c>
      <c r="Q185" s="6" t="n">
        <v>287.98</v>
      </c>
      <c r="R185" s="6">
        <f>Q185-P185</f>
        <v/>
      </c>
    </row>
    <row r="186">
      <c r="A186" s="5" t="inlineStr">
        <is>
          <t>2703</t>
        </is>
      </c>
      <c r="B186" s="5" t="inlineStr"/>
      <c r="C186" s="5" t="inlineStr">
        <is>
          <t>SWING#2</t>
        </is>
      </c>
      <c r="D186" s="5" t="inlineStr">
        <is>
          <t>Local44</t>
        </is>
      </c>
      <c r="E186" s="6" t="n">
        <v>20.57</v>
      </c>
      <c r="F186" s="5" t="n"/>
      <c r="G186" s="5" t="n"/>
      <c r="H186" s="5" t="n"/>
      <c r="I186" s="5" t="n"/>
      <c r="J186" s="7">
        <f>IF(AND(N(F186)&gt;0,N(I186)&gt;0),I186-F186-IF(N(G186)&gt;0,0.5,0)-IF(N(H186)&gt;0,0.5,0),0)</f>
        <v/>
      </c>
      <c r="K186" s="5" t="n"/>
      <c r="L186" s="7">
        <f>MIN(J186,10.0)</f>
        <v/>
      </c>
      <c r="M186" s="7">
        <f>MAX(0,MIN(J186,12)-10.0)</f>
        <v/>
      </c>
      <c r="N186" s="7">
        <f>MAX(0,J186-12)</f>
        <v/>
      </c>
      <c r="O186" s="5" t="n"/>
      <c r="P186" s="6">
        <f>E186*(L186+M186*1.5+N186*2+O186*3+N(K186))</f>
        <v/>
      </c>
      <c r="Q186" s="6" t="n">
        <v>287.98</v>
      </c>
      <c r="R186" s="6">
        <f>Q186-P186</f>
        <v/>
      </c>
    </row>
    <row r="187">
      <c r="A187" s="5" t="inlineStr">
        <is>
          <t>2703</t>
        </is>
      </c>
      <c r="B187" s="5" t="inlineStr"/>
      <c r="C187" s="5" t="inlineStr">
        <is>
          <t>ADDITIONALSWINGMANDAYS</t>
        </is>
      </c>
      <c r="D187" s="5" t="inlineStr">
        <is>
          <t>Local44</t>
        </is>
      </c>
      <c r="E187" s="6" t="n">
        <v>20.57</v>
      </c>
      <c r="F187" s="5" t="n"/>
      <c r="G187" s="5" t="n"/>
      <c r="H187" s="5" t="n"/>
      <c r="I187" s="5" t="n"/>
      <c r="J187" s="7">
        <f>IF(AND(N(F187)&gt;0,N(I187)&gt;0),I187-F187-IF(N(G187)&gt;0,0.5,0)-IF(N(H187)&gt;0,0.5,0),0)</f>
        <v/>
      </c>
      <c r="K187" s="5" t="n"/>
      <c r="L187" s="7">
        <f>MIN(J187,10.0)</f>
        <v/>
      </c>
      <c r="M187" s="7">
        <f>MAX(0,MIN(J187,12)-10.0)</f>
        <v/>
      </c>
      <c r="N187" s="7">
        <f>MAX(0,J187-12)</f>
        <v/>
      </c>
      <c r="O187" s="5" t="n"/>
      <c r="P187" s="6">
        <f>E187*(L187+M187*1.5+N187*2+O187*3+N(K187))</f>
        <v/>
      </c>
      <c r="Q187" s="6" t="n">
        <v>287.98</v>
      </c>
      <c r="R187" s="6">
        <f>Q187-P187</f>
        <v/>
      </c>
    </row>
    <row r="188">
      <c r="P188" s="2" t="inlineStr">
        <is>
          <t>SWINGLABOR LABOR</t>
        </is>
      </c>
      <c r="R188" s="8">
        <f>SUM(R185:R187)</f>
        <v/>
      </c>
    </row>
    <row r="190">
      <c r="B190" s="2" t="inlineStr">
        <is>
          <t>ON-SETDRESSER</t>
        </is>
      </c>
    </row>
    <row r="191">
      <c r="A191" s="5" t="inlineStr">
        <is>
          <t>2705</t>
        </is>
      </c>
      <c r="B191" s="5" t="inlineStr">
        <is>
          <t>Khamisi Thurman</t>
        </is>
      </c>
      <c r="C191" s="5" t="inlineStr">
        <is>
          <t>ON-SETDRESSER</t>
        </is>
      </c>
      <c r="D191" s="5" t="inlineStr">
        <is>
          <t>Local44</t>
        </is>
      </c>
      <c r="E191" s="6" t="n">
        <v>20.57</v>
      </c>
      <c r="F191" s="5" t="n"/>
      <c r="G191" s="5" t="n"/>
      <c r="H191" s="5" t="n"/>
      <c r="I191" s="5" t="n"/>
      <c r="J191" s="7">
        <f>IF(AND(N(F191)&gt;0,N(I191)&gt;0),I191-F191-IF(N(G191)&gt;0,0.5,0)-IF(N(H191)&gt;0,0.5,0),0)</f>
        <v/>
      </c>
      <c r="K191" s="5" t="n"/>
      <c r="L191" s="7">
        <f>MIN(J191,10.0)</f>
        <v/>
      </c>
      <c r="M191" s="7">
        <f>MAX(0,MIN(J191,12)-10.0)</f>
        <v/>
      </c>
      <c r="N191" s="7">
        <f>MAX(0,J191-12)</f>
        <v/>
      </c>
      <c r="O191" s="5" t="n"/>
      <c r="P191" s="6">
        <f>E191*(L191+M191*1.5+N191*2+O191*3+N(K191))</f>
        <v/>
      </c>
      <c r="Q191" s="6" t="n">
        <v>318.83</v>
      </c>
      <c r="R191" s="6">
        <f>Q191-P191</f>
        <v/>
      </c>
    </row>
    <row r="192">
      <c r="P192" s="2" t="inlineStr">
        <is>
          <t>ON-SETDRESSER LABOR</t>
        </is>
      </c>
      <c r="R192" s="8">
        <f>SUM(R191:R191)</f>
        <v/>
      </c>
    </row>
    <row r="194">
      <c r="B194" s="2" t="inlineStr">
        <is>
          <t>BUYERS</t>
        </is>
      </c>
    </row>
    <row r="195">
      <c r="A195" s="5" t="inlineStr">
        <is>
          <t>2706</t>
        </is>
      </c>
      <c r="B195" s="5" t="inlineStr">
        <is>
          <t>Sarah Hickman</t>
        </is>
      </c>
      <c r="C195" s="5" t="inlineStr">
        <is>
          <t>BUYER</t>
        </is>
      </c>
      <c r="D195" s="5" t="inlineStr">
        <is>
          <t>Local44</t>
        </is>
      </c>
      <c r="E195" s="6" t="n">
        <v>23.04</v>
      </c>
      <c r="F195" s="5" t="n"/>
      <c r="G195" s="5" t="n"/>
      <c r="H195" s="5" t="n"/>
      <c r="I195" s="5" t="n"/>
      <c r="J195" s="7">
        <f>IF(AND(N(F195)&gt;0,N(I195)&gt;0),I195-F195-IF(N(G195)&gt;0,0.5,0)-IF(N(H195)&gt;0,0.5,0),0)</f>
        <v/>
      </c>
      <c r="K195" s="5" t="n"/>
      <c r="L195" s="7">
        <f>MIN(J195,10.0)</f>
        <v/>
      </c>
      <c r="M195" s="7">
        <f>MAX(0,MIN(J195,12)-10.0)</f>
        <v/>
      </c>
      <c r="N195" s="7">
        <f>MAX(0,J195-12)</f>
        <v/>
      </c>
      <c r="O195" s="5" t="n"/>
      <c r="P195" s="6">
        <f>E195*(L195+M195*1.5+N195*2+O195*3+N(K195))</f>
        <v/>
      </c>
      <c r="Q195" s="5" t="n"/>
      <c r="R195" s="6">
        <f>Q195-P195</f>
        <v/>
      </c>
    </row>
    <row r="196">
      <c r="P196" s="2" t="inlineStr">
        <is>
          <t>BUYERS LABOR</t>
        </is>
      </c>
      <c r="R196" s="8">
        <f>SUM(R195:R195)</f>
        <v/>
      </c>
    </row>
    <row r="198">
      <c r="B198" s="2" t="inlineStr">
        <is>
          <t>PROPMASTER</t>
        </is>
      </c>
    </row>
    <row r="199">
      <c r="A199" s="5" t="inlineStr">
        <is>
          <t>2801</t>
        </is>
      </c>
      <c r="B199" s="5" t="inlineStr">
        <is>
          <t>Annie Brandt</t>
        </is>
      </c>
      <c r="C199" s="5" t="inlineStr">
        <is>
          <t>PROPMASTER</t>
        </is>
      </c>
      <c r="D199" s="5" t="inlineStr">
        <is>
          <t>Local44</t>
        </is>
      </c>
      <c r="E199" s="6" t="n">
        <v>25.5</v>
      </c>
      <c r="F199" s="5" t="n"/>
      <c r="G199" s="5" t="n"/>
      <c r="H199" s="5" t="n"/>
      <c r="I199" s="5" t="n"/>
      <c r="J199" s="7">
        <f>IF(AND(N(F199)&gt;0,N(I199)&gt;0),I199-F199-IF(N(G199)&gt;0,0.5,0)-IF(N(H199)&gt;0,0.5,0),0)</f>
        <v/>
      </c>
      <c r="K199" s="5" t="n"/>
      <c r="L199" s="7">
        <f>MIN(J199,10.0)</f>
        <v/>
      </c>
      <c r="M199" s="7">
        <f>MAX(0,MIN(J199,12)-10.0)</f>
        <v/>
      </c>
      <c r="N199" s="7">
        <f>MAX(0,J199-12)</f>
        <v/>
      </c>
      <c r="O199" s="5" t="n"/>
      <c r="P199" s="6">
        <f>E199*(L199+M199*1.5+N199*2+O199*3+N(K199))</f>
        <v/>
      </c>
      <c r="Q199" s="6" t="n">
        <v>395.25</v>
      </c>
      <c r="R199" s="6">
        <f>Q199-P199</f>
        <v/>
      </c>
    </row>
    <row r="200">
      <c r="P200" s="2" t="inlineStr">
        <is>
          <t>PROPMASTER LABOR</t>
        </is>
      </c>
      <c r="R200" s="8">
        <f>SUM(R199:R199)</f>
        <v/>
      </c>
    </row>
    <row r="202">
      <c r="B202" s="2" t="inlineStr">
        <is>
          <t>ASSTPROPMASTER</t>
        </is>
      </c>
    </row>
    <row r="203">
      <c r="A203" s="5" t="inlineStr">
        <is>
          <t>2802</t>
        </is>
      </c>
      <c r="B203" s="5" t="inlineStr">
        <is>
          <t>Nate Bakes</t>
        </is>
      </c>
      <c r="C203" s="5" t="inlineStr">
        <is>
          <t>ASSTPROPMASTER</t>
        </is>
      </c>
      <c r="D203" s="5" t="inlineStr">
        <is>
          <t>Local44</t>
        </is>
      </c>
      <c r="E203" s="6" t="n">
        <v>23.04</v>
      </c>
      <c r="F203" s="5" t="n"/>
      <c r="G203" s="5" t="n"/>
      <c r="H203" s="5" t="n"/>
      <c r="I203" s="5" t="n"/>
      <c r="J203" s="7">
        <f>IF(AND(N(F203)&gt;0,N(I203)&gt;0),I203-F203-IF(N(G203)&gt;0,0.5,0)-IF(N(H203)&gt;0,0.5,0),0)</f>
        <v/>
      </c>
      <c r="K203" s="5" t="n"/>
      <c r="L203" s="7">
        <f>MIN(J203,10.0)</f>
        <v/>
      </c>
      <c r="M203" s="7">
        <f>MAX(0,MIN(J203,12)-10.0)</f>
        <v/>
      </c>
      <c r="N203" s="7">
        <f>MAX(0,J203-12)</f>
        <v/>
      </c>
      <c r="O203" s="5" t="n"/>
      <c r="P203" s="6">
        <f>E203*(L203+M203*1.5+N203*2+O203*3+N(K203))</f>
        <v/>
      </c>
      <c r="Q203" s="6" t="n">
        <v>357.12</v>
      </c>
      <c r="R203" s="6">
        <f>Q203-P203</f>
        <v/>
      </c>
    </row>
    <row r="204">
      <c r="P204" s="2" t="inlineStr">
        <is>
          <t>ASSTPROPMASTER LABOR</t>
        </is>
      </c>
      <c r="R204" s="8">
        <f>SUM(R203:R203)</f>
        <v/>
      </c>
    </row>
    <row r="206">
      <c r="B206" s="2" t="inlineStr">
        <is>
          <t>COSTUMEDESIGNER</t>
        </is>
      </c>
    </row>
    <row r="207">
      <c r="A207" s="5" t="inlineStr">
        <is>
          <t>2901</t>
        </is>
      </c>
      <c r="B207" s="5" t="inlineStr">
        <is>
          <t>Megan Spatz</t>
        </is>
      </c>
      <c r="C207" s="5" t="inlineStr">
        <is>
          <t>COSTUMEDESIGNER</t>
        </is>
      </c>
      <c r="D207" s="5" t="inlineStr">
        <is>
          <t>Local892</t>
        </is>
      </c>
      <c r="E207" s="6" t="n">
        <v>540</v>
      </c>
      <c r="F207" s="5" t="n"/>
      <c r="G207" s="5" t="n"/>
      <c r="H207" s="5" t="n"/>
      <c r="I207" s="5" t="n"/>
      <c r="J207" s="7">
        <f>IF(AND(N(F207)&gt;0,N(I207)&gt;0),I207-F207-IF(N(G207)&gt;0,0.5,0)-IF(N(H207)&gt;0,0.5,0),0)</f>
        <v/>
      </c>
      <c r="K207" s="5" t="n"/>
      <c r="L207" s="7">
        <f>MIN(J207,8.0)</f>
        <v/>
      </c>
      <c r="M207" s="7">
        <f>MAX(0,MIN(J207,12)-8.0)</f>
        <v/>
      </c>
      <c r="N207" s="7">
        <f>MAX(0,J207-12)</f>
        <v/>
      </c>
      <c r="O207" s="5" t="n"/>
      <c r="P207" s="6">
        <f>E207*(L207+M207*1.5+N207*2+O207*3+N(K207))</f>
        <v/>
      </c>
      <c r="Q207" s="6" t="n">
        <v>540</v>
      </c>
      <c r="R207" s="6">
        <f>Q207-P207</f>
        <v/>
      </c>
    </row>
    <row r="208">
      <c r="P208" s="2" t="inlineStr">
        <is>
          <t>COSTUMEDESIGNER LABOR</t>
        </is>
      </c>
      <c r="R208" s="8">
        <f>SUM(R207:R207)</f>
        <v/>
      </c>
    </row>
    <row r="210">
      <c r="B210" s="2" t="inlineStr">
        <is>
          <t>COSTUMESUPERVISOR</t>
        </is>
      </c>
    </row>
    <row r="211">
      <c r="A211" s="5" t="inlineStr">
        <is>
          <t>2903</t>
        </is>
      </c>
      <c r="B211" s="5" t="inlineStr">
        <is>
          <t>Danielle Schuck</t>
        </is>
      </c>
      <c r="C211" s="5" t="inlineStr">
        <is>
          <t>COSTUMESUPERVISOR</t>
        </is>
      </c>
      <c r="D211" s="5" t="inlineStr">
        <is>
          <t>Local705</t>
        </is>
      </c>
      <c r="E211" s="6" t="n">
        <v>25.5</v>
      </c>
      <c r="F211" s="5" t="n"/>
      <c r="G211" s="5" t="n"/>
      <c r="H211" s="5" t="n"/>
      <c r="I211" s="5" t="n"/>
      <c r="J211" s="7">
        <f>IF(AND(N(F211)&gt;0,N(I211)&gt;0),I211-F211-IF(N(G211)&gt;0,0.5,0)-IF(N(H211)&gt;0,0.5,0),0)</f>
        <v/>
      </c>
      <c r="K211" s="5" t="n"/>
      <c r="L211" s="7">
        <f>MIN(J211,8.0)</f>
        <v/>
      </c>
      <c r="M211" s="7">
        <f>MAX(0,MIN(J211,12)-8.0)</f>
        <v/>
      </c>
      <c r="N211" s="7">
        <f>MAX(0,J211-12)</f>
        <v/>
      </c>
      <c r="O211" s="5" t="n"/>
      <c r="P211" s="6">
        <f>E211*(L211+M211*1.5+N211*2+O211*3+N(K211))</f>
        <v/>
      </c>
      <c r="Q211" s="6" t="n">
        <v>395.25</v>
      </c>
      <c r="R211" s="6">
        <f>Q211-P211</f>
        <v/>
      </c>
    </row>
    <row r="212">
      <c r="P212" s="2" t="inlineStr">
        <is>
          <t>COSTUMESUPERVISOR LABOR</t>
        </is>
      </c>
      <c r="R212" s="8">
        <f>SUM(R211:R211)</f>
        <v/>
      </c>
    </row>
    <row r="214">
      <c r="B214" s="2" t="inlineStr">
        <is>
          <t>SETCOSTUMERS</t>
        </is>
      </c>
    </row>
    <row r="215">
      <c r="A215" s="5" t="inlineStr">
        <is>
          <t>2905</t>
        </is>
      </c>
      <c r="B215" s="5" t="inlineStr">
        <is>
          <t>Monavie Tutop</t>
        </is>
      </c>
      <c r="C215" s="5" t="inlineStr">
        <is>
          <t>COSTUMER#1</t>
        </is>
      </c>
      <c r="D215" s="5" t="inlineStr">
        <is>
          <t>Local705</t>
        </is>
      </c>
      <c r="E215" s="6" t="n">
        <v>23.04</v>
      </c>
      <c r="F215" s="5" t="n"/>
      <c r="G215" s="5" t="n"/>
      <c r="H215" s="5" t="n"/>
      <c r="I215" s="5" t="n"/>
      <c r="J215" s="7">
        <f>IF(AND(N(F215)&gt;0,N(I215)&gt;0),I215-F215-IF(N(G215)&gt;0,0.5,0)-IF(N(H215)&gt;0,0.5,0),0)</f>
        <v/>
      </c>
      <c r="K215" s="5" t="n"/>
      <c r="L215" s="7">
        <f>MIN(J215,8.0)</f>
        <v/>
      </c>
      <c r="M215" s="7">
        <f>MAX(0,MIN(J215,12)-8.0)</f>
        <v/>
      </c>
      <c r="N215" s="7">
        <f>MAX(0,J215-12)</f>
        <v/>
      </c>
      <c r="O215" s="5" t="n"/>
      <c r="P215" s="6">
        <f>E215*(L215+M215*1.5+N215*2+O215*3+N(K215))</f>
        <v/>
      </c>
      <c r="Q215" s="6" t="n">
        <v>397.43</v>
      </c>
      <c r="R215" s="6">
        <f>Q215-P215</f>
        <v/>
      </c>
    </row>
    <row r="216">
      <c r="A216" s="5" t="inlineStr">
        <is>
          <t>2905</t>
        </is>
      </c>
      <c r="B216" s="5" t="inlineStr"/>
      <c r="C216" s="5" t="inlineStr">
        <is>
          <t>COSTUMER#2</t>
        </is>
      </c>
      <c r="D216" s="5" t="inlineStr">
        <is>
          <t>Local705</t>
        </is>
      </c>
      <c r="E216" s="6" t="n">
        <v>20.57</v>
      </c>
      <c r="F216" s="5" t="n"/>
      <c r="G216" s="5" t="n"/>
      <c r="H216" s="5" t="n"/>
      <c r="I216" s="5" t="n"/>
      <c r="J216" s="7">
        <f>IF(AND(N(F216)&gt;0,N(I216)&gt;0),I216-F216-IF(N(G216)&gt;0,0.5,0)-IF(N(H216)&gt;0,0.5,0),0)</f>
        <v/>
      </c>
      <c r="K216" s="5" t="n"/>
      <c r="L216" s="7">
        <f>MIN(J216,8.0)</f>
        <v/>
      </c>
      <c r="M216" s="7">
        <f>MAX(0,MIN(J216,12)-8.0)</f>
        <v/>
      </c>
      <c r="N216" s="7">
        <f>MAX(0,J216-12)</f>
        <v/>
      </c>
      <c r="O216" s="5" t="n"/>
      <c r="P216" s="6">
        <f>E216*(L216+M216*1.5+N216*2+O216*3+N(K216))</f>
        <v/>
      </c>
      <c r="Q216" s="6" t="n">
        <v>354.83</v>
      </c>
      <c r="R216" s="6">
        <f>Q216-P216</f>
        <v/>
      </c>
    </row>
    <row r="217">
      <c r="P217" s="2" t="inlineStr">
        <is>
          <t>SETCOSTUMERS LABOR</t>
        </is>
      </c>
      <c r="R217" s="8">
        <f>SUM(R215:R216)</f>
        <v/>
      </c>
    </row>
    <row r="219">
      <c r="B219" s="2" t="inlineStr">
        <is>
          <t>KEYMAKE-UP</t>
        </is>
      </c>
    </row>
    <row r="220">
      <c r="A220" s="5" t="inlineStr">
        <is>
          <t>3101</t>
        </is>
      </c>
      <c r="B220" s="5" t="inlineStr">
        <is>
          <t>Eleanor Sabaduquia</t>
        </is>
      </c>
      <c r="C220" s="5" t="inlineStr">
        <is>
          <t>KEYMAKEUPARTIST</t>
        </is>
      </c>
      <c r="D220" s="5" t="inlineStr">
        <is>
          <t>Local706</t>
        </is>
      </c>
      <c r="E220" s="6" t="n">
        <v>25.5</v>
      </c>
      <c r="F220" s="5" t="n"/>
      <c r="G220" s="5" t="n"/>
      <c r="H220" s="5" t="n"/>
      <c r="I220" s="5" t="n"/>
      <c r="J220" s="7">
        <f>IF(AND(N(F220)&gt;0,N(I220)&gt;0),I220-F220-IF(N(G220)&gt;0,0.5,0)-IF(N(H220)&gt;0,0.5,0),0)</f>
        <v/>
      </c>
      <c r="K220" s="5" t="n"/>
      <c r="L220" s="7">
        <f>MIN(J220,10.0)</f>
        <v/>
      </c>
      <c r="M220" s="7">
        <f>MAX(0,MIN(J220,12)-10.0)</f>
        <v/>
      </c>
      <c r="N220" s="7">
        <f>MAX(0,J220-12)</f>
        <v/>
      </c>
      <c r="O220" s="5" t="n"/>
      <c r="P220" s="6">
        <f>E220*(L220+M220*1.5+N220*2+O220*3+N(K220))</f>
        <v/>
      </c>
      <c r="Q220" s="6" t="n">
        <v>439.87</v>
      </c>
      <c r="R220" s="6">
        <f>Q220-P220</f>
        <v/>
      </c>
    </row>
    <row r="221">
      <c r="P221" s="2" t="inlineStr">
        <is>
          <t>KEYMAKE-UP LABOR</t>
        </is>
      </c>
      <c r="R221" s="8">
        <f>SUM(R220:R220)</f>
        <v/>
      </c>
    </row>
    <row r="223">
      <c r="B223" s="2" t="inlineStr">
        <is>
          <t>ASSTMAKE-UP</t>
        </is>
      </c>
    </row>
    <row r="224">
      <c r="A224" s="5" t="inlineStr">
        <is>
          <t>3102</t>
        </is>
      </c>
      <c r="B224" s="5" t="inlineStr">
        <is>
          <t>Yoko Nobushi</t>
        </is>
      </c>
      <c r="C224" s="5" t="inlineStr">
        <is>
          <t>ASSTMAKEUPARTIST#1</t>
        </is>
      </c>
      <c r="D224" s="5" t="inlineStr">
        <is>
          <t>Local706</t>
        </is>
      </c>
      <c r="E224" s="6" t="n">
        <v>23.04</v>
      </c>
      <c r="F224" s="5" t="n"/>
      <c r="G224" s="5" t="n"/>
      <c r="H224" s="5" t="n"/>
      <c r="I224" s="5" t="n"/>
      <c r="J224" s="7">
        <f>IF(AND(N(F224)&gt;0,N(I224)&gt;0),I224-F224-IF(N(G224)&gt;0,0.5,0)-IF(N(H224)&gt;0,0.5,0),0)</f>
        <v/>
      </c>
      <c r="K224" s="5" t="n"/>
      <c r="L224" s="7">
        <f>MIN(J224,10.0)</f>
        <v/>
      </c>
      <c r="M224" s="7">
        <f>MAX(0,MIN(J224,12)-10.0)</f>
        <v/>
      </c>
      <c r="N224" s="7">
        <f>MAX(0,J224-12)</f>
        <v/>
      </c>
      <c r="O224" s="5" t="n"/>
      <c r="P224" s="6">
        <f>E224*(L224+M224*1.5+N224*2+O224*3+N(K224))</f>
        <v/>
      </c>
      <c r="Q224" s="6" t="n">
        <v>397.43</v>
      </c>
      <c r="R224" s="6">
        <f>Q224-P224</f>
        <v/>
      </c>
    </row>
    <row r="225">
      <c r="P225" s="2" t="inlineStr">
        <is>
          <t>ASSTMAKE-UP LABOR</t>
        </is>
      </c>
      <c r="R225" s="8">
        <f>SUM(R224:R224)</f>
        <v/>
      </c>
    </row>
    <row r="227">
      <c r="B227" s="2" t="inlineStr">
        <is>
          <t>ADDITIONALMAKE-UPLABOR</t>
        </is>
      </c>
    </row>
    <row r="228">
      <c r="A228" s="5" t="inlineStr">
        <is>
          <t>3103</t>
        </is>
      </c>
      <c r="B228" s="5" t="inlineStr"/>
      <c r="C228" s="5" t="inlineStr">
        <is>
          <t>ADDLMAKEUPARTISTDAYS</t>
        </is>
      </c>
      <c r="D228" s="5" t="inlineStr">
        <is>
          <t>Local706</t>
        </is>
      </c>
      <c r="E228" s="6" t="n">
        <v>23.04</v>
      </c>
      <c r="F228" s="5" t="n"/>
      <c r="G228" s="5" t="n"/>
      <c r="H228" s="5" t="n"/>
      <c r="I228" s="5" t="n"/>
      <c r="J228" s="7">
        <f>IF(AND(N(F228)&gt;0,N(I228)&gt;0),I228-F228-IF(N(G228)&gt;0,0.5,0)-IF(N(H228)&gt;0,0.5,0),0)</f>
        <v/>
      </c>
      <c r="K228" s="5" t="n"/>
      <c r="L228" s="7">
        <f>MIN(J228,10.0)</f>
        <v/>
      </c>
      <c r="M228" s="7">
        <f>MAX(0,MIN(J228,12)-10.0)</f>
        <v/>
      </c>
      <c r="N228" s="7">
        <f>MAX(0,J228-12)</f>
        <v/>
      </c>
      <c r="O228" s="5" t="n"/>
      <c r="P228" s="6">
        <f>E228*(L228+M228*1.5+N228*2+O228*3+N(K228))</f>
        <v/>
      </c>
      <c r="Q228" s="6" t="n">
        <v>397.43</v>
      </c>
      <c r="R228" s="6">
        <f>Q228-P228</f>
        <v/>
      </c>
    </row>
    <row r="229">
      <c r="P229" s="2" t="inlineStr">
        <is>
          <t>ADDITIONALMAKE-UPLABOR LABOR</t>
        </is>
      </c>
      <c r="R229" s="8">
        <f>SUM(R228:R228)</f>
        <v/>
      </c>
    </row>
    <row r="231">
      <c r="B231" s="2" t="inlineStr">
        <is>
          <t>PROSTHETICS</t>
        </is>
      </c>
    </row>
    <row r="232">
      <c r="A232" s="5" t="inlineStr">
        <is>
          <t>3105</t>
        </is>
      </c>
      <c r="B232" s="5" t="inlineStr"/>
      <c r="C232" s="5" t="inlineStr">
        <is>
          <t>PROSTHETICMAKEUPARTIST</t>
        </is>
      </c>
      <c r="D232" s="5" t="inlineStr">
        <is>
          <t>Local706</t>
        </is>
      </c>
      <c r="E232" s="6" t="n">
        <v>25.5</v>
      </c>
      <c r="F232" s="5" t="n"/>
      <c r="G232" s="5" t="n"/>
      <c r="H232" s="5" t="n"/>
      <c r="I232" s="5" t="n"/>
      <c r="J232" s="7">
        <f>IF(AND(N(F232)&gt;0,N(I232)&gt;0),I232-F232-IF(N(G232)&gt;0,0.5,0)-IF(N(H232)&gt;0,0.5,0),0)</f>
        <v/>
      </c>
      <c r="K232" s="5" t="n"/>
      <c r="L232" s="7">
        <f>MIN(J232,10.0)</f>
        <v/>
      </c>
      <c r="M232" s="7">
        <f>MAX(0,MIN(J232,12)-10.0)</f>
        <v/>
      </c>
      <c r="N232" s="7">
        <f>MAX(0,J232-12)</f>
        <v/>
      </c>
      <c r="O232" s="5" t="n"/>
      <c r="P232" s="6">
        <f>E232*(L232+M232*1.5+N232*2+O232*3+N(K232))</f>
        <v/>
      </c>
      <c r="Q232" s="6" t="n">
        <v>439.87</v>
      </c>
      <c r="R232" s="6">
        <f>Q232-P232</f>
        <v/>
      </c>
    </row>
    <row r="233">
      <c r="A233" s="5" t="inlineStr">
        <is>
          <t>3105</t>
        </is>
      </c>
      <c r="B233" s="5" t="inlineStr"/>
      <c r="C233" s="5" t="inlineStr">
        <is>
          <t>LENSCONSULTANT</t>
        </is>
      </c>
      <c r="D233" s="5" t="inlineStr"/>
      <c r="E233" s="6" t="n">
        <v>50</v>
      </c>
      <c r="F233" s="5" t="n"/>
      <c r="G233" s="5" t="n"/>
      <c r="H233" s="5" t="n"/>
      <c r="I233" s="5" t="n"/>
      <c r="J233" s="7">
        <f>IF(AND(N(F233)&gt;0,N(I233)&gt;0),I233-F233-IF(N(G233)&gt;0,0.5,0)-IF(N(H233)&gt;0,0.5,0),0)</f>
        <v/>
      </c>
      <c r="K233" s="5" t="n"/>
      <c r="L233" s="7">
        <f>MIN(J233,8.0)</f>
        <v/>
      </c>
      <c r="M233" s="7">
        <f>MAX(0,MIN(J233,12)-8.0)</f>
        <v/>
      </c>
      <c r="N233" s="7">
        <f>MAX(0,J233-12)</f>
        <v/>
      </c>
      <c r="O233" s="5" t="n"/>
      <c r="P233" s="6">
        <f>E233*(L233+M233*1.5+N233*2+O233*3+N(K233))</f>
        <v/>
      </c>
      <c r="Q233" s="6" t="n">
        <v>862.53</v>
      </c>
      <c r="R233" s="6">
        <f>Q233-P233</f>
        <v/>
      </c>
    </row>
    <row r="234">
      <c r="P234" s="2" t="inlineStr">
        <is>
          <t>PROSTHETICS LABOR</t>
        </is>
      </c>
      <c r="R234" s="8">
        <f>SUM(R232:R233)</f>
        <v/>
      </c>
    </row>
    <row r="236">
      <c r="B236" s="2" t="inlineStr">
        <is>
          <t>KEYHAIR</t>
        </is>
      </c>
    </row>
    <row r="237">
      <c r="A237" s="5" t="inlineStr">
        <is>
          <t>3111</t>
        </is>
      </c>
      <c r="B237" s="5" t="inlineStr">
        <is>
          <t>Traci Smithe</t>
        </is>
      </c>
      <c r="C237" s="5" t="inlineStr">
        <is>
          <t>KEYHAIR</t>
        </is>
      </c>
      <c r="D237" s="5" t="inlineStr">
        <is>
          <t>Local706</t>
        </is>
      </c>
      <c r="E237" s="6" t="n">
        <v>25.5</v>
      </c>
      <c r="F237" s="5" t="n"/>
      <c r="G237" s="5" t="n"/>
      <c r="H237" s="5" t="n"/>
      <c r="I237" s="5" t="n"/>
      <c r="J237" s="7">
        <f>IF(AND(N(F237)&gt;0,N(I237)&gt;0),I237-F237-IF(N(G237)&gt;0,0.5,0)-IF(N(H237)&gt;0,0.5,0),0)</f>
        <v/>
      </c>
      <c r="K237" s="5" t="n"/>
      <c r="L237" s="7">
        <f>MIN(J237,10.0)</f>
        <v/>
      </c>
      <c r="M237" s="7">
        <f>MAX(0,MIN(J237,12)-10.0)</f>
        <v/>
      </c>
      <c r="N237" s="7">
        <f>MAX(0,J237-12)</f>
        <v/>
      </c>
      <c r="O237" s="5" t="n"/>
      <c r="P237" s="6">
        <f>E237*(L237+M237*1.5+N237*2+O237*3+N(K237))</f>
        <v/>
      </c>
      <c r="Q237" s="6" t="n">
        <v>439.87</v>
      </c>
      <c r="R237" s="6">
        <f>Q237-P237</f>
        <v/>
      </c>
    </row>
    <row r="238">
      <c r="P238" s="2" t="inlineStr">
        <is>
          <t>KEYHAIR LABOR</t>
        </is>
      </c>
      <c r="R238" s="8">
        <f>SUM(R237:R237)</f>
        <v/>
      </c>
    </row>
    <row r="240">
      <c r="B240" s="2" t="inlineStr">
        <is>
          <t>ASSTHAIR</t>
        </is>
      </c>
    </row>
    <row r="241">
      <c r="A241" s="5" t="inlineStr">
        <is>
          <t>3112</t>
        </is>
      </c>
      <c r="B241" s="5" t="inlineStr">
        <is>
          <t>Yunea Cruz</t>
        </is>
      </c>
      <c r="C241" s="5" t="inlineStr">
        <is>
          <t>ASSTHAIRSTYLIST#1</t>
        </is>
      </c>
      <c r="D241" s="5" t="inlineStr">
        <is>
          <t>Local706</t>
        </is>
      </c>
      <c r="E241" s="6" t="n">
        <v>23.04</v>
      </c>
      <c r="F241" s="5" t="n"/>
      <c r="G241" s="5" t="n"/>
      <c r="H241" s="5" t="n"/>
      <c r="I241" s="5" t="n"/>
      <c r="J241" s="7">
        <f>IF(AND(N(F241)&gt;0,N(I241)&gt;0),I241-F241-IF(N(G241)&gt;0,0.5,0)-IF(N(H241)&gt;0,0.5,0),0)</f>
        <v/>
      </c>
      <c r="K241" s="5" t="n"/>
      <c r="L241" s="7">
        <f>MIN(J241,10.0)</f>
        <v/>
      </c>
      <c r="M241" s="7">
        <f>MAX(0,MIN(J241,12)-10.0)</f>
        <v/>
      </c>
      <c r="N241" s="7">
        <f>MAX(0,J241-12)</f>
        <v/>
      </c>
      <c r="O241" s="5" t="n"/>
      <c r="P241" s="6">
        <f>E241*(L241+M241*1.5+N241*2+O241*3+N(K241))</f>
        <v/>
      </c>
      <c r="Q241" s="6" t="n">
        <v>397.43</v>
      </c>
      <c r="R241" s="6">
        <f>Q241-P241</f>
        <v/>
      </c>
    </row>
    <row r="242">
      <c r="P242" s="2" t="inlineStr">
        <is>
          <t>ASSTHAIR LABOR</t>
        </is>
      </c>
      <c r="R242" s="8">
        <f>SUM(R241:R241)</f>
        <v/>
      </c>
    </row>
    <row r="244">
      <c r="B244" s="2" t="inlineStr">
        <is>
          <t>ADDITIONALHAIRLABOR</t>
        </is>
      </c>
    </row>
    <row r="245">
      <c r="A245" s="5" t="inlineStr">
        <is>
          <t>3113</t>
        </is>
      </c>
      <c r="B245" s="5" t="inlineStr"/>
      <c r="C245" s="5" t="inlineStr">
        <is>
          <t>ADDLHAIRSTYLISTDAYS</t>
        </is>
      </c>
      <c r="D245" s="5" t="inlineStr">
        <is>
          <t>Local706</t>
        </is>
      </c>
      <c r="E245" s="6" t="n">
        <v>23.04</v>
      </c>
      <c r="F245" s="5" t="n"/>
      <c r="G245" s="5" t="n"/>
      <c r="H245" s="5" t="n"/>
      <c r="I245" s="5" t="n"/>
      <c r="J245" s="7">
        <f>IF(AND(N(F245)&gt;0,N(I245)&gt;0),I245-F245-IF(N(G245)&gt;0,0.5,0)-IF(N(H245)&gt;0,0.5,0),0)</f>
        <v/>
      </c>
      <c r="K245" s="5" t="n"/>
      <c r="L245" s="7">
        <f>MIN(J245,10.0)</f>
        <v/>
      </c>
      <c r="M245" s="7">
        <f>MAX(0,MIN(J245,12)-10.0)</f>
        <v/>
      </c>
      <c r="N245" s="7">
        <f>MAX(0,J245-12)</f>
        <v/>
      </c>
      <c r="O245" s="5" t="n"/>
      <c r="P245" s="6">
        <f>E245*(L245+M245*1.5+N245*2+O245*3+N(K245))</f>
        <v/>
      </c>
      <c r="Q245" s="6" t="n">
        <v>397.43</v>
      </c>
      <c r="R245" s="6">
        <f>Q245-P245</f>
        <v/>
      </c>
    </row>
    <row r="246">
      <c r="P246" s="2" t="inlineStr">
        <is>
          <t>ADDITIONALHAIRLABOR LABOR</t>
        </is>
      </c>
      <c r="R246" s="8">
        <f>SUM(R245:R245)</f>
        <v/>
      </c>
    </row>
    <row r="248">
      <c r="B248" s="2" t="inlineStr">
        <is>
          <t>GAFFER</t>
        </is>
      </c>
    </row>
    <row r="249">
      <c r="A249" s="5" t="inlineStr">
        <is>
          <t>3201</t>
        </is>
      </c>
      <c r="B249" s="5" t="inlineStr">
        <is>
          <t>Nicholas Kaat</t>
        </is>
      </c>
      <c r="C249" s="5" t="inlineStr">
        <is>
          <t>GAFFER</t>
        </is>
      </c>
      <c r="D249" s="5" t="inlineStr">
        <is>
          <t>Local728</t>
        </is>
      </c>
      <c r="E249" s="6" t="n">
        <v>25.5</v>
      </c>
      <c r="F249" s="5" t="n"/>
      <c r="G249" s="5" t="n"/>
      <c r="H249" s="5" t="n"/>
      <c r="I249" s="5" t="n"/>
      <c r="J249" s="7">
        <f>IF(AND(N(F249)&gt;0,N(I249)&gt;0),I249-F249-IF(N(G249)&gt;0,0.5,0)-IF(N(H249)&gt;0,0.5,0),0)</f>
        <v/>
      </c>
      <c r="K249" s="5" t="n"/>
      <c r="L249" s="7">
        <f>MIN(J249,10.0)</f>
        <v/>
      </c>
      <c r="M249" s="7">
        <f>MAX(0,MIN(J249,12)-10.0)</f>
        <v/>
      </c>
      <c r="N249" s="7">
        <f>MAX(0,J249-12)</f>
        <v/>
      </c>
      <c r="O249" s="5" t="n"/>
      <c r="P249" s="6">
        <f>E249*(L249+M249*1.5+N249*2+O249*3+N(K249))</f>
        <v/>
      </c>
      <c r="Q249" s="6" t="n">
        <v>395.25</v>
      </c>
      <c r="R249" s="6">
        <f>Q249-P249</f>
        <v/>
      </c>
    </row>
    <row r="250">
      <c r="P250" s="2" t="inlineStr">
        <is>
          <t>GAFFER LABOR</t>
        </is>
      </c>
      <c r="R250" s="8">
        <f>SUM(R249:R249)</f>
        <v/>
      </c>
    </row>
    <row r="252">
      <c r="B252" s="2" t="inlineStr">
        <is>
          <t>BESTBOYELECTRIC</t>
        </is>
      </c>
    </row>
    <row r="253">
      <c r="A253" s="5" t="inlineStr">
        <is>
          <t>3202</t>
        </is>
      </c>
      <c r="B253" s="5" t="inlineStr">
        <is>
          <t>Nathan Fetzer</t>
        </is>
      </c>
      <c r="C253" s="5" t="inlineStr">
        <is>
          <t>BESTBOYELECTRIC</t>
        </is>
      </c>
      <c r="D253" s="5" t="inlineStr">
        <is>
          <t>Local728</t>
        </is>
      </c>
      <c r="E253" s="6" t="n">
        <v>23.04</v>
      </c>
      <c r="F253" s="5" t="n"/>
      <c r="G253" s="5" t="n"/>
      <c r="H253" s="5" t="n"/>
      <c r="I253" s="5" t="n"/>
      <c r="J253" s="7">
        <f>IF(AND(N(F253)&gt;0,N(I253)&gt;0),I253-F253-IF(N(G253)&gt;0,0.5,0)-IF(N(H253)&gt;0,0.5,0),0)</f>
        <v/>
      </c>
      <c r="K253" s="5" t="n"/>
      <c r="L253" s="7">
        <f>MIN(J253,10.0)</f>
        <v/>
      </c>
      <c r="M253" s="7">
        <f>MAX(0,MIN(J253,12)-10.0)</f>
        <v/>
      </c>
      <c r="N253" s="7">
        <f>MAX(0,J253-12)</f>
        <v/>
      </c>
      <c r="O253" s="5" t="n"/>
      <c r="P253" s="6">
        <f>E253*(L253+M253*1.5+N253*2+O253*3+N(K253))</f>
        <v/>
      </c>
      <c r="Q253" s="6" t="n">
        <v>357.12</v>
      </c>
      <c r="R253" s="6">
        <f>Q253-P253</f>
        <v/>
      </c>
    </row>
    <row r="254">
      <c r="A254" s="5" t="inlineStr">
        <is>
          <t>3202</t>
        </is>
      </c>
      <c r="B254" s="5" t="inlineStr"/>
      <c r="C254" s="5" t="inlineStr">
        <is>
          <t>STUDIOBESTBOYELECTRIC</t>
        </is>
      </c>
      <c r="D254" s="5" t="inlineStr">
        <is>
          <t>Local728</t>
        </is>
      </c>
      <c r="E254" s="6" t="n">
        <v>43.05</v>
      </c>
      <c r="F254" s="5" t="n"/>
      <c r="G254" s="5" t="n"/>
      <c r="H254" s="5" t="n"/>
      <c r="I254" s="5" t="n"/>
      <c r="J254" s="7">
        <f>IF(AND(N(F254)&gt;0,N(I254)&gt;0),I254-F254-IF(N(G254)&gt;0,0.5,0)-IF(N(H254)&gt;0,0.5,0),0)</f>
        <v/>
      </c>
      <c r="K254" s="5" t="n"/>
      <c r="L254" s="7">
        <f>MIN(J254,10.0)</f>
        <v/>
      </c>
      <c r="M254" s="7">
        <f>MAX(0,MIN(J254,12)-10.0)</f>
        <v/>
      </c>
      <c r="N254" s="7">
        <f>MAX(0,J254-12)</f>
        <v/>
      </c>
      <c r="O254" s="5" t="n"/>
      <c r="P254" s="6">
        <f>E254*(L254+M254*1.5+N254*2+O254*3+N(K254))</f>
        <v/>
      </c>
      <c r="Q254" s="6" t="n">
        <v>667.27</v>
      </c>
      <c r="R254" s="6">
        <f>Q254-P254</f>
        <v/>
      </c>
    </row>
    <row r="255">
      <c r="P255" s="2" t="inlineStr">
        <is>
          <t>BESTBOYELECTRIC LABOR</t>
        </is>
      </c>
      <c r="R255" s="8">
        <f>SUM(R253:R254)</f>
        <v/>
      </c>
    </row>
    <row r="257">
      <c r="B257" s="2" t="inlineStr">
        <is>
          <t>ELECTRICIANS</t>
        </is>
      </c>
    </row>
    <row r="258">
      <c r="A258" s="5" t="inlineStr">
        <is>
          <t>3204</t>
        </is>
      </c>
      <c r="B258" s="5" t="inlineStr"/>
      <c r="C258" s="5" t="inlineStr">
        <is>
          <t>ELECTRICIAN#1</t>
        </is>
      </c>
      <c r="D258" s="5" t="inlineStr">
        <is>
          <t>Local728</t>
        </is>
      </c>
      <c r="E258" s="6" t="n">
        <v>20.57</v>
      </c>
      <c r="F258" s="5" t="n"/>
      <c r="G258" s="5" t="n"/>
      <c r="H258" s="5" t="n"/>
      <c r="I258" s="5" t="n"/>
      <c r="J258" s="7">
        <f>IF(AND(N(F258)&gt;0,N(I258)&gt;0),I258-F258-IF(N(G258)&gt;0,0.5,0)-IF(N(H258)&gt;0,0.5,0),0)</f>
        <v/>
      </c>
      <c r="K258" s="5" t="n"/>
      <c r="L258" s="7">
        <f>MIN(J258,10.0)</f>
        <v/>
      </c>
      <c r="M258" s="7">
        <f>MAX(0,MIN(J258,12)-10.0)</f>
        <v/>
      </c>
      <c r="N258" s="7">
        <f>MAX(0,J258-12)</f>
        <v/>
      </c>
      <c r="O258" s="5" t="n"/>
      <c r="P258" s="6">
        <f>E258*(L258+M258*1.5+N258*2+O258*3+N(K258))</f>
        <v/>
      </c>
      <c r="Q258" s="6" t="n">
        <v>318.83</v>
      </c>
      <c r="R258" s="6">
        <f>Q258-P258</f>
        <v/>
      </c>
    </row>
    <row r="259">
      <c r="A259" s="5" t="inlineStr">
        <is>
          <t>3204</t>
        </is>
      </c>
      <c r="B259" s="5" t="inlineStr"/>
      <c r="C259" s="5" t="inlineStr">
        <is>
          <t>ELECTRICIAN#2</t>
        </is>
      </c>
      <c r="D259" s="5" t="inlineStr">
        <is>
          <t>Local728</t>
        </is>
      </c>
      <c r="E259" s="6" t="n">
        <v>20.57</v>
      </c>
      <c r="F259" s="5" t="n"/>
      <c r="G259" s="5" t="n"/>
      <c r="H259" s="5" t="n"/>
      <c r="I259" s="5" t="n"/>
      <c r="J259" s="7">
        <f>IF(AND(N(F259)&gt;0,N(I259)&gt;0),I259-F259-IF(N(G259)&gt;0,0.5,0)-IF(N(H259)&gt;0,0.5,0),0)</f>
        <v/>
      </c>
      <c r="K259" s="5" t="n"/>
      <c r="L259" s="7">
        <f>MIN(J259,10.0)</f>
        <v/>
      </c>
      <c r="M259" s="7">
        <f>MAX(0,MIN(J259,12)-10.0)</f>
        <v/>
      </c>
      <c r="N259" s="7">
        <f>MAX(0,J259-12)</f>
        <v/>
      </c>
      <c r="O259" s="5" t="n"/>
      <c r="P259" s="6">
        <f>E259*(L259+M259*1.5+N259*2+O259*3+N(K259))</f>
        <v/>
      </c>
      <c r="Q259" s="6" t="n">
        <v>318.83</v>
      </c>
      <c r="R259" s="6">
        <f>Q259-P259</f>
        <v/>
      </c>
    </row>
    <row r="260">
      <c r="A260" s="5" t="inlineStr">
        <is>
          <t>3204</t>
        </is>
      </c>
      <c r="B260" s="5" t="inlineStr"/>
      <c r="C260" s="5" t="inlineStr">
        <is>
          <t>ELECTRICIAN#3</t>
        </is>
      </c>
      <c r="D260" s="5" t="inlineStr">
        <is>
          <t>Local728</t>
        </is>
      </c>
      <c r="E260" s="6" t="n">
        <v>20.57</v>
      </c>
      <c r="F260" s="5" t="n"/>
      <c r="G260" s="5" t="n"/>
      <c r="H260" s="5" t="n"/>
      <c r="I260" s="5" t="n"/>
      <c r="J260" s="7">
        <f>IF(AND(N(F260)&gt;0,N(I260)&gt;0),I260-F260-IF(N(G260)&gt;0,0.5,0)-IF(N(H260)&gt;0,0.5,0),0)</f>
        <v/>
      </c>
      <c r="K260" s="5" t="n"/>
      <c r="L260" s="7">
        <f>MIN(J260,10.0)</f>
        <v/>
      </c>
      <c r="M260" s="7">
        <f>MAX(0,MIN(J260,12)-10.0)</f>
        <v/>
      </c>
      <c r="N260" s="7">
        <f>MAX(0,J260-12)</f>
        <v/>
      </c>
      <c r="O260" s="5" t="n"/>
      <c r="P260" s="6">
        <f>E260*(L260+M260*1.5+N260*2+O260*3+N(K260))</f>
        <v/>
      </c>
      <c r="Q260" s="6" t="n">
        <v>318.83</v>
      </c>
      <c r="R260" s="6">
        <f>Q260-P260</f>
        <v/>
      </c>
    </row>
    <row r="261">
      <c r="P261" s="2" t="inlineStr">
        <is>
          <t>ELECTRICIANS LABOR</t>
        </is>
      </c>
      <c r="R261" s="8">
        <f>SUM(R258:R260)</f>
        <v/>
      </c>
    </row>
    <row r="263">
      <c r="B263" s="2" t="inlineStr">
        <is>
          <t>ADDITIONALELECTRICLABOR</t>
        </is>
      </c>
    </row>
    <row r="264">
      <c r="A264" s="5" t="inlineStr">
        <is>
          <t>3206</t>
        </is>
      </c>
      <c r="B264" s="5" t="inlineStr"/>
      <c r="C264" s="5" t="inlineStr">
        <is>
          <t>ELECTRICMANDAYS&amp;RIGGINGMANDAYS</t>
        </is>
      </c>
      <c r="D264" s="5" t="inlineStr">
        <is>
          <t>Local728</t>
        </is>
      </c>
      <c r="E264" s="6" t="n">
        <v>20.57</v>
      </c>
      <c r="F264" s="5" t="n"/>
      <c r="G264" s="5" t="n"/>
      <c r="H264" s="5" t="n"/>
      <c r="I264" s="5" t="n"/>
      <c r="J264" s="7">
        <f>IF(AND(N(F264)&gt;0,N(I264)&gt;0),I264-F264-IF(N(G264)&gt;0,0.5,0)-IF(N(H264)&gt;0,0.5,0),0)</f>
        <v/>
      </c>
      <c r="K264" s="5" t="n"/>
      <c r="L264" s="7">
        <f>MIN(J264,10.0)</f>
        <v/>
      </c>
      <c r="M264" s="7">
        <f>MAX(0,MIN(J264,12)-10.0)</f>
        <v/>
      </c>
      <c r="N264" s="7">
        <f>MAX(0,J264-12)</f>
        <v/>
      </c>
      <c r="O264" s="5" t="n"/>
      <c r="P264" s="6">
        <f>E264*(L264+M264*1.5+N264*2+O264*3+N(K264))</f>
        <v/>
      </c>
      <c r="Q264" s="6" t="n">
        <v>318.83</v>
      </c>
      <c r="R264" s="6">
        <f>Q264-P264</f>
        <v/>
      </c>
    </row>
    <row r="265">
      <c r="P265" s="2" t="inlineStr">
        <is>
          <t>ADDITIONALELECTRICLABOR LABOR</t>
        </is>
      </c>
      <c r="R265" s="8">
        <f>SUM(R264:R264)</f>
        <v/>
      </c>
    </row>
    <row r="267">
      <c r="B267" s="2" t="inlineStr">
        <is>
          <t>DIRECTOROFPHOTOGRAPHY</t>
        </is>
      </c>
    </row>
    <row r="268">
      <c r="A268" s="5" t="inlineStr">
        <is>
          <t>3301</t>
        </is>
      </c>
      <c r="B268" s="5" t="inlineStr">
        <is>
          <t>Michael Burgess</t>
        </is>
      </c>
      <c r="C268" s="5" t="inlineStr">
        <is>
          <t>DIRECTOROFPHOTOGRAPHY</t>
        </is>
      </c>
      <c r="D268" s="5" t="inlineStr">
        <is>
          <t>Local600</t>
        </is>
      </c>
      <c r="E268" s="6" t="n">
        <v>700</v>
      </c>
      <c r="F268" s="5" t="n"/>
      <c r="G268" s="5" t="n"/>
      <c r="H268" s="5" t="n"/>
      <c r="I268" s="5" t="n"/>
      <c r="J268" s="7">
        <f>IF(AND(N(F268)&gt;0,N(I268)&gt;0),I268-F268-IF(N(G268)&gt;0,0.5,0)-IF(N(H268)&gt;0,0.5,0),0)</f>
        <v/>
      </c>
      <c r="K268" s="5" t="n"/>
      <c r="L268" s="7">
        <f>MIN(J268,8.0)</f>
        <v/>
      </c>
      <c r="M268" s="7">
        <f>MAX(0,MIN(J268,12)-8.0)</f>
        <v/>
      </c>
      <c r="N268" s="7">
        <f>MAX(0,J268-12)</f>
        <v/>
      </c>
      <c r="O268" s="5" t="n"/>
      <c r="P268" s="6">
        <f>E268*(L268+M268*1.5+N268*2+O268*3+N(K268))</f>
        <v/>
      </c>
      <c r="Q268" s="6" t="n">
        <v>700</v>
      </c>
      <c r="R268" s="6">
        <f>Q268-P268</f>
        <v/>
      </c>
    </row>
    <row r="269">
      <c r="P269" s="2" t="inlineStr">
        <is>
          <t>DIRECTOROFPHOTOGRAPHY LABOR</t>
        </is>
      </c>
      <c r="R269" s="8">
        <f>SUM(R268:R268)</f>
        <v/>
      </c>
    </row>
    <row r="271">
      <c r="B271" s="2" t="inlineStr">
        <is>
          <t>CAMERAOPERATORS</t>
        </is>
      </c>
    </row>
    <row r="272">
      <c r="A272" s="5" t="inlineStr">
        <is>
          <t>3302</t>
        </is>
      </c>
      <c r="B272" s="5" t="inlineStr">
        <is>
          <t>Craig Bauer</t>
        </is>
      </c>
      <c r="C272" s="5" t="inlineStr">
        <is>
          <t>"B"CAMERAOP</t>
        </is>
      </c>
      <c r="D272" s="5" t="inlineStr">
        <is>
          <t>Local600</t>
        </is>
      </c>
      <c r="E272" s="6" t="n">
        <v>45</v>
      </c>
      <c r="F272" s="5" t="n"/>
      <c r="G272" s="5" t="n"/>
      <c r="H272" s="5" t="n"/>
      <c r="I272" s="5" t="n"/>
      <c r="J272" s="7">
        <f>IF(AND(N(F272)&gt;0,N(I272)&gt;0),I272-F272-IF(N(G272)&gt;0,0.5,0)-IF(N(H272)&gt;0,0.5,0),0)</f>
        <v/>
      </c>
      <c r="K272" s="5" t="n"/>
      <c r="L272" s="7">
        <f>MIN(J272,8.0)</f>
        <v/>
      </c>
      <c r="M272" s="7">
        <f>MAX(0,MIN(J272,12)-8.0)</f>
        <v/>
      </c>
      <c r="N272" s="7">
        <f>MAX(0,J272-12)</f>
        <v/>
      </c>
      <c r="O272" s="5" t="n"/>
      <c r="P272" s="6">
        <f>E272*(L272+M272*1.5+N272*2+O272*3+N(K272))</f>
        <v/>
      </c>
      <c r="Q272" s="6" t="n">
        <v>630</v>
      </c>
      <c r="R272" s="6">
        <f>Q272-P272</f>
        <v/>
      </c>
    </row>
    <row r="273">
      <c r="P273" s="2" t="inlineStr">
        <is>
          <t>CAMERAOPERATORS LABOR</t>
        </is>
      </c>
      <c r="R273" s="8">
        <f>SUM(R272:R272)</f>
        <v/>
      </c>
    </row>
    <row r="275">
      <c r="B275" s="2" t="inlineStr">
        <is>
          <t>DIGITALIMAGINGTECHS</t>
        </is>
      </c>
    </row>
    <row r="276">
      <c r="A276" s="5" t="inlineStr">
        <is>
          <t>3304</t>
        </is>
      </c>
      <c r="B276" s="5" t="inlineStr">
        <is>
          <t>Oliver Mancebo</t>
        </is>
      </c>
      <c r="C276" s="5" t="inlineStr">
        <is>
          <t>DIT</t>
        </is>
      </c>
      <c r="D276" s="5" t="inlineStr">
        <is>
          <t>Local600</t>
        </is>
      </c>
      <c r="E276" s="6" t="n">
        <v>35</v>
      </c>
      <c r="F276" s="5" t="n"/>
      <c r="G276" s="5" t="n"/>
      <c r="H276" s="5" t="n"/>
      <c r="I276" s="5" t="n"/>
      <c r="J276" s="7">
        <f>IF(AND(N(F276)&gt;0,N(I276)&gt;0),I276-F276-IF(N(G276)&gt;0,0.5,0)-IF(N(H276)&gt;0,0.5,0),0)</f>
        <v/>
      </c>
      <c r="K276" s="5" t="n"/>
      <c r="L276" s="7">
        <f>MIN(J276,8.0)</f>
        <v/>
      </c>
      <c r="M276" s="7">
        <f>MAX(0,MIN(J276,12)-8.0)</f>
        <v/>
      </c>
      <c r="N276" s="7">
        <f>MAX(0,J276-12)</f>
        <v/>
      </c>
      <c r="O276" s="5" t="n"/>
      <c r="P276" s="6">
        <f>E276*(L276+M276*1.5+N276*2+O276*3+N(K276))</f>
        <v/>
      </c>
      <c r="Q276" s="6" t="n">
        <v>542.5</v>
      </c>
      <c r="R276" s="6">
        <f>Q276-P276</f>
        <v/>
      </c>
    </row>
    <row r="277">
      <c r="P277" s="2" t="inlineStr">
        <is>
          <t>DIGITALIMAGINGTECHS LABOR</t>
        </is>
      </c>
      <c r="R277" s="8">
        <f>SUM(R276:R276)</f>
        <v/>
      </c>
    </row>
    <row r="279">
      <c r="B279" s="2" t="inlineStr">
        <is>
          <t>1STASSTCAMERA</t>
        </is>
      </c>
    </row>
    <row r="280">
      <c r="A280" s="5" t="inlineStr">
        <is>
          <t>3305</t>
        </is>
      </c>
      <c r="B280" s="5" t="inlineStr">
        <is>
          <t>Steve Cueva</t>
        </is>
      </c>
      <c r="C280" s="5" t="inlineStr">
        <is>
          <t>"A"CAMERA 1STAC</t>
        </is>
      </c>
      <c r="D280" s="5" t="inlineStr">
        <is>
          <t>Local600</t>
        </is>
      </c>
      <c r="E280" s="6" t="n">
        <v>25.5</v>
      </c>
      <c r="F280" s="5" t="n"/>
      <c r="G280" s="5" t="n"/>
      <c r="H280" s="5" t="n"/>
      <c r="I280" s="5" t="n"/>
      <c r="J280" s="7">
        <f>IF(AND(N(F280)&gt;0,N(I280)&gt;0),I280-F280-IF(N(G280)&gt;0,0.5,0)-IF(N(H280)&gt;0,0.5,0),0)</f>
        <v/>
      </c>
      <c r="K280" s="5" t="n"/>
      <c r="L280" s="7">
        <f>MIN(J280,8.0)</f>
        <v/>
      </c>
      <c r="M280" s="7">
        <f>MAX(0,MIN(J280,12)-8.0)</f>
        <v/>
      </c>
      <c r="N280" s="7">
        <f>MAX(0,J280-12)</f>
        <v/>
      </c>
      <c r="O280" s="5" t="n"/>
      <c r="P280" s="6">
        <f>E280*(L280+M280*1.5+N280*2+O280*3+N(K280))</f>
        <v/>
      </c>
      <c r="Q280" s="6" t="n">
        <v>395.25</v>
      </c>
      <c r="R280" s="6">
        <f>Q280-P280</f>
        <v/>
      </c>
    </row>
    <row r="281">
      <c r="A281" s="5" t="inlineStr">
        <is>
          <t>3305</t>
        </is>
      </c>
      <c r="B281" s="5" t="inlineStr">
        <is>
          <t>Chris Garcia</t>
        </is>
      </c>
      <c r="C281" s="5" t="inlineStr">
        <is>
          <t>"B"CAMERA 1STAC</t>
        </is>
      </c>
      <c r="D281" s="5" t="inlineStr">
        <is>
          <t>Local600</t>
        </is>
      </c>
      <c r="E281" s="6" t="n">
        <v>25.5</v>
      </c>
      <c r="F281" s="5" t="n"/>
      <c r="G281" s="5" t="n"/>
      <c r="H281" s="5" t="n"/>
      <c r="I281" s="5" t="n"/>
      <c r="J281" s="7">
        <f>IF(AND(N(F281)&gt;0,N(I281)&gt;0),I281-F281-IF(N(G281)&gt;0,0.5,0)-IF(N(H281)&gt;0,0.5,0),0)</f>
        <v/>
      </c>
      <c r="K281" s="5" t="n"/>
      <c r="L281" s="7">
        <f>MIN(J281,8.0)</f>
        <v/>
      </c>
      <c r="M281" s="7">
        <f>MAX(0,MIN(J281,12)-8.0)</f>
        <v/>
      </c>
      <c r="N281" s="7">
        <f>MAX(0,J281-12)</f>
        <v/>
      </c>
      <c r="O281" s="5" t="n"/>
      <c r="P281" s="6">
        <f>E281*(L281+M281*1.5+N281*2+O281*3+N(K281))</f>
        <v/>
      </c>
      <c r="Q281" s="6" t="n">
        <v>395.25</v>
      </c>
      <c r="R281" s="6">
        <f>Q281-P281</f>
        <v/>
      </c>
    </row>
    <row r="282">
      <c r="P282" s="2" t="inlineStr">
        <is>
          <t>1STASSTCAMERA LABOR</t>
        </is>
      </c>
      <c r="R282" s="8">
        <f>SUM(R280:R281)</f>
        <v/>
      </c>
    </row>
    <row r="284">
      <c r="B284" s="2" t="inlineStr">
        <is>
          <t>2NDASSTCAMERA</t>
        </is>
      </c>
    </row>
    <row r="285">
      <c r="A285" s="5" t="inlineStr">
        <is>
          <t>3306</t>
        </is>
      </c>
      <c r="B285" s="5" t="inlineStr">
        <is>
          <t>Manny Serrano</t>
        </is>
      </c>
      <c r="C285" s="5" t="inlineStr">
        <is>
          <t>"A"CAMERA 2NDAC</t>
        </is>
      </c>
      <c r="D285" s="5" t="inlineStr">
        <is>
          <t>Local600</t>
        </is>
      </c>
      <c r="E285" s="6" t="n">
        <v>23.04</v>
      </c>
      <c r="F285" s="5" t="n"/>
      <c r="G285" s="5" t="n"/>
      <c r="H285" s="5" t="n"/>
      <c r="I285" s="5" t="n"/>
      <c r="J285" s="7">
        <f>IF(AND(N(F285)&gt;0,N(I285)&gt;0),I285-F285-IF(N(G285)&gt;0,0.5,0)-IF(N(H285)&gt;0,0.5,0),0)</f>
        <v/>
      </c>
      <c r="K285" s="5" t="n"/>
      <c r="L285" s="7">
        <f>MIN(J285,8.0)</f>
        <v/>
      </c>
      <c r="M285" s="7">
        <f>MAX(0,MIN(J285,12)-8.0)</f>
        <v/>
      </c>
      <c r="N285" s="7">
        <f>MAX(0,J285-12)</f>
        <v/>
      </c>
      <c r="O285" s="5" t="n"/>
      <c r="P285" s="6">
        <f>E285*(L285+M285*1.5+N285*2+O285*3+N(K285))</f>
        <v/>
      </c>
      <c r="Q285" s="6" t="n">
        <v>357.12</v>
      </c>
      <c r="R285" s="6">
        <f>Q285-P285</f>
        <v/>
      </c>
    </row>
    <row r="286">
      <c r="A286" s="5" t="inlineStr">
        <is>
          <t>3306</t>
        </is>
      </c>
      <c r="B286" s="5" t="inlineStr"/>
      <c r="C286" s="5" t="inlineStr">
        <is>
          <t>"B"CAMERA 2NDAC</t>
        </is>
      </c>
      <c r="D286" s="5" t="inlineStr">
        <is>
          <t>Local600</t>
        </is>
      </c>
      <c r="E286" s="6" t="n">
        <v>23.04</v>
      </c>
      <c r="F286" s="5" t="n"/>
      <c r="G286" s="5" t="n"/>
      <c r="H286" s="5" t="n"/>
      <c r="I286" s="5" t="n"/>
      <c r="J286" s="7">
        <f>IF(AND(N(F286)&gt;0,N(I286)&gt;0),I286-F286-IF(N(G286)&gt;0,0.5,0)-IF(N(H286)&gt;0,0.5,0),0)</f>
        <v/>
      </c>
      <c r="K286" s="5" t="n"/>
      <c r="L286" s="7">
        <f>MIN(J286,8.0)</f>
        <v/>
      </c>
      <c r="M286" s="7">
        <f>MAX(0,MIN(J286,12)-8.0)</f>
        <v/>
      </c>
      <c r="N286" s="7">
        <f>MAX(0,J286-12)</f>
        <v/>
      </c>
      <c r="O286" s="5" t="n"/>
      <c r="P286" s="6">
        <f>E286*(L286+M286*1.5+N286*2+O286*3+N(K286))</f>
        <v/>
      </c>
      <c r="Q286" s="6" t="n">
        <v>357.12</v>
      </c>
      <c r="R286" s="6">
        <f>Q286-P286</f>
        <v/>
      </c>
    </row>
    <row r="287">
      <c r="P287" s="2" t="inlineStr">
        <is>
          <t>2NDASSTCAMERA LABOR</t>
        </is>
      </c>
      <c r="R287" s="8">
        <f>SUM(R285:R286)</f>
        <v/>
      </c>
    </row>
    <row r="289">
      <c r="B289" s="2" t="inlineStr">
        <is>
          <t>STILLPHOTOGRAPHER</t>
        </is>
      </c>
    </row>
    <row r="290">
      <c r="A290" s="5" t="inlineStr">
        <is>
          <t>3308</t>
        </is>
      </c>
      <c r="B290" s="5" t="inlineStr">
        <is>
          <t>Scott Patrick Green</t>
        </is>
      </c>
      <c r="C290" s="5" t="inlineStr">
        <is>
          <t>STILLPHOTOGRAPHER</t>
        </is>
      </c>
      <c r="D290" s="5" t="inlineStr">
        <is>
          <t>Local600</t>
        </is>
      </c>
      <c r="E290" s="6" t="n">
        <v>26.5</v>
      </c>
      <c r="F290" s="5" t="n"/>
      <c r="G290" s="5" t="n"/>
      <c r="H290" s="5" t="n"/>
      <c r="I290" s="5" t="n"/>
      <c r="J290" s="7">
        <f>IF(AND(N(F290)&gt;0,N(I290)&gt;0),I290-F290-IF(N(G290)&gt;0,0.5,0)-IF(N(H290)&gt;0,0.5,0),0)</f>
        <v/>
      </c>
      <c r="K290" s="5" t="n"/>
      <c r="L290" s="7">
        <f>MIN(J290,8.0)</f>
        <v/>
      </c>
      <c r="M290" s="7">
        <f>MAX(0,MIN(J290,12)-8.0)</f>
        <v/>
      </c>
      <c r="N290" s="7">
        <f>MAX(0,J290-12)</f>
        <v/>
      </c>
      <c r="O290" s="5" t="n"/>
      <c r="P290" s="6">
        <f>E290*(L290+M290*1.5+N290*2+O290*3+N(K290))</f>
        <v/>
      </c>
      <c r="Q290" s="6" t="n">
        <v>291.5</v>
      </c>
      <c r="R290" s="6">
        <f>Q290-P290</f>
        <v/>
      </c>
    </row>
    <row r="291">
      <c r="P291" s="2" t="inlineStr">
        <is>
          <t>STILLPHOTOGRAPHER LABOR</t>
        </is>
      </c>
      <c r="R291" s="8">
        <f>SUM(R290:R290)</f>
        <v/>
      </c>
    </row>
    <row r="293">
      <c r="B293" s="2" t="inlineStr">
        <is>
          <t>AERIAL/UNDERWATERPHOTOGRAPHY</t>
        </is>
      </c>
    </row>
    <row r="294">
      <c r="A294" s="5" t="inlineStr">
        <is>
          <t>3385</t>
        </is>
      </c>
      <c r="B294" s="5" t="inlineStr"/>
      <c r="C294" s="5" t="inlineStr">
        <is>
          <t>UNDERWATEROPERATOR</t>
        </is>
      </c>
      <c r="D294" s="5" t="inlineStr">
        <is>
          <t>Local600</t>
        </is>
      </c>
      <c r="E294" s="6" t="n">
        <v>65</v>
      </c>
      <c r="F294" s="5" t="n"/>
      <c r="G294" s="5" t="n"/>
      <c r="H294" s="5" t="n"/>
      <c r="I294" s="5" t="n"/>
      <c r="J294" s="7">
        <f>IF(AND(N(F294)&gt;0,N(I294)&gt;0),I294-F294-IF(N(G294)&gt;0,0.5,0)-IF(N(H294)&gt;0,0.5,0),0)</f>
        <v/>
      </c>
      <c r="K294" s="5" t="n"/>
      <c r="L294" s="7">
        <f>MIN(J294,8.0)</f>
        <v/>
      </c>
      <c r="M294" s="7">
        <f>MAX(0,MIN(J294,12)-8.0)</f>
        <v/>
      </c>
      <c r="N294" s="7">
        <f>MAX(0,J294-12)</f>
        <v/>
      </c>
      <c r="O294" s="5" t="n"/>
      <c r="P294" s="6">
        <f>E294*(L294+M294*1.5+N294*2+O294*3+N(K294))</f>
        <v/>
      </c>
      <c r="Q294" s="6" t="n">
        <v>910</v>
      </c>
      <c r="R294" s="6">
        <f>Q294-P294</f>
        <v/>
      </c>
    </row>
    <row r="295">
      <c r="P295" s="2" t="inlineStr">
        <is>
          <t>AERIAL/UNDERWATERPHOTOGRAPHY LABOR</t>
        </is>
      </c>
      <c r="R295" s="8">
        <f>SUM(R294:R294)</f>
        <v/>
      </c>
    </row>
    <row r="297">
      <c r="B297" s="2" t="inlineStr">
        <is>
          <t>SOUNDMIXER</t>
        </is>
      </c>
    </row>
    <row r="298">
      <c r="A298" s="5" t="inlineStr">
        <is>
          <t>3401</t>
        </is>
      </c>
      <c r="B298" s="5" t="inlineStr">
        <is>
          <t>Julian Howarth</t>
        </is>
      </c>
      <c r="C298" s="5" t="inlineStr">
        <is>
          <t>SOUNDMIXER</t>
        </is>
      </c>
      <c r="D298" s="5" t="inlineStr">
        <is>
          <t>Local695</t>
        </is>
      </c>
      <c r="E298" s="6" t="n">
        <v>26.5</v>
      </c>
      <c r="F298" s="5" t="n"/>
      <c r="G298" s="5" t="n"/>
      <c r="H298" s="5" t="n"/>
      <c r="I298" s="5" t="n"/>
      <c r="J298" s="7">
        <f>IF(AND(N(F298)&gt;0,N(I298)&gt;0),I298-F298-IF(N(G298)&gt;0,0.5,0)-IF(N(H298)&gt;0,0.5,0),0)</f>
        <v/>
      </c>
      <c r="K298" s="5" t="n"/>
      <c r="L298" s="7">
        <f>MIN(J298,10.0)</f>
        <v/>
      </c>
      <c r="M298" s="7">
        <f>MAX(0,MIN(J298,12)-10.0)</f>
        <v/>
      </c>
      <c r="N298" s="7">
        <f>MAX(0,J298-12)</f>
        <v/>
      </c>
      <c r="O298" s="5" t="n"/>
      <c r="P298" s="6">
        <f>E298*(L298+M298*1.5+N298*2+O298*3+N(K298))</f>
        <v/>
      </c>
      <c r="Q298" s="6" t="n">
        <v>410.75</v>
      </c>
      <c r="R298" s="6">
        <f>Q298-P298</f>
        <v/>
      </c>
    </row>
    <row r="299">
      <c r="P299" s="2" t="inlineStr">
        <is>
          <t>SOUNDMIXER LABOR</t>
        </is>
      </c>
      <c r="R299" s="8">
        <f>SUM(R298:R298)</f>
        <v/>
      </c>
    </row>
    <row r="301">
      <c r="B301" s="2" t="inlineStr">
        <is>
          <t>BOOMOPERATOR</t>
        </is>
      </c>
    </row>
    <row r="302">
      <c r="A302" s="5" t="inlineStr">
        <is>
          <t>3402</t>
        </is>
      </c>
      <c r="B302" s="5" t="inlineStr">
        <is>
          <t>Tim Song Jones</t>
        </is>
      </c>
      <c r="C302" s="5" t="inlineStr">
        <is>
          <t>BOOMOPERATOR</t>
        </is>
      </c>
      <c r="D302" s="5" t="inlineStr">
        <is>
          <t>Local695</t>
        </is>
      </c>
      <c r="E302" s="6" t="n">
        <v>23.04</v>
      </c>
      <c r="F302" s="5" t="n"/>
      <c r="G302" s="5" t="n"/>
      <c r="H302" s="5" t="n"/>
      <c r="I302" s="5" t="n"/>
      <c r="J302" s="7">
        <f>IF(AND(N(F302)&gt;0,N(I302)&gt;0),I302-F302-IF(N(G302)&gt;0,0.5,0)-IF(N(H302)&gt;0,0.5,0),0)</f>
        <v/>
      </c>
      <c r="K302" s="5" t="n"/>
      <c r="L302" s="7">
        <f>MIN(J302,10.0)</f>
        <v/>
      </c>
      <c r="M302" s="7">
        <f>MAX(0,MIN(J302,12)-10.0)</f>
        <v/>
      </c>
      <c r="N302" s="7">
        <f>MAX(0,J302-12)</f>
        <v/>
      </c>
      <c r="O302" s="5" t="n"/>
      <c r="P302" s="6">
        <f>E302*(L302+M302*1.5+N302*2+O302*3+N(K302))</f>
        <v/>
      </c>
      <c r="Q302" s="6" t="n">
        <v>357.12</v>
      </c>
      <c r="R302" s="6">
        <f>Q302-P302</f>
        <v/>
      </c>
    </row>
    <row r="303">
      <c r="P303" s="2" t="inlineStr">
        <is>
          <t>BOOMOPERATOR LABOR</t>
        </is>
      </c>
      <c r="R303" s="8">
        <f>SUM(R302:R302)</f>
        <v/>
      </c>
    </row>
    <row r="305">
      <c r="B305" s="2" t="inlineStr">
        <is>
          <t>CABLEPERSON</t>
        </is>
      </c>
    </row>
    <row r="306">
      <c r="A306" s="5" t="inlineStr">
        <is>
          <t>3403</t>
        </is>
      </c>
      <c r="B306" s="5" t="inlineStr"/>
      <c r="C306" s="5" t="inlineStr">
        <is>
          <t>UTILITYSOUND</t>
        </is>
      </c>
      <c r="D306" s="5" t="inlineStr">
        <is>
          <t>Local695</t>
        </is>
      </c>
      <c r="E306" s="6" t="n">
        <v>20.57</v>
      </c>
      <c r="F306" s="5" t="n"/>
      <c r="G306" s="5" t="n"/>
      <c r="H306" s="5" t="n"/>
      <c r="I306" s="5" t="n"/>
      <c r="J306" s="7">
        <f>IF(AND(N(F306)&gt;0,N(I306)&gt;0),I306-F306-IF(N(G306)&gt;0,0.5,0)-IF(N(H306)&gt;0,0.5,0),0)</f>
        <v/>
      </c>
      <c r="K306" s="5" t="n"/>
      <c r="L306" s="7">
        <f>MIN(J306,10.0)</f>
        <v/>
      </c>
      <c r="M306" s="7">
        <f>MAX(0,MIN(J306,12)-10.0)</f>
        <v/>
      </c>
      <c r="N306" s="7">
        <f>MAX(0,J306-12)</f>
        <v/>
      </c>
      <c r="O306" s="5" t="n"/>
      <c r="P306" s="6">
        <f>E306*(L306+M306*1.5+N306*2+O306*3+N(K306))</f>
        <v/>
      </c>
      <c r="Q306" s="6" t="n">
        <v>318.83</v>
      </c>
      <c r="R306" s="6">
        <f>Q306-P306</f>
        <v/>
      </c>
    </row>
    <row r="307">
      <c r="P307" s="2" t="inlineStr">
        <is>
          <t>CABLEPERSON LABOR</t>
        </is>
      </c>
      <c r="R307" s="8">
        <f>SUM(R306:R306)</f>
        <v/>
      </c>
    </row>
    <row r="309">
      <c r="B309" s="2" t="inlineStr">
        <is>
          <t>VIDEOASSIST</t>
        </is>
      </c>
    </row>
    <row r="310">
      <c r="A310" s="5" t="inlineStr">
        <is>
          <t>3404</t>
        </is>
      </c>
      <c r="B310" s="5" t="inlineStr">
        <is>
          <t>Jeff Snyder</t>
        </is>
      </c>
      <c r="C310" s="5" t="inlineStr">
        <is>
          <t>VIDEOASSISTOPERATOR</t>
        </is>
      </c>
      <c r="D310" s="5" t="inlineStr">
        <is>
          <t>Local695</t>
        </is>
      </c>
      <c r="E310" s="6" t="n">
        <v>23.04</v>
      </c>
      <c r="F310" s="5" t="n"/>
      <c r="G310" s="5" t="n"/>
      <c r="H310" s="5" t="n"/>
      <c r="I310" s="5" t="n"/>
      <c r="J310" s="7">
        <f>IF(AND(N(F310)&gt;0,N(I310)&gt;0),I310-F310-IF(N(G310)&gt;0,0.5,0)-IF(N(H310)&gt;0,0.5,0),0)</f>
        <v/>
      </c>
      <c r="K310" s="5" t="n"/>
      <c r="L310" s="7">
        <f>MIN(J310,10.0)</f>
        <v/>
      </c>
      <c r="M310" s="7">
        <f>MAX(0,MIN(J310,12)-10.0)</f>
        <v/>
      </c>
      <c r="N310" s="7">
        <f>MAX(0,J310-12)</f>
        <v/>
      </c>
      <c r="O310" s="5" t="n"/>
      <c r="P310" s="6">
        <f>E310*(L310+M310*1.5+N310*2+O310*3+N(K310))</f>
        <v/>
      </c>
      <c r="Q310" s="6" t="n">
        <v>357.12</v>
      </c>
      <c r="R310" s="6">
        <f>Q310-P310</f>
        <v/>
      </c>
    </row>
    <row r="311">
      <c r="P311" s="2" t="inlineStr">
        <is>
          <t>VIDEOASSIST LABOR</t>
        </is>
      </c>
      <c r="R311" s="8">
        <f>SUM(R310:R310)</f>
        <v/>
      </c>
    </row>
    <row r="313">
      <c r="B313" s="2" t="inlineStr">
        <is>
          <t>CAPTAIN</t>
        </is>
      </c>
    </row>
    <row r="314">
      <c r="A314" s="5" t="inlineStr">
        <is>
          <t>3502</t>
        </is>
      </c>
      <c r="B314" s="5" t="inlineStr">
        <is>
          <t>Kevin Caira</t>
        </is>
      </c>
      <c r="C314" s="5" t="inlineStr">
        <is>
          <t>TRANSPOCAPTAIN(LA)</t>
        </is>
      </c>
      <c r="D314" s="5" t="inlineStr">
        <is>
          <t>Local399</t>
        </is>
      </c>
      <c r="E314" s="6" t="n">
        <v>37.21</v>
      </c>
      <c r="F314" s="5" t="n"/>
      <c r="G314" s="5" t="n"/>
      <c r="H314" s="5" t="n"/>
      <c r="I314" s="5" t="n"/>
      <c r="J314" s="7">
        <f>IF(AND(N(F314)&gt;0,N(I314)&gt;0),I314-F314-IF(N(G314)&gt;0,0.5,0)-IF(N(H314)&gt;0,0.5,0),0)</f>
        <v/>
      </c>
      <c r="K314" s="5" t="n"/>
      <c r="L314" s="7">
        <f>MIN(J314,8.0)</f>
        <v/>
      </c>
      <c r="M314" s="7">
        <f>MAX(0,MIN(J314,12)-8.0)</f>
        <v/>
      </c>
      <c r="N314" s="7">
        <f>MAX(0,J314-12)</f>
        <v/>
      </c>
      <c r="O314" s="5" t="n"/>
      <c r="P314" s="6">
        <f>E314*(L314+M314*1.5+N314*2+O314*3+N(K314))</f>
        <v/>
      </c>
      <c r="Q314" s="6" t="n">
        <v>651.17</v>
      </c>
      <c r="R314" s="6">
        <f>Q314-P314</f>
        <v/>
      </c>
    </row>
    <row r="315">
      <c r="A315" s="5" t="inlineStr">
        <is>
          <t>3502</t>
        </is>
      </c>
      <c r="B315" s="5" t="inlineStr">
        <is>
          <t>Tina Peterson</t>
        </is>
      </c>
      <c r="C315" s="5" t="inlineStr">
        <is>
          <t>CO-CAPTAIN</t>
        </is>
      </c>
      <c r="D315" s="5" t="inlineStr">
        <is>
          <t>Local399</t>
        </is>
      </c>
      <c r="E315" s="6" t="n">
        <v>37.21</v>
      </c>
      <c r="F315" s="5" t="n"/>
      <c r="G315" s="5" t="n"/>
      <c r="H315" s="5" t="n"/>
      <c r="I315" s="5" t="n"/>
      <c r="J315" s="7">
        <f>IF(AND(N(F315)&gt;0,N(I315)&gt;0),I315-F315-IF(N(G315)&gt;0,0.5,0)-IF(N(H315)&gt;0,0.5,0),0)</f>
        <v/>
      </c>
      <c r="K315" s="5" t="n"/>
      <c r="L315" s="7">
        <f>MIN(J315,8.0)</f>
        <v/>
      </c>
      <c r="M315" s="7">
        <f>MAX(0,MIN(J315,12)-8.0)</f>
        <v/>
      </c>
      <c r="N315" s="7">
        <f>MAX(0,J315-12)</f>
        <v/>
      </c>
      <c r="O315" s="5" t="n"/>
      <c r="P315" s="6">
        <f>E315*(L315+M315*1.5+N315*2+O315*3+N(K315))</f>
        <v/>
      </c>
      <c r="Q315" s="6" t="n">
        <v>576.75</v>
      </c>
      <c r="R315" s="6">
        <f>Q315-P315</f>
        <v/>
      </c>
    </row>
    <row r="316">
      <c r="P316" s="2" t="inlineStr">
        <is>
          <t>CAPTAIN LABOR</t>
        </is>
      </c>
      <c r="R316" s="8">
        <f>SUM(R314:R315)</f>
        <v/>
      </c>
    </row>
    <row r="318">
      <c r="B318" s="2" t="inlineStr">
        <is>
          <t>DRIVERS</t>
        </is>
      </c>
    </row>
    <row r="319">
      <c r="A319" s="5" t="inlineStr">
        <is>
          <t>3503</t>
        </is>
      </c>
      <c r="B319" s="5" t="inlineStr"/>
      <c r="C319" s="5" t="inlineStr">
        <is>
          <t>GRIPTRUCK 48'TRACTORTRAILERDRIVER</t>
        </is>
      </c>
      <c r="D319" s="5" t="inlineStr"/>
      <c r="E319" s="6" t="n">
        <v>32.36</v>
      </c>
      <c r="F319" s="5" t="n"/>
      <c r="G319" s="5" t="n"/>
      <c r="H319" s="5" t="n"/>
      <c r="I319" s="5" t="n"/>
      <c r="J319" s="7">
        <f>IF(AND(N(F319)&gt;0,N(I319)&gt;0),I319-F319-IF(N(G319)&gt;0,0.5,0)-IF(N(H319)&gt;0,0.5,0),0)</f>
        <v/>
      </c>
      <c r="K319" s="5" t="n"/>
      <c r="L319" s="7">
        <f>MIN(J319,8.0)</f>
        <v/>
      </c>
      <c r="M319" s="7">
        <f>MAX(0,MIN(J319,12)-8.0)</f>
        <v/>
      </c>
      <c r="N319" s="7">
        <f>MAX(0,J319-12)</f>
        <v/>
      </c>
      <c r="O319" s="5" t="n"/>
      <c r="P319" s="6">
        <f>E319*(L319+M319*1.5+N319*2+O319*3+N(K319))</f>
        <v/>
      </c>
      <c r="Q319" s="6" t="n">
        <v>501.58</v>
      </c>
      <c r="R319" s="6">
        <f>Q319-P319</f>
        <v/>
      </c>
    </row>
    <row r="320">
      <c r="A320" s="5" t="inlineStr">
        <is>
          <t>3503</t>
        </is>
      </c>
      <c r="B320" s="5" t="inlineStr">
        <is>
          <t>Donald Wilson</t>
        </is>
      </c>
      <c r="C320" s="5" t="inlineStr">
        <is>
          <t>PROP 5-TON(ENCLOSED)</t>
        </is>
      </c>
      <c r="D320" s="5" t="inlineStr"/>
      <c r="E320" s="6" t="n">
        <v>32.36</v>
      </c>
      <c r="F320" s="5" t="n"/>
      <c r="G320" s="5" t="n"/>
      <c r="H320" s="5" t="n"/>
      <c r="I320" s="5" t="n"/>
      <c r="J320" s="7">
        <f>IF(AND(N(F320)&gt;0,N(I320)&gt;0),I320-F320-IF(N(G320)&gt;0,0.5,0)-IF(N(H320)&gt;0,0.5,0),0)</f>
        <v/>
      </c>
      <c r="K320" s="5" t="n"/>
      <c r="L320" s="7">
        <f>MIN(J320,8.0)</f>
        <v/>
      </c>
      <c r="M320" s="7">
        <f>MAX(0,MIN(J320,12)-8.0)</f>
        <v/>
      </c>
      <c r="N320" s="7">
        <f>MAX(0,J320-12)</f>
        <v/>
      </c>
      <c r="O320" s="5" t="n"/>
      <c r="P320" s="6">
        <f>E320*(L320+M320*1.5+N320*2+O320*3+N(K320))</f>
        <v/>
      </c>
      <c r="Q320" s="6" t="n">
        <v>501.58</v>
      </c>
      <c r="R320" s="6">
        <f>Q320-P320</f>
        <v/>
      </c>
    </row>
    <row r="321">
      <c r="A321" s="5" t="inlineStr">
        <is>
          <t>3503</t>
        </is>
      </c>
      <c r="B321" s="5" t="inlineStr"/>
      <c r="C321" s="5" t="inlineStr">
        <is>
          <t>WARDROBESTAKEBEDDRIVER#1</t>
        </is>
      </c>
      <c r="D321" s="5" t="inlineStr"/>
      <c r="E321" s="6" t="n">
        <v>37.99</v>
      </c>
      <c r="F321" s="5" t="n"/>
      <c r="G321" s="5" t="n"/>
      <c r="H321" s="5" t="n"/>
      <c r="I321" s="5" t="n"/>
      <c r="J321" s="7">
        <f>IF(AND(N(F321)&gt;0,N(I321)&gt;0),I321-F321-IF(N(G321)&gt;0,0.5,0)-IF(N(H321)&gt;0,0.5,0),0)</f>
        <v/>
      </c>
      <c r="K321" s="5" t="n"/>
      <c r="L321" s="7">
        <f>MIN(J321,8.0)</f>
        <v/>
      </c>
      <c r="M321" s="7">
        <f>MAX(0,MIN(J321,12)-8.0)</f>
        <v/>
      </c>
      <c r="N321" s="7">
        <f>MAX(0,J321-12)</f>
        <v/>
      </c>
      <c r="O321" s="5" t="n"/>
      <c r="P321" s="6">
        <f>E321*(L321+M321*1.5+N321*2+O321*3+N(K321))</f>
        <v/>
      </c>
      <c r="Q321" s="6" t="n">
        <v>588.85</v>
      </c>
      <c r="R321" s="6">
        <f>Q321-P321</f>
        <v/>
      </c>
    </row>
    <row r="322">
      <c r="A322" s="5" t="inlineStr">
        <is>
          <t>3503</t>
        </is>
      </c>
      <c r="B322" s="5" t="inlineStr"/>
      <c r="C322" s="5" t="inlineStr">
        <is>
          <t>MAKEUPHAIRTRAILERDRIVER</t>
        </is>
      </c>
      <c r="D322" s="5" t="inlineStr"/>
      <c r="E322" s="6" t="n">
        <v>32.36</v>
      </c>
      <c r="F322" s="5" t="n"/>
      <c r="G322" s="5" t="n"/>
      <c r="H322" s="5" t="n"/>
      <c r="I322" s="5" t="n"/>
      <c r="J322" s="7">
        <f>IF(AND(N(F322)&gt;0,N(I322)&gt;0),I322-F322-IF(N(G322)&gt;0,0.5,0)-IF(N(H322)&gt;0,0.5,0),0)</f>
        <v/>
      </c>
      <c r="K322" s="5" t="n"/>
      <c r="L322" s="7">
        <f>MIN(J322,8.0)</f>
        <v/>
      </c>
      <c r="M322" s="7">
        <f>MAX(0,MIN(J322,12)-8.0)</f>
        <v/>
      </c>
      <c r="N322" s="7">
        <f>MAX(0,J322-12)</f>
        <v/>
      </c>
      <c r="O322" s="5" t="n"/>
      <c r="P322" s="6">
        <f>E322*(L322+M322*1.5+N322*2+O322*3+N(K322))</f>
        <v/>
      </c>
      <c r="Q322" s="6" t="n">
        <v>501.58</v>
      </c>
      <c r="R322" s="6">
        <f>Q322-P322</f>
        <v/>
      </c>
    </row>
    <row r="323">
      <c r="A323" s="5" t="inlineStr">
        <is>
          <t>3503</t>
        </is>
      </c>
      <c r="B323" s="5" t="inlineStr"/>
      <c r="C323" s="5" t="inlineStr">
        <is>
          <t>ELECTRIC 10TONDRIVER(GENIEOPERATOR)</t>
        </is>
      </c>
      <c r="D323" s="5" t="inlineStr"/>
      <c r="E323" s="6" t="n">
        <v>37.99</v>
      </c>
      <c r="F323" s="5" t="n"/>
      <c r="G323" s="5" t="n"/>
      <c r="H323" s="5" t="n"/>
      <c r="I323" s="5" t="n"/>
      <c r="J323" s="7">
        <f>IF(AND(N(F323)&gt;0,N(I323)&gt;0),I323-F323-IF(N(G323)&gt;0,0.5,0)-IF(N(H323)&gt;0,0.5,0),0)</f>
        <v/>
      </c>
      <c r="K323" s="5" t="n"/>
      <c r="L323" s="7">
        <f>MIN(J323,8.0)</f>
        <v/>
      </c>
      <c r="M323" s="7">
        <f>MAX(0,MIN(J323,12)-8.0)</f>
        <v/>
      </c>
      <c r="N323" s="7">
        <f>MAX(0,J323-12)</f>
        <v/>
      </c>
      <c r="O323" s="5" t="n"/>
      <c r="P323" s="6">
        <f>E323*(L323+M323*1.5+N323*2+O323*3+N(K323))</f>
        <v/>
      </c>
      <c r="Q323" s="6" t="n">
        <v>588.85</v>
      </c>
      <c r="R323" s="6">
        <f>Q323-P323</f>
        <v/>
      </c>
    </row>
    <row r="324">
      <c r="A324" s="5" t="inlineStr">
        <is>
          <t>3503</t>
        </is>
      </c>
      <c r="B324" s="5" t="inlineStr"/>
      <c r="C324" s="5" t="inlineStr">
        <is>
          <t>SOUNDCCSTAKEBEDFUELTRUCKDRIVER</t>
        </is>
      </c>
      <c r="D324" s="5" t="inlineStr"/>
      <c r="E324" s="6" t="n">
        <v>32.36</v>
      </c>
      <c r="F324" s="5" t="n"/>
      <c r="G324" s="5" t="n"/>
      <c r="H324" s="5" t="n"/>
      <c r="I324" s="5" t="n"/>
      <c r="J324" s="7">
        <f>IF(AND(N(F324)&gt;0,N(I324)&gt;0),I324-F324-IF(N(G324)&gt;0,0.5,0)-IF(N(H324)&gt;0,0.5,0),0)</f>
        <v/>
      </c>
      <c r="K324" s="5" t="n"/>
      <c r="L324" s="7">
        <f>MIN(J324,8.0)</f>
        <v/>
      </c>
      <c r="M324" s="7">
        <f>MAX(0,MIN(J324,12)-8.0)</f>
        <v/>
      </c>
      <c r="N324" s="7">
        <f>MAX(0,J324-12)</f>
        <v/>
      </c>
      <c r="O324" s="5" t="n"/>
      <c r="P324" s="6">
        <f>E324*(L324+M324*1.5+N324*2+O324*3+N(K324))</f>
        <v/>
      </c>
      <c r="Q324" s="6" t="n">
        <v>501.58</v>
      </c>
      <c r="R324" s="6">
        <f>Q324-P324</f>
        <v/>
      </c>
    </row>
    <row r="325">
      <c r="A325" s="5" t="inlineStr">
        <is>
          <t>3503</t>
        </is>
      </c>
      <c r="B325" s="5" t="inlineStr"/>
      <c r="C325" s="5" t="inlineStr">
        <is>
          <t>9-ROOMHONEYWAGONTRACTORDRIVER</t>
        </is>
      </c>
      <c r="D325" s="5" t="inlineStr"/>
      <c r="E325" s="6" t="n">
        <v>32.36</v>
      </c>
      <c r="F325" s="5" t="n"/>
      <c r="G325" s="5" t="n"/>
      <c r="H325" s="5" t="n"/>
      <c r="I325" s="5" t="n"/>
      <c r="J325" s="7">
        <f>IF(AND(N(F325)&gt;0,N(I325)&gt;0),I325-F325-IF(N(G325)&gt;0,0.5,0)-IF(N(H325)&gt;0,0.5,0),0)</f>
        <v/>
      </c>
      <c r="K325" s="5" t="n"/>
      <c r="L325" s="7">
        <f>MIN(J325,8.0)</f>
        <v/>
      </c>
      <c r="M325" s="7">
        <f>MAX(0,MIN(J325,12)-8.0)</f>
        <v/>
      </c>
      <c r="N325" s="7">
        <f>MAX(0,J325-12)</f>
        <v/>
      </c>
      <c r="O325" s="5" t="n"/>
      <c r="P325" s="6">
        <f>E325*(L325+M325*1.5+N325*2+O325*3+N(K325))</f>
        <v/>
      </c>
      <c r="Q325" s="6" t="n">
        <v>501.58</v>
      </c>
      <c r="R325" s="6">
        <f>Q325-P325</f>
        <v/>
      </c>
    </row>
    <row r="326">
      <c r="A326" s="5" t="inlineStr">
        <is>
          <t>3503</t>
        </is>
      </c>
      <c r="B326" s="5" t="inlineStr"/>
      <c r="C326" s="5" t="inlineStr">
        <is>
          <t>FORDTRANSITVANDRIVER#1</t>
        </is>
      </c>
      <c r="D326" s="5" t="inlineStr"/>
      <c r="E326" s="6" t="n">
        <v>32.36</v>
      </c>
      <c r="F326" s="5" t="n"/>
      <c r="G326" s="5" t="n"/>
      <c r="H326" s="5" t="n"/>
      <c r="I326" s="5" t="n"/>
      <c r="J326" s="7">
        <f>IF(AND(N(F326)&gt;0,N(I326)&gt;0),I326-F326-IF(N(G326)&gt;0,0.5,0)-IF(N(H326)&gt;0,0.5,0),0)</f>
        <v/>
      </c>
      <c r="K326" s="5" t="n"/>
      <c r="L326" s="7">
        <f>MIN(J326,8.0)</f>
        <v/>
      </c>
      <c r="M326" s="7">
        <f>MAX(0,MIN(J326,12)-8.0)</f>
        <v/>
      </c>
      <c r="N326" s="7">
        <f>MAX(0,J326-12)</f>
        <v/>
      </c>
      <c r="O326" s="5" t="n"/>
      <c r="P326" s="6">
        <f>E326*(L326+M326*1.5+N326*2+O326*3+N(K326))</f>
        <v/>
      </c>
      <c r="Q326" s="6" t="n">
        <v>501.58</v>
      </c>
      <c r="R326" s="6">
        <f>Q326-P326</f>
        <v/>
      </c>
    </row>
    <row r="327">
      <c r="A327" s="5" t="inlineStr">
        <is>
          <t>3503</t>
        </is>
      </c>
      <c r="B327" s="5" t="inlineStr">
        <is>
          <t>Kaiser Clark</t>
        </is>
      </c>
      <c r="C327" s="5" t="inlineStr">
        <is>
          <t>CSETDECTRUCKDRIVER#1</t>
        </is>
      </c>
      <c r="D327" s="5" t="inlineStr"/>
      <c r="E327" s="6" t="n">
        <v>32.36</v>
      </c>
      <c r="F327" s="5" t="n"/>
      <c r="G327" s="5" t="n"/>
      <c r="H327" s="5" t="n"/>
      <c r="I327" s="5" t="n"/>
      <c r="J327" s="7">
        <f>IF(AND(N(F327)&gt;0,N(I327)&gt;0),I327-F327-IF(N(G327)&gt;0,0.5,0)-IF(N(H327)&gt;0,0.5,0),0)</f>
        <v/>
      </c>
      <c r="K327" s="5" t="n"/>
      <c r="L327" s="7">
        <f>MIN(J327,8.0)</f>
        <v/>
      </c>
      <c r="M327" s="7">
        <f>MAX(0,MIN(J327,12)-8.0)</f>
        <v/>
      </c>
      <c r="N327" s="7">
        <f>MAX(0,J327-12)</f>
        <v/>
      </c>
      <c r="O327" s="5" t="n"/>
      <c r="P327" s="6">
        <f>E327*(L327+M327*1.5+N327*2+O327*3+N(K327))</f>
        <v/>
      </c>
      <c r="Q327" s="6" t="n">
        <v>501.58</v>
      </c>
      <c r="R327" s="6">
        <f>Q327-P327</f>
        <v/>
      </c>
    </row>
    <row r="328">
      <c r="A328" s="5" t="inlineStr">
        <is>
          <t>3503</t>
        </is>
      </c>
      <c r="B328" s="5" t="inlineStr"/>
      <c r="C328" s="5" t="inlineStr">
        <is>
          <t>C 5-TONENCLOSEDRIGGINGGRIPDRIVER</t>
        </is>
      </c>
      <c r="D328" s="5" t="inlineStr"/>
      <c r="E328" s="6" t="n">
        <v>32.36</v>
      </c>
      <c r="F328" s="5" t="n"/>
      <c r="G328" s="5" t="n"/>
      <c r="H328" s="5" t="n"/>
      <c r="I328" s="5" t="n"/>
      <c r="J328" s="7">
        <f>IF(AND(N(F328)&gt;0,N(I328)&gt;0),I328-F328-IF(N(G328)&gt;0,0.5,0)-IF(N(H328)&gt;0,0.5,0),0)</f>
        <v/>
      </c>
      <c r="K328" s="5" t="n"/>
      <c r="L328" s="7">
        <f>MIN(J328,8.0)</f>
        <v/>
      </c>
      <c r="M328" s="7">
        <f>MAX(0,MIN(J328,12)-8.0)</f>
        <v/>
      </c>
      <c r="N328" s="7">
        <f>MAX(0,J328-12)</f>
        <v/>
      </c>
      <c r="O328" s="5" t="n"/>
      <c r="P328" s="6">
        <f>E328*(L328+M328*1.5+N328*2+O328*3+N(K328))</f>
        <v/>
      </c>
      <c r="Q328" s="5" t="n"/>
      <c r="R328" s="6">
        <f>Q328-P328</f>
        <v/>
      </c>
    </row>
    <row r="329">
      <c r="A329" s="5" t="inlineStr">
        <is>
          <t>3503</t>
        </is>
      </c>
      <c r="B329" s="5" t="inlineStr"/>
      <c r="C329" s="5" t="inlineStr">
        <is>
          <t>SCOUTBUS</t>
        </is>
      </c>
      <c r="D329" s="5" t="inlineStr"/>
      <c r="E329" s="6" t="n">
        <v>32.36</v>
      </c>
      <c r="F329" s="5" t="n"/>
      <c r="G329" s="5" t="n"/>
      <c r="H329" s="5" t="n"/>
      <c r="I329" s="5" t="n"/>
      <c r="J329" s="7">
        <f>IF(AND(N(F329)&gt;0,N(I329)&gt;0),I329-F329-IF(N(G329)&gt;0,0.5,0)-IF(N(H329)&gt;0,0.5,0),0)</f>
        <v/>
      </c>
      <c r="K329" s="5" t="n"/>
      <c r="L329" s="7">
        <f>MIN(J329,8.0)</f>
        <v/>
      </c>
      <c r="M329" s="7">
        <f>MAX(0,MIN(J329,12)-8.0)</f>
        <v/>
      </c>
      <c r="N329" s="7">
        <f>MAX(0,J329-12)</f>
        <v/>
      </c>
      <c r="O329" s="5" t="n"/>
      <c r="P329" s="6">
        <f>E329*(L329+M329*1.5+N329*2+O329*3+N(K329))</f>
        <v/>
      </c>
      <c r="Q329" s="5" t="n"/>
      <c r="R329" s="6">
        <f>Q329-P329</f>
        <v/>
      </c>
    </row>
    <row r="330">
      <c r="A330" s="5" t="inlineStr">
        <is>
          <t>3503</t>
        </is>
      </c>
      <c r="B330" s="5" t="inlineStr"/>
      <c r="C330" s="5" t="inlineStr">
        <is>
          <t>DRIVERMANDAYS</t>
        </is>
      </c>
      <c r="D330" s="5" t="inlineStr"/>
      <c r="E330" s="6" t="n">
        <v>32.36</v>
      </c>
      <c r="F330" s="5" t="n"/>
      <c r="G330" s="5" t="n"/>
      <c r="H330" s="5" t="n"/>
      <c r="I330" s="5" t="n"/>
      <c r="J330" s="7">
        <f>IF(AND(N(F330)&gt;0,N(I330)&gt;0),I330-F330-IF(N(G330)&gt;0,0.5,0)-IF(N(H330)&gt;0,0.5,0),0)</f>
        <v/>
      </c>
      <c r="K330" s="5" t="n"/>
      <c r="L330" s="7">
        <f>MIN(J330,8.0)</f>
        <v/>
      </c>
      <c r="M330" s="7">
        <f>MAX(0,MIN(J330,12)-8.0)</f>
        <v/>
      </c>
      <c r="N330" s="7">
        <f>MAX(0,J330-12)</f>
        <v/>
      </c>
      <c r="O330" s="5" t="n"/>
      <c r="P330" s="6">
        <f>E330*(L330+M330*1.5+N330*2+O330*3+N(K330))</f>
        <v/>
      </c>
      <c r="Q330" s="5" t="n"/>
      <c r="R330" s="6">
        <f>Q330-P330</f>
        <v/>
      </c>
    </row>
    <row r="331">
      <c r="P331" s="2" t="inlineStr">
        <is>
          <t>DRIVERS LABOR</t>
        </is>
      </c>
      <c r="R331" s="8">
        <f>SUM(R319:R330)</f>
        <v/>
      </c>
    </row>
    <row r="333">
      <c r="B333" s="2" t="inlineStr">
        <is>
          <t>LOCATIONSITEFEES</t>
        </is>
      </c>
    </row>
    <row r="334">
      <c r="A334" s="5" t="inlineStr">
        <is>
          <t>3607</t>
        </is>
      </c>
      <c r="B334" s="5" t="inlineStr"/>
      <c r="C334" s="5" t="inlineStr">
        <is>
          <t>Location#1(Hospital ER, LACountry Childrens Shelter, Shelter Dorm, Dept...</t>
        </is>
      </c>
      <c r="D334" s="5" t="inlineStr">
        <is>
          <t>Local400</t>
        </is>
      </c>
      <c r="E334" s="6" t="n">
        <v>50000</v>
      </c>
      <c r="F334" s="5" t="n"/>
      <c r="G334" s="5" t="n"/>
      <c r="H334" s="5" t="n"/>
      <c r="I334" s="5" t="n"/>
      <c r="J334" s="7">
        <f>IF(AND(N(F334)&gt;0,N(I334)&gt;0),I334-F334-IF(N(G334)&gt;0,0.5,0)-IF(N(H334)&gt;0,0.5,0),0)</f>
        <v/>
      </c>
      <c r="K334" s="5" t="n"/>
      <c r="L334" s="7">
        <f>MIN(J334,8.0)</f>
        <v/>
      </c>
      <c r="M334" s="7">
        <f>MAX(0,MIN(J334,12)-8.0)</f>
        <v/>
      </c>
      <c r="N334" s="7">
        <f>MAX(0,J334-12)</f>
        <v/>
      </c>
      <c r="O334" s="5" t="n"/>
      <c r="P334" s="6">
        <f>E334*(L334+M334*1.5+N334*2+O334*3+N(K334))</f>
        <v/>
      </c>
      <c r="Q334" s="6" t="n">
        <v>50000</v>
      </c>
      <c r="R334" s="6">
        <f>Q334-P334</f>
        <v/>
      </c>
    </row>
    <row r="335">
      <c r="P335" s="2" t="inlineStr">
        <is>
          <t>LOCATIONSITEFEES LABOR</t>
        </is>
      </c>
      <c r="R335" s="8">
        <f>SUM(R334:R334)</f>
        <v/>
      </c>
    </row>
    <row r="337">
      <c r="B337" s="2" t="inlineStr">
        <is>
          <t>CATERINGLABOR</t>
        </is>
      </c>
    </row>
    <row r="338">
      <c r="A338" s="5" t="inlineStr">
        <is>
          <t>3621</t>
        </is>
      </c>
      <c r="B338" s="5" t="inlineStr"/>
      <c r="C338" s="5" t="inlineStr">
        <is>
          <t>COOKDRIVER#1</t>
        </is>
      </c>
      <c r="D338" s="5" t="inlineStr">
        <is>
          <t>Local399</t>
        </is>
      </c>
      <c r="E338" s="6" t="n">
        <v>32.36</v>
      </c>
      <c r="F338" s="5" t="n"/>
      <c r="G338" s="5" t="n"/>
      <c r="H338" s="5" t="n"/>
      <c r="I338" s="5" t="n"/>
      <c r="J338" s="7">
        <f>IF(AND(N(F338)&gt;0,N(I338)&gt;0),I338-F338-IF(N(G338)&gt;0,0.5,0)-IF(N(H338)&gt;0,0.5,0),0)</f>
        <v/>
      </c>
      <c r="K338" s="5" t="n"/>
      <c r="L338" s="7">
        <f>MIN(J338,8.0)</f>
        <v/>
      </c>
      <c r="M338" s="7">
        <f>MAX(0,MIN(J338,12)-8.0)</f>
        <v/>
      </c>
      <c r="N338" s="7">
        <f>MAX(0,J338-12)</f>
        <v/>
      </c>
      <c r="O338" s="5" t="n"/>
      <c r="P338" s="6">
        <f>E338*(L338+M338*1.5+N338*2+O338*3+N(K338))</f>
        <v/>
      </c>
      <c r="Q338" s="6" t="n">
        <v>647.2</v>
      </c>
      <c r="R338" s="6">
        <f>Q338-P338</f>
        <v/>
      </c>
    </row>
    <row r="339">
      <c r="A339" s="5" t="inlineStr">
        <is>
          <t>3621</t>
        </is>
      </c>
      <c r="B339" s="5" t="inlineStr"/>
      <c r="C339" s="5" t="inlineStr">
        <is>
          <t>1STASSTCATERER#1</t>
        </is>
      </c>
      <c r="D339" s="5" t="inlineStr"/>
      <c r="E339" s="6" t="n">
        <v>17</v>
      </c>
      <c r="F339" s="5" t="n"/>
      <c r="G339" s="5" t="n"/>
      <c r="H339" s="5" t="n"/>
      <c r="I339" s="5" t="n"/>
      <c r="J339" s="7">
        <f>IF(AND(N(F339)&gt;0,N(I339)&gt;0),I339-F339-IF(N(G339)&gt;0,0.5,0)-IF(N(H339)&gt;0,0.5,0),0)</f>
        <v/>
      </c>
      <c r="K339" s="5" t="n"/>
      <c r="L339" s="7">
        <f>MIN(J339,8.0)</f>
        <v/>
      </c>
      <c r="M339" s="7">
        <f>MAX(0,MIN(J339,12)-8.0)</f>
        <v/>
      </c>
      <c r="N339" s="7">
        <f>MAX(0,J339-12)</f>
        <v/>
      </c>
      <c r="O339" s="5" t="n"/>
      <c r="P339" s="6">
        <f>E339*(L339+M339*1.5+N339*2+O339*3+N(K339))</f>
        <v/>
      </c>
      <c r="Q339" s="6" t="n">
        <v>340</v>
      </c>
      <c r="R339" s="6">
        <f>Q339-P339</f>
        <v/>
      </c>
    </row>
    <row r="340">
      <c r="A340" s="5" t="inlineStr">
        <is>
          <t>3621</t>
        </is>
      </c>
      <c r="B340" s="5" t="inlineStr"/>
      <c r="C340" s="5" t="inlineStr">
        <is>
          <t>1STASSTCATERER#2</t>
        </is>
      </c>
      <c r="D340" s="5" t="inlineStr"/>
      <c r="E340" s="6" t="n">
        <v>16</v>
      </c>
      <c r="F340" s="5" t="n"/>
      <c r="G340" s="5" t="n"/>
      <c r="H340" s="5" t="n"/>
      <c r="I340" s="5" t="n"/>
      <c r="J340" s="7">
        <f>IF(AND(N(F340)&gt;0,N(I340)&gt;0),I340-F340-IF(N(G340)&gt;0,0.5,0)-IF(N(H340)&gt;0,0.5,0),0)</f>
        <v/>
      </c>
      <c r="K340" s="5" t="n"/>
      <c r="L340" s="7">
        <f>MIN(J340,8.0)</f>
        <v/>
      </c>
      <c r="M340" s="7">
        <f>MAX(0,MIN(J340,12)-8.0)</f>
        <v/>
      </c>
      <c r="N340" s="7">
        <f>MAX(0,J340-12)</f>
        <v/>
      </c>
      <c r="O340" s="5" t="n"/>
      <c r="P340" s="6">
        <f>E340*(L340+M340*1.5+N340*2+O340*3+N(K340))</f>
        <v/>
      </c>
      <c r="Q340" s="6" t="n">
        <v>320</v>
      </c>
      <c r="R340" s="6">
        <f>Q340-P340</f>
        <v/>
      </c>
    </row>
    <row r="341">
      <c r="P341" s="2" t="inlineStr">
        <is>
          <t>CATERINGLABOR LABOR</t>
        </is>
      </c>
      <c r="R341" s="8">
        <f>SUM(R338:R340)</f>
        <v/>
      </c>
    </row>
    <row r="343">
      <c r="K343" s="9" t="inlineStr">
        <is>
          <t>TOTAL</t>
        </is>
      </c>
      <c r="P343" s="9" t="inlineStr">
        <is>
          <t>ACTUAL</t>
        </is>
      </c>
      <c r="Q343" s="9" t="inlineStr">
        <is>
          <t>BUDGET</t>
        </is>
      </c>
      <c r="R343" s="9" t="inlineStr">
        <is>
          <t>TOTAL VAR</t>
        </is>
      </c>
    </row>
    <row r="344">
      <c r="P344" s="9" t="inlineStr">
        <is>
          <t>DAY COST</t>
        </is>
      </c>
      <c r="Q344" s="9" t="inlineStr">
        <is>
          <t>DY COST</t>
        </is>
      </c>
      <c r="R344" s="9" t="inlineStr">
        <is>
          <t>(OVER) / UNDER</t>
        </is>
      </c>
    </row>
    <row r="345">
      <c r="P345" s="10">
        <f>SUM(P6:P6)+SUM(P10:P11)+SUM(P15:P17)+SUM(P21:P22)+SUM(P26:P32)+SUM(P36:P36)+SUM(P40:P41)+SUM(P45:P45)+SUM(P49:P49)+SUM(P53:P54)+SUM(P58:P58)+SUM(P62:P62)+SUM(P66:P67)+SUM(P71:P71)+SUM(P75:P75)+SUM(P79:P80)+SUM(P84:P84)+SUM(P88:P88)+SUM(P92:P93)+SUM(P97:P100)+SUM(P104:P104)+SUM(P108:P109)+SUM(P113:P113)+SUM(P117:P117)+SUM(P121:P121)+SUM(P125:P125)+SUM(P129:P130)+SUM(P134:P134)+SUM(P138:P139)+SUM(P143:P145)+SUM(P149:P149)+SUM(P153:P153)+SUM(P157:P158)+SUM(P162:P163)+SUM(P167:P167)+SUM(P171:P173)+SUM(P177:P177)+SUM(P181:P181)+SUM(P185:P187)+SUM(P191:P191)+SUM(P195:P195)+SUM(P199:P199)+SUM(P203:P203)+SUM(P207:P207)+SUM(P211:P211)+SUM(P215:P216)+SUM(P220:P220)+SUM(P224:P224)+SUM(P228:P228)+SUM(P232:P233)+SUM(P237:P237)+SUM(P241:P241)+SUM(P245:P245)+SUM(P249:P249)+SUM(P253:P254)+SUM(P258:P260)+SUM(P264:P264)+SUM(P268:P268)+SUM(P272:P272)+SUM(P276:P276)+SUM(P280:P281)+SUM(P285:P286)+SUM(P290:P290)+SUM(P294:P294)+SUM(P298:P298)+SUM(P302:P302)+SUM(P306:P306)+SUM(P310:P310)+SUM(P314:P315)+SUM(P319:P330)+SUM(P334:P334)+SUM(P338:P340)</f>
        <v/>
      </c>
      <c r="Q345" s="10">
        <f>SUM(Q6:Q6)+SUM(Q10:Q11)+SUM(Q15:Q17)+SUM(Q21:Q22)+SUM(Q26:Q32)+SUM(Q36:Q36)+SUM(Q40:Q41)+SUM(Q45:Q45)+SUM(Q49:Q49)+SUM(Q53:Q54)+SUM(Q58:Q58)+SUM(Q62:Q62)+SUM(Q66:Q67)+SUM(Q71:Q71)+SUM(Q75:Q75)+SUM(Q79:Q80)+SUM(Q84:Q84)+SUM(Q88:Q88)+SUM(Q92:Q93)+SUM(Q97:Q100)+SUM(Q104:Q104)+SUM(Q108:Q109)+SUM(Q113:Q113)+SUM(Q117:Q117)+SUM(Q121:Q121)+SUM(Q125:Q125)+SUM(Q129:Q130)+SUM(Q134:Q134)+SUM(Q138:Q139)+SUM(Q143:Q145)+SUM(Q149:Q149)+SUM(Q153:Q153)+SUM(Q157:Q158)+SUM(Q162:Q163)+SUM(Q167:Q167)+SUM(Q171:Q173)+SUM(Q177:Q177)+SUM(Q181:Q181)+SUM(Q185:Q187)+SUM(Q191:Q191)+SUM(Q195:Q195)+SUM(Q199:Q199)+SUM(Q203:Q203)+SUM(Q207:Q207)+SUM(Q211:Q211)+SUM(Q215:Q216)+SUM(Q220:Q220)+SUM(Q224:Q224)+SUM(Q228:Q228)+SUM(Q232:Q233)+SUM(Q237:Q237)+SUM(Q241:Q241)+SUM(Q245:Q245)+SUM(Q249:Q249)+SUM(Q253:Q254)+SUM(Q258:Q260)+SUM(Q264:Q264)+SUM(Q268:Q268)+SUM(Q272:Q272)+SUM(Q276:Q276)+SUM(Q280:Q281)+SUM(Q285:Q286)+SUM(Q290:Q290)+SUM(Q294:Q294)+SUM(Q298:Q298)+SUM(Q302:Q302)+SUM(Q306:Q306)+SUM(Q310:Q310)+SUM(Q314:Q315)+SUM(Q319:Q330)+SUM(Q334:Q334)+SUM(Q338:Q340)</f>
        <v/>
      </c>
      <c r="R345" s="10">
        <f>SUM(R6:R6)+SUM(R10:R11)+SUM(R15:R17)+SUM(R21:R22)+SUM(R26:R32)+SUM(R36:R36)+SUM(R40:R41)+SUM(R45:R45)+SUM(R49:R49)+SUM(R53:R54)+SUM(R58:R58)+SUM(R62:R62)+SUM(R66:R67)+SUM(R71:R71)+SUM(R75:R75)+SUM(R79:R80)+SUM(R84:R84)+SUM(R88:R88)+SUM(R92:R93)+SUM(R97:R100)+SUM(R104:R104)+SUM(R108:R109)+SUM(R113:R113)+SUM(R117:R117)+SUM(R121:R121)+SUM(R125:R125)+SUM(R129:R130)+SUM(R134:R134)+SUM(R138:R139)+SUM(R143:R145)+SUM(R149:R149)+SUM(R153:R153)+SUM(R157:R158)+SUM(R162:R163)+SUM(R167:R167)+SUM(R171:R173)+SUM(R177:R177)+SUM(R181:R181)+SUM(R185:R187)+SUM(R191:R191)+SUM(R195:R195)+SUM(R199:R199)+SUM(R203:R203)+SUM(R207:R207)+SUM(R211:R211)+SUM(R215:R216)+SUM(R220:R220)+SUM(R224:R224)+SUM(R228:R228)+SUM(R232:R233)+SUM(R237:R237)+SUM(R241:R241)+SUM(R245:R245)+SUM(R249:R249)+SUM(R253:R254)+SUM(R258:R260)+SUM(R264:R264)+SUM(R268:R268)+SUM(R272:R272)+SUM(R276:R276)+SUM(R280:R281)+SUM(R285:R286)+SUM(R290:R290)+SUM(R294:R294)+SUM(R298:R298)+SUM(R302:R302)+SUM(R306:R306)+SUM(R310:R310)+SUM(R314:R315)+SUM(R319:R330)+SUM(R334:R334)+SUM(R338:R340)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R34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20" customWidth="1" min="3" max="3"/>
    <col width="9" customWidth="1" min="4" max="4"/>
    <col width="9" customWidth="1" min="5" max="5"/>
    <col width="7" customWidth="1" min="6" max="6"/>
    <col width="7" customWidth="1" min="7" max="7"/>
    <col width="8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12" customWidth="1" min="16" max="16"/>
    <col width="13" customWidth="1" min="17" max="17"/>
    <col width="14" customWidth="1" min="18" max="18"/>
  </cols>
  <sheetData>
    <row r="1">
      <c r="A1" s="1" t="inlineStr">
        <is>
          <t>HOT COST</t>
        </is>
      </c>
      <c r="C1" t="inlineStr">
        <is>
          <t>Monday 30 Oct 2017</t>
        </is>
      </c>
      <c r="F1" s="2" t="inlineStr">
        <is>
          <t>DAY #11</t>
        </is>
      </c>
    </row>
    <row r="2">
      <c r="A2" s="3" t="inlineStr">
        <is>
          <t>enter CALL, LUNCH, WRAP as decimal hours (e.g. 7.5) — everything right of WRAP computes</t>
        </is>
      </c>
    </row>
    <row r="4">
      <c r="A4" s="4" t="inlineStr">
        <is>
          <t>ACCT</t>
        </is>
      </c>
      <c r="B4" s="4" t="inlineStr">
        <is>
          <t>NAME</t>
        </is>
      </c>
      <c r="C4" s="4" t="inlineStr">
        <is>
          <t>POSITION</t>
        </is>
      </c>
      <c r="D4" s="4" t="inlineStr">
        <is>
          <t>UNION</t>
        </is>
      </c>
      <c r="E4" s="4" t="inlineStr">
        <is>
          <t>RATE</t>
        </is>
      </c>
      <c r="F4" s="4" t="inlineStr">
        <is>
          <t>CALL</t>
        </is>
      </c>
      <c r="G4" s="4" t="inlineStr">
        <is>
          <t>LUNCH</t>
        </is>
      </c>
      <c r="H4" s="4" t="inlineStr">
        <is>
          <t>LUNCH 2</t>
        </is>
      </c>
      <c r="I4" s="4" t="inlineStr">
        <is>
          <t>WRAP</t>
        </is>
      </c>
      <c r="J4" s="4" t="inlineStr">
        <is>
          <t>HRS</t>
        </is>
      </c>
      <c r="K4" s="4" t="inlineStr">
        <is>
          <t>MP'S</t>
        </is>
      </c>
      <c r="L4" s="4" t="inlineStr">
        <is>
          <t>ST</t>
        </is>
      </c>
      <c r="M4" s="4" t="inlineStr">
        <is>
          <t>1.5X</t>
        </is>
      </c>
      <c r="N4" s="4" t="inlineStr">
        <is>
          <t>2X</t>
        </is>
      </c>
      <c r="O4" s="4" t="inlineStr">
        <is>
          <t>3X</t>
        </is>
      </c>
      <c r="P4" s="4" t="inlineStr">
        <is>
          <t>TOTAL / DAY</t>
        </is>
      </c>
      <c r="Q4" s="4" t="inlineStr">
        <is>
          <t>BUDGET / DAY</t>
        </is>
      </c>
      <c r="R4" s="4" t="inlineStr">
        <is>
          <t>(OVER) / UNDER</t>
        </is>
      </c>
    </row>
    <row r="5">
      <c r="B5" s="2" t="inlineStr">
        <is>
          <t>LEAD#</t>
        </is>
      </c>
    </row>
    <row r="6">
      <c r="A6" s="5" t="inlineStr">
        <is>
          <t>1401</t>
        </is>
      </c>
      <c r="B6" s="5" t="inlineStr">
        <is>
          <t>Linda Cardellini</t>
        </is>
      </c>
      <c r="C6" s="5" t="inlineStr">
        <is>
          <t>"ANNA"</t>
        </is>
      </c>
      <c r="D6" s="5" t="inlineStr"/>
      <c r="E6" s="6" t="n">
        <v>1211.8</v>
      </c>
      <c r="F6" s="5" t="n"/>
      <c r="G6" s="5" t="n"/>
      <c r="H6" s="5" t="n"/>
      <c r="I6" s="5" t="n"/>
      <c r="J6" s="7">
        <f>IF(AND(N(F6)&gt;0,N(I6)&gt;0),I6-F6-IF(N(G6)&gt;0,0.5,0)-IF(N(H6)&gt;0,0.5,0),0)</f>
        <v/>
      </c>
      <c r="K6" s="5" t="n"/>
      <c r="L6" s="7">
        <f>MIN(J6,8.0)</f>
        <v/>
      </c>
      <c r="M6" s="7">
        <f>MAX(0,MIN(J6,12)-8.0)</f>
        <v/>
      </c>
      <c r="N6" s="7">
        <f>MAX(0,J6-12)</f>
        <v/>
      </c>
      <c r="O6" s="5" t="n"/>
      <c r="P6" s="6">
        <f>E6*(L6+M6*1.5+N6*2+O6*3+N(K6))</f>
        <v/>
      </c>
      <c r="Q6" s="6" t="n">
        <v>1211.8</v>
      </c>
      <c r="R6" s="6">
        <f>Q6-P6</f>
        <v/>
      </c>
    </row>
    <row r="7">
      <c r="P7" s="2" t="inlineStr">
        <is>
          <t>LEAD# LABOR</t>
        </is>
      </c>
      <c r="R7" s="8">
        <f>SUM(R6:R6)</f>
        <v/>
      </c>
    </row>
    <row r="9">
      <c r="B9" s="2" t="inlineStr">
        <is>
          <t>LEAD#2&amp;#</t>
        </is>
      </c>
    </row>
    <row r="10">
      <c r="A10" s="5" t="inlineStr">
        <is>
          <t>1402</t>
        </is>
      </c>
      <c r="B10" s="5" t="inlineStr">
        <is>
          <t>Roman Christou</t>
        </is>
      </c>
      <c r="C10" s="5" t="inlineStr">
        <is>
          <t>"CHRIS"(Minor)</t>
        </is>
      </c>
      <c r="D10" s="5" t="inlineStr"/>
      <c r="E10" s="6" t="n">
        <v>755.4</v>
      </c>
      <c r="F10" s="5" t="n"/>
      <c r="G10" s="5" t="n"/>
      <c r="H10" s="5" t="n"/>
      <c r="I10" s="5" t="n"/>
      <c r="J10" s="7">
        <f>IF(AND(N(F10)&gt;0,N(I10)&gt;0),I10-F10-IF(N(G10)&gt;0,0.5,0)-IF(N(H10)&gt;0,0.5,0),0)</f>
        <v/>
      </c>
      <c r="K10" s="5" t="n"/>
      <c r="L10" s="7">
        <f>MIN(J10,8.0)</f>
        <v/>
      </c>
      <c r="M10" s="7">
        <f>MAX(0,MIN(J10,12)-8.0)</f>
        <v/>
      </c>
      <c r="N10" s="7">
        <f>MAX(0,J10-12)</f>
        <v/>
      </c>
      <c r="O10" s="5" t="n"/>
      <c r="P10" s="6">
        <f>E10*(L10+M10*1.5+N10*2+O10*3+N(K10))</f>
        <v/>
      </c>
      <c r="Q10" s="6" t="n">
        <v>755.4</v>
      </c>
      <c r="R10" s="6">
        <f>Q10-P10</f>
        <v/>
      </c>
    </row>
    <row r="11">
      <c r="A11" s="5" t="inlineStr">
        <is>
          <t>1402</t>
        </is>
      </c>
      <c r="B11" s="5" t="inlineStr">
        <is>
          <t>Jaynee Lynee Kinchen</t>
        </is>
      </c>
      <c r="C11" s="5" t="inlineStr">
        <is>
          <t>"SAMANTHA"(Minor)</t>
        </is>
      </c>
      <c r="D11" s="5" t="inlineStr"/>
      <c r="E11" s="6" t="n">
        <v>755.4</v>
      </c>
      <c r="F11" s="5" t="n"/>
      <c r="G11" s="5" t="n"/>
      <c r="H11" s="5" t="n"/>
      <c r="I11" s="5" t="n"/>
      <c r="J11" s="7">
        <f>IF(AND(N(F11)&gt;0,N(I11)&gt;0),I11-F11-IF(N(G11)&gt;0,0.5,0)-IF(N(H11)&gt;0,0.5,0),0)</f>
        <v/>
      </c>
      <c r="K11" s="5" t="n"/>
      <c r="L11" s="7">
        <f>MIN(J11,8.0)</f>
        <v/>
      </c>
      <c r="M11" s="7">
        <f>MAX(0,MIN(J11,12)-8.0)</f>
        <v/>
      </c>
      <c r="N11" s="7">
        <f>MAX(0,J11-12)</f>
        <v/>
      </c>
      <c r="O11" s="5" t="n"/>
      <c r="P11" s="6">
        <f>E11*(L11+M11*1.5+N11*2+O11*3+N(K11))</f>
        <v/>
      </c>
      <c r="Q11" s="6" t="n">
        <v>755.4</v>
      </c>
      <c r="R11" s="6">
        <f>Q11-P11</f>
        <v/>
      </c>
    </row>
    <row r="12">
      <c r="P12" s="2" t="inlineStr">
        <is>
          <t>LEAD#2&amp;# LABOR</t>
        </is>
      </c>
      <c r="R12" s="8">
        <f>SUM(R10:R11)</f>
        <v/>
      </c>
    </row>
    <row r="14">
      <c r="B14" s="2" t="inlineStr">
        <is>
          <t>OTHERLEADCAST</t>
        </is>
      </c>
    </row>
    <row r="15">
      <c r="A15" s="5" t="inlineStr">
        <is>
          <t>1403</t>
        </is>
      </c>
      <c r="B15" s="5" t="inlineStr">
        <is>
          <t>Raymond Cruz</t>
        </is>
      </c>
      <c r="C15" s="5" t="inlineStr">
        <is>
          <t>"RAFAELOLVERA"</t>
        </is>
      </c>
      <c r="D15" s="5" t="inlineStr"/>
      <c r="E15" s="6" t="n">
        <v>1211.8</v>
      </c>
      <c r="F15" s="5" t="n"/>
      <c r="G15" s="5" t="n"/>
      <c r="H15" s="5" t="n"/>
      <c r="I15" s="5" t="n"/>
      <c r="J15" s="7">
        <f>IF(AND(N(F15)&gt;0,N(I15)&gt;0),I15-F15-IF(N(G15)&gt;0,0.5,0)-IF(N(H15)&gt;0,0.5,0),0)</f>
        <v/>
      </c>
      <c r="K15" s="5" t="n"/>
      <c r="L15" s="7">
        <f>MIN(J15,8.0)</f>
        <v/>
      </c>
      <c r="M15" s="7">
        <f>MAX(0,MIN(J15,12)-8.0)</f>
        <v/>
      </c>
      <c r="N15" s="7">
        <f>MAX(0,J15-12)</f>
        <v/>
      </c>
      <c r="O15" s="5" t="n"/>
      <c r="P15" s="6">
        <f>E15*(L15+M15*1.5+N15*2+O15*3+N(K15))</f>
        <v/>
      </c>
      <c r="Q15" s="6" t="n">
        <v>1211.8</v>
      </c>
      <c r="R15" s="6">
        <f>Q15-P15</f>
        <v/>
      </c>
    </row>
    <row r="16">
      <c r="A16" s="5" t="inlineStr">
        <is>
          <t>1403</t>
        </is>
      </c>
      <c r="B16" s="5" t="inlineStr">
        <is>
          <t>Marisol Ramirez</t>
        </is>
      </c>
      <c r="C16" s="5" t="inlineStr">
        <is>
          <t>"LALLORONA"</t>
        </is>
      </c>
      <c r="D16" s="5" t="inlineStr"/>
      <c r="E16" s="6" t="n">
        <v>1211.8</v>
      </c>
      <c r="F16" s="5" t="n"/>
      <c r="G16" s="5" t="n"/>
      <c r="H16" s="5" t="n"/>
      <c r="I16" s="5" t="n"/>
      <c r="J16" s="7">
        <f>IF(AND(N(F16)&gt;0,N(I16)&gt;0),I16-F16-IF(N(G16)&gt;0,0.5,0)-IF(N(H16)&gt;0,0.5,0),0)</f>
        <v/>
      </c>
      <c r="K16" s="5" t="n"/>
      <c r="L16" s="7">
        <f>MIN(J16,8.0)</f>
        <v/>
      </c>
      <c r="M16" s="7">
        <f>MAX(0,MIN(J16,12)-8.0)</f>
        <v/>
      </c>
      <c r="N16" s="7">
        <f>MAX(0,J16-12)</f>
        <v/>
      </c>
      <c r="O16" s="5" t="n"/>
      <c r="P16" s="6">
        <f>E16*(L16+M16*1.5+N16*2+O16*3+N(K16))</f>
        <v/>
      </c>
      <c r="Q16" s="6" t="n">
        <v>1211.8</v>
      </c>
      <c r="R16" s="6">
        <f>Q16-P16</f>
        <v/>
      </c>
    </row>
    <row r="17">
      <c r="A17" s="5" t="inlineStr">
        <is>
          <t>1403</t>
        </is>
      </c>
      <c r="B17" s="5" t="inlineStr">
        <is>
          <t>Patrica Velasquez</t>
        </is>
      </c>
      <c r="C17" s="5" t="inlineStr">
        <is>
          <t>"PATRICIA"</t>
        </is>
      </c>
      <c r="D17" s="5" t="inlineStr"/>
      <c r="E17" s="6" t="n">
        <v>1972</v>
      </c>
      <c r="F17" s="5" t="n"/>
      <c r="G17" s="5" t="n"/>
      <c r="H17" s="5" t="n"/>
      <c r="I17" s="5" t="n"/>
      <c r="J17" s="7">
        <f>IF(AND(N(F17)&gt;0,N(I17)&gt;0),I17-F17-IF(N(G17)&gt;0,0.5,0)-IF(N(H17)&gt;0,0.5,0),0)</f>
        <v/>
      </c>
      <c r="K17" s="5" t="n"/>
      <c r="L17" s="7">
        <f>MIN(J17,8.0)</f>
        <v/>
      </c>
      <c r="M17" s="7">
        <f>MAX(0,MIN(J17,12)-8.0)</f>
        <v/>
      </c>
      <c r="N17" s="7">
        <f>MAX(0,J17-12)</f>
        <v/>
      </c>
      <c r="O17" s="5" t="n"/>
      <c r="P17" s="6">
        <f>E17*(L17+M17*1.5+N17*2+O17*3+N(K17))</f>
        <v/>
      </c>
      <c r="Q17" s="6" t="n">
        <v>1972</v>
      </c>
      <c r="R17" s="6">
        <f>Q17-P17</f>
        <v/>
      </c>
    </row>
    <row r="18">
      <c r="P18" s="2" t="inlineStr">
        <is>
          <t>OTHERLEADCAST LABOR</t>
        </is>
      </c>
      <c r="R18" s="8">
        <f>SUM(R15:R17)</f>
        <v/>
      </c>
    </row>
    <row r="20">
      <c r="B20" s="2" t="inlineStr">
        <is>
          <t>SUPPORTINGCAST</t>
        </is>
      </c>
    </row>
    <row r="21">
      <c r="A21" s="5" t="inlineStr">
        <is>
          <t>1404</t>
        </is>
      </c>
      <c r="B21" s="5" t="inlineStr">
        <is>
          <t>Sean Patrick Thomas</t>
        </is>
      </c>
      <c r="C21" s="5" t="inlineStr">
        <is>
          <t>DETCOOPER</t>
        </is>
      </c>
      <c r="D21" s="5" t="inlineStr"/>
      <c r="E21" s="6" t="n">
        <v>1211.8</v>
      </c>
      <c r="F21" s="5" t="n"/>
      <c r="G21" s="5" t="n"/>
      <c r="H21" s="5" t="n"/>
      <c r="I21" s="5" t="n"/>
      <c r="J21" s="7">
        <f>IF(AND(N(F21)&gt;0,N(I21)&gt;0),I21-F21-IF(N(G21)&gt;0,0.5,0)-IF(N(H21)&gt;0,0.5,0),0)</f>
        <v/>
      </c>
      <c r="K21" s="5" t="n"/>
      <c r="L21" s="7">
        <f>MIN(J21,8.0)</f>
        <v/>
      </c>
      <c r="M21" s="7">
        <f>MAX(0,MIN(J21,12)-8.0)</f>
        <v/>
      </c>
      <c r="N21" s="7">
        <f>MAX(0,J21-12)</f>
        <v/>
      </c>
      <c r="O21" s="5" t="n"/>
      <c r="P21" s="6">
        <f>E21*(L21+M21*1.5+N21*2+O21*3+N(K21))</f>
        <v/>
      </c>
      <c r="Q21" s="6" t="n">
        <v>1211.8</v>
      </c>
      <c r="R21" s="6">
        <f>Q21-P21</f>
        <v/>
      </c>
    </row>
    <row r="22">
      <c r="A22" s="5" t="inlineStr">
        <is>
          <t>1404</t>
        </is>
      </c>
      <c r="B22" s="5" t="inlineStr">
        <is>
          <t>Tony Amendola</t>
        </is>
      </c>
      <c r="C22" s="5" t="inlineStr">
        <is>
          <t>"FATHERPEREZ"</t>
        </is>
      </c>
      <c r="D22" s="5" t="inlineStr"/>
      <c r="E22" s="6" t="n">
        <v>1972</v>
      </c>
      <c r="F22" s="5" t="n"/>
      <c r="G22" s="5" t="n"/>
      <c r="H22" s="5" t="n"/>
      <c r="I22" s="5" t="n"/>
      <c r="J22" s="7">
        <f>IF(AND(N(F22)&gt;0,N(I22)&gt;0),I22-F22-IF(N(G22)&gt;0,0.5,0)-IF(N(H22)&gt;0,0.5,0),0)</f>
        <v/>
      </c>
      <c r="K22" s="5" t="n"/>
      <c r="L22" s="7">
        <f>MIN(J22,8.0)</f>
        <v/>
      </c>
      <c r="M22" s="7">
        <f>MAX(0,MIN(J22,12)-8.0)</f>
        <v/>
      </c>
      <c r="N22" s="7">
        <f>MAX(0,J22-12)</f>
        <v/>
      </c>
      <c r="O22" s="5" t="n"/>
      <c r="P22" s="6">
        <f>E22*(L22+M22*1.5+N22*2+O22*3+N(K22))</f>
        <v/>
      </c>
      <c r="Q22" s="6" t="n">
        <v>1972</v>
      </c>
      <c r="R22" s="6">
        <f>Q22-P22</f>
        <v/>
      </c>
    </row>
    <row r="23">
      <c r="P23" s="2" t="inlineStr">
        <is>
          <t>SUPPORTINGCAST LABOR</t>
        </is>
      </c>
      <c r="R23" s="8">
        <f>SUM(R21:R22)</f>
        <v/>
      </c>
    </row>
    <row r="25">
      <c r="B25" s="2" t="inlineStr">
        <is>
          <t>DAYPLAYERS</t>
        </is>
      </c>
    </row>
    <row r="26">
      <c r="A26" s="5" t="inlineStr">
        <is>
          <t>1405</t>
        </is>
      </c>
      <c r="B26" s="5" t="inlineStr">
        <is>
          <t>Kristy Keng(Drop/Pickup)</t>
        </is>
      </c>
      <c r="C26" s="5" t="inlineStr">
        <is>
          <t>"DONNA"</t>
        </is>
      </c>
      <c r="D26" s="5" t="inlineStr"/>
      <c r="E26" s="6" t="n">
        <v>1972</v>
      </c>
      <c r="F26" s="5" t="n"/>
      <c r="G26" s="5" t="n"/>
      <c r="H26" s="5" t="n"/>
      <c r="I26" s="5" t="n"/>
      <c r="J26" s="7">
        <f>IF(AND(N(F26)&gt;0,N(I26)&gt;0),I26-F26-IF(N(G26)&gt;0,0.5,0)-IF(N(H26)&gt;0,0.5,0),0)</f>
        <v/>
      </c>
      <c r="K26" s="5" t="n"/>
      <c r="L26" s="7">
        <f>MIN(J26,8.0)</f>
        <v/>
      </c>
      <c r="M26" s="7">
        <f>MAX(0,MIN(J26,12)-8.0)</f>
        <v/>
      </c>
      <c r="N26" s="7">
        <f>MAX(0,J26-12)</f>
        <v/>
      </c>
      <c r="O26" s="5" t="n"/>
      <c r="P26" s="6">
        <f>E26*(L26+M26*1.5+N26*2+O26*3+N(K26))</f>
        <v/>
      </c>
      <c r="Q26" s="6" t="n">
        <v>1972</v>
      </c>
      <c r="R26" s="6">
        <f>Q26-P26</f>
        <v/>
      </c>
    </row>
    <row r="27">
      <c r="A27" s="5" t="inlineStr">
        <is>
          <t>1405</t>
        </is>
      </c>
      <c r="B27" s="5" t="inlineStr">
        <is>
          <t>Oliver Alexander</t>
        </is>
      </c>
      <c r="C27" s="5" t="inlineStr">
        <is>
          <t>"CARLOS"(Minor)</t>
        </is>
      </c>
      <c r="D27" s="5" t="inlineStr"/>
      <c r="E27" s="6" t="n">
        <v>1249</v>
      </c>
      <c r="F27" s="5" t="n"/>
      <c r="G27" s="5" t="n"/>
      <c r="H27" s="5" t="n"/>
      <c r="I27" s="5" t="n"/>
      <c r="J27" s="7">
        <f>IF(AND(N(F27)&gt;0,N(I27)&gt;0),I27-F27-IF(N(G27)&gt;0,0.5,0)-IF(N(H27)&gt;0,0.5,0),0)</f>
        <v/>
      </c>
      <c r="K27" s="5" t="n"/>
      <c r="L27" s="7">
        <f>MIN(J27,8.0)</f>
        <v/>
      </c>
      <c r="M27" s="7">
        <f>MAX(0,MIN(J27,12)-8.0)</f>
        <v/>
      </c>
      <c r="N27" s="7">
        <f>MAX(0,J27-12)</f>
        <v/>
      </c>
      <c r="O27" s="5" t="n"/>
      <c r="P27" s="6">
        <f>E27*(L27+M27*1.5+N27*2+O27*3+N(K27))</f>
        <v/>
      </c>
      <c r="Q27" s="6" t="n">
        <v>1249</v>
      </c>
      <c r="R27" s="6">
        <f>Q27-P27</f>
        <v/>
      </c>
    </row>
    <row r="28">
      <c r="A28" s="5" t="inlineStr">
        <is>
          <t>1405</t>
        </is>
      </c>
      <c r="B28" s="5" t="inlineStr">
        <is>
          <t>Adam Lewandowski</t>
        </is>
      </c>
      <c r="C28" s="5" t="inlineStr">
        <is>
          <t>"TOMAS"(Minor)</t>
        </is>
      </c>
      <c r="D28" s="5" t="inlineStr"/>
      <c r="E28" s="6" t="n">
        <v>1249</v>
      </c>
      <c r="F28" s="5" t="n"/>
      <c r="G28" s="5" t="n"/>
      <c r="H28" s="5" t="n"/>
      <c r="I28" s="5" t="n"/>
      <c r="J28" s="7">
        <f>IF(AND(N(F28)&gt;0,N(I28)&gt;0),I28-F28-IF(N(G28)&gt;0,0.5,0)-IF(N(H28)&gt;0,0.5,0),0)</f>
        <v/>
      </c>
      <c r="K28" s="5" t="n"/>
      <c r="L28" s="7">
        <f>MIN(J28,8.0)</f>
        <v/>
      </c>
      <c r="M28" s="7">
        <f>MAX(0,MIN(J28,12)-8.0)</f>
        <v/>
      </c>
      <c r="N28" s="7">
        <f>MAX(0,J28-12)</f>
        <v/>
      </c>
      <c r="O28" s="5" t="n"/>
      <c r="P28" s="6">
        <f>E28*(L28+M28*1.5+N28*2+O28*3+N(K28))</f>
        <v/>
      </c>
      <c r="Q28" s="6" t="n">
        <v>1249</v>
      </c>
      <c r="R28" s="6">
        <f>Q28-P28</f>
        <v/>
      </c>
    </row>
    <row r="29">
      <c r="A29" s="5" t="inlineStr">
        <is>
          <t>1405</t>
        </is>
      </c>
      <c r="B29" s="5" t="inlineStr">
        <is>
          <t>Paul Rodriquez Jr.</t>
        </is>
      </c>
      <c r="C29" s="5" t="inlineStr">
        <is>
          <t>"OFFICERCLARO"</t>
        </is>
      </c>
      <c r="D29" s="5" t="inlineStr"/>
      <c r="E29" s="6" t="n">
        <v>1972</v>
      </c>
      <c r="F29" s="5" t="n"/>
      <c r="G29" s="5" t="n"/>
      <c r="H29" s="5" t="n"/>
      <c r="I29" s="5" t="n"/>
      <c r="J29" s="7">
        <f>IF(AND(N(F29)&gt;0,N(I29)&gt;0),I29-F29-IF(N(G29)&gt;0,0.5,0)-IF(N(H29)&gt;0,0.5,0),0)</f>
        <v/>
      </c>
      <c r="K29" s="5" t="n"/>
      <c r="L29" s="7">
        <f>MIN(J29,8.0)</f>
        <v/>
      </c>
      <c r="M29" s="7">
        <f>MAX(0,MIN(J29,12)-8.0)</f>
        <v/>
      </c>
      <c r="N29" s="7">
        <f>MAX(0,J29-12)</f>
        <v/>
      </c>
      <c r="O29" s="5" t="n"/>
      <c r="P29" s="6">
        <f>E29*(L29+M29*1.5+N29*2+O29*3+N(K29))</f>
        <v/>
      </c>
      <c r="Q29" s="6" t="n">
        <v>1972</v>
      </c>
      <c r="R29" s="6">
        <f>Q29-P29</f>
        <v/>
      </c>
    </row>
    <row r="30">
      <c r="A30" s="5" t="inlineStr">
        <is>
          <t>1405</t>
        </is>
      </c>
      <c r="B30" s="5" t="inlineStr">
        <is>
          <t>Sophia Santi</t>
        </is>
      </c>
      <c r="C30" s="5" t="inlineStr">
        <is>
          <t>"FEMALECUSTOMER"</t>
        </is>
      </c>
      <c r="D30" s="5" t="inlineStr"/>
      <c r="E30" s="6" t="n">
        <v>1972</v>
      </c>
      <c r="F30" s="5" t="n"/>
      <c r="G30" s="5" t="n"/>
      <c r="H30" s="5" t="n"/>
      <c r="I30" s="5" t="n"/>
      <c r="J30" s="7">
        <f>IF(AND(N(F30)&gt;0,N(I30)&gt;0),I30-F30-IF(N(G30)&gt;0,0.5,0)-IF(N(H30)&gt;0,0.5,0),0)</f>
        <v/>
      </c>
      <c r="K30" s="5" t="n"/>
      <c r="L30" s="7">
        <f>MIN(J30,8.0)</f>
        <v/>
      </c>
      <c r="M30" s="7">
        <f>MAX(0,MIN(J30,12)-8.0)</f>
        <v/>
      </c>
      <c r="N30" s="7">
        <f>MAX(0,J30-12)</f>
        <v/>
      </c>
      <c r="O30" s="5" t="n"/>
      <c r="P30" s="6">
        <f>E30*(L30+M30*1.5+N30*2+O30*3+N(K30))</f>
        <v/>
      </c>
      <c r="Q30" s="6" t="n">
        <v>1972</v>
      </c>
      <c r="R30" s="6">
        <f>Q30-P30</f>
        <v/>
      </c>
    </row>
    <row r="31">
      <c r="A31" s="5" t="inlineStr">
        <is>
          <t>1405</t>
        </is>
      </c>
      <c r="B31" s="5" t="inlineStr">
        <is>
          <t>John Marshall Jones</t>
        </is>
      </c>
      <c r="C31" s="5" t="inlineStr">
        <is>
          <t>"MRHANKINS"</t>
        </is>
      </c>
      <c r="D31" s="5" t="inlineStr"/>
      <c r="E31" s="6" t="n">
        <v>1972</v>
      </c>
      <c r="F31" s="5" t="n"/>
      <c r="G31" s="5" t="n"/>
      <c r="H31" s="5" t="n"/>
      <c r="I31" s="5" t="n"/>
      <c r="J31" s="7">
        <f>IF(AND(N(F31)&gt;0,N(I31)&gt;0),I31-F31-IF(N(G31)&gt;0,0.5,0)-IF(N(H31)&gt;0,0.5,0),0)</f>
        <v/>
      </c>
      <c r="K31" s="5" t="n"/>
      <c r="L31" s="7">
        <f>MIN(J31,8.0)</f>
        <v/>
      </c>
      <c r="M31" s="7">
        <f>MAX(0,MIN(J31,12)-8.0)</f>
        <v/>
      </c>
      <c r="N31" s="7">
        <f>MAX(0,J31-12)</f>
        <v/>
      </c>
      <c r="O31" s="5" t="n"/>
      <c r="P31" s="6">
        <f>E31*(L31+M31*1.5+N31*2+O31*3+N(K31))</f>
        <v/>
      </c>
      <c r="Q31" s="6" t="n">
        <v>1972</v>
      </c>
      <c r="R31" s="6">
        <f>Q31-P31</f>
        <v/>
      </c>
    </row>
    <row r="32">
      <c r="A32" s="5" t="inlineStr">
        <is>
          <t>1405</t>
        </is>
      </c>
      <c r="B32" s="5" t="inlineStr">
        <is>
          <t>Madeleine Mcgraw</t>
        </is>
      </c>
      <c r="C32" s="5" t="inlineStr">
        <is>
          <t>"APRIL"(Minor)</t>
        </is>
      </c>
      <c r="D32" s="5" t="inlineStr"/>
      <c r="E32" s="6" t="n">
        <v>1249</v>
      </c>
      <c r="F32" s="5" t="n"/>
      <c r="G32" s="5" t="n"/>
      <c r="H32" s="5" t="n"/>
      <c r="I32" s="5" t="n"/>
      <c r="J32" s="7">
        <f>IF(AND(N(F32)&gt;0,N(I32)&gt;0),I32-F32-IF(N(G32)&gt;0,0.5,0)-IF(N(H32)&gt;0,0.5,0),0)</f>
        <v/>
      </c>
      <c r="K32" s="5" t="n"/>
      <c r="L32" s="7">
        <f>MIN(J32,8.0)</f>
        <v/>
      </c>
      <c r="M32" s="7">
        <f>MAX(0,MIN(J32,12)-8.0)</f>
        <v/>
      </c>
      <c r="N32" s="7">
        <f>MAX(0,J32-12)</f>
        <v/>
      </c>
      <c r="O32" s="5" t="n"/>
      <c r="P32" s="6">
        <f>E32*(L32+M32*1.5+N32*2+O32*3+N(K32))</f>
        <v/>
      </c>
      <c r="Q32" s="6" t="n">
        <v>1249</v>
      </c>
      <c r="R32" s="6">
        <f>Q32-P32</f>
        <v/>
      </c>
    </row>
    <row r="33">
      <c r="P33" s="2" t="inlineStr">
        <is>
          <t>DAYPLAYERS LABOR</t>
        </is>
      </c>
      <c r="R33" s="8">
        <f>SUM(R26:R32)</f>
        <v/>
      </c>
    </row>
    <row r="35">
      <c r="B35" s="2" t="inlineStr">
        <is>
          <t>STUNTCOORD</t>
        </is>
      </c>
    </row>
    <row r="36">
      <c r="A36" s="5" t="inlineStr">
        <is>
          <t>1406</t>
        </is>
      </c>
      <c r="B36" s="5" t="inlineStr">
        <is>
          <t>Rob King</t>
        </is>
      </c>
      <c r="C36" s="5" t="inlineStr">
        <is>
          <t>STUNTCOORDINATOR</t>
        </is>
      </c>
      <c r="D36" s="5" t="inlineStr"/>
      <c r="E36" s="6" t="n">
        <v>1173</v>
      </c>
      <c r="F36" s="5" t="n"/>
      <c r="G36" s="5" t="n"/>
      <c r="H36" s="5" t="n"/>
      <c r="I36" s="5" t="n"/>
      <c r="J36" s="7">
        <f>IF(AND(N(F36)&gt;0,N(I36)&gt;0),I36-F36-IF(N(G36)&gt;0,0.5,0)-IF(N(H36)&gt;0,0.5,0),0)</f>
        <v/>
      </c>
      <c r="K36" s="5" t="n"/>
      <c r="L36" s="7">
        <f>MIN(J36,8.0)</f>
        <v/>
      </c>
      <c r="M36" s="7">
        <f>MAX(0,MIN(J36,12)-8.0)</f>
        <v/>
      </c>
      <c r="N36" s="7">
        <f>MAX(0,J36-12)</f>
        <v/>
      </c>
      <c r="O36" s="5" t="n"/>
      <c r="P36" s="6">
        <f>E36*(L36+M36*1.5+N36*2+O36*3+N(K36))</f>
        <v/>
      </c>
      <c r="Q36" s="6" t="n">
        <v>1173</v>
      </c>
      <c r="R36" s="6">
        <f>Q36-P36</f>
        <v/>
      </c>
    </row>
    <row r="37">
      <c r="P37" s="2" t="inlineStr">
        <is>
          <t>STUNTCOORD LABOR</t>
        </is>
      </c>
      <c r="R37" s="8">
        <f>SUM(R36:R36)</f>
        <v/>
      </c>
    </row>
    <row r="39">
      <c r="B39" s="2" t="inlineStr">
        <is>
          <t>TEACHER/WELFAREWORKER</t>
        </is>
      </c>
    </row>
    <row r="40">
      <c r="A40" s="5" t="inlineStr">
        <is>
          <t>1412</t>
        </is>
      </c>
      <c r="B40" s="5" t="inlineStr"/>
      <c r="C40" s="5" t="inlineStr">
        <is>
          <t>WELFAREWORKER</t>
        </is>
      </c>
      <c r="D40" s="5" t="inlineStr">
        <is>
          <t>Local884</t>
        </is>
      </c>
      <c r="E40" s="6" t="n">
        <v>25.5</v>
      </c>
      <c r="F40" s="5" t="n"/>
      <c r="G40" s="5" t="n"/>
      <c r="H40" s="5" t="n"/>
      <c r="I40" s="5" t="n"/>
      <c r="J40" s="7">
        <f>IF(AND(N(F40)&gt;0,N(I40)&gt;0),I40-F40-IF(N(G40)&gt;0,0.5,0)-IF(N(H40)&gt;0,0.5,0),0)</f>
        <v/>
      </c>
      <c r="K40" s="5" t="n"/>
      <c r="L40" s="7">
        <f>MIN(J40,8.0)</f>
        <v/>
      </c>
      <c r="M40" s="7">
        <f>MAX(0,MIN(J40,12)-8.0)</f>
        <v/>
      </c>
      <c r="N40" s="7">
        <f>MAX(0,J40-12)</f>
        <v/>
      </c>
      <c r="O40" s="5" t="n"/>
      <c r="P40" s="6">
        <f>E40*(L40+M40*1.5+N40*2+O40*3+N(K40))</f>
        <v/>
      </c>
      <c r="Q40" s="6" t="n">
        <v>280.5</v>
      </c>
      <c r="R40" s="6">
        <f>Q40-P40</f>
        <v/>
      </c>
    </row>
    <row r="41">
      <c r="A41" s="5" t="inlineStr">
        <is>
          <t>1412</t>
        </is>
      </c>
      <c r="B41" s="5" t="inlineStr"/>
      <c r="C41" s="5" t="inlineStr">
        <is>
          <t>ADDLWELFAREWORKER</t>
        </is>
      </c>
      <c r="D41" s="5" t="inlineStr">
        <is>
          <t>Local884</t>
        </is>
      </c>
      <c r="E41" s="6" t="n">
        <v>25.5</v>
      </c>
      <c r="F41" s="5" t="n"/>
      <c r="G41" s="5" t="n"/>
      <c r="H41" s="5" t="n"/>
      <c r="I41" s="5" t="n"/>
      <c r="J41" s="7">
        <f>IF(AND(N(F41)&gt;0,N(I41)&gt;0),I41-F41-IF(N(G41)&gt;0,0.5,0)-IF(N(H41)&gt;0,0.5,0),0)</f>
        <v/>
      </c>
      <c r="K41" s="5" t="n"/>
      <c r="L41" s="7">
        <f>MIN(J41,8.0)</f>
        <v/>
      </c>
      <c r="M41" s="7">
        <f>MAX(0,MIN(J41,12)-8.0)</f>
        <v/>
      </c>
      <c r="N41" s="7">
        <f>MAX(0,J41-12)</f>
        <v/>
      </c>
      <c r="O41" s="5" t="n"/>
      <c r="P41" s="6">
        <f>E41*(L41+M41*1.5+N41*2+O41*3+N(K41))</f>
        <v/>
      </c>
      <c r="Q41" s="6" t="n">
        <v>280.5</v>
      </c>
      <c r="R41" s="6">
        <f>Q41-P41</f>
        <v/>
      </c>
    </row>
    <row r="42">
      <c r="P42" s="2" t="inlineStr">
        <is>
          <t>TEACHER/WELFAREWORKER LABOR</t>
        </is>
      </c>
      <c r="R42" s="8">
        <f>SUM(R40:R41)</f>
        <v/>
      </c>
    </row>
    <row r="44">
      <c r="B44" s="2" t="inlineStr">
        <is>
          <t>CASTINGDIRECTORS</t>
        </is>
      </c>
    </row>
    <row r="45">
      <c r="A45" s="5" t="inlineStr">
        <is>
          <t>1413</t>
        </is>
      </c>
      <c r="B45" s="5" t="inlineStr">
        <is>
          <t>Rich Delia</t>
        </is>
      </c>
      <c r="C45" s="5" t="inlineStr">
        <is>
          <t>CASTINGDIRECTOR</t>
        </is>
      </c>
      <c r="D45" s="5" t="inlineStr"/>
      <c r="E45" s="6" t="n">
        <v>600</v>
      </c>
      <c r="F45" s="5" t="n"/>
      <c r="G45" s="5" t="n"/>
      <c r="H45" s="5" t="n"/>
      <c r="I45" s="5" t="n"/>
      <c r="J45" s="7">
        <f>IF(AND(N(F45)&gt;0,N(I45)&gt;0),I45-F45-IF(N(G45)&gt;0,0.5,0)-IF(N(H45)&gt;0,0.5,0),0)</f>
        <v/>
      </c>
      <c r="K45" s="5" t="n"/>
      <c r="L45" s="7">
        <f>MIN(J45,8.0)</f>
        <v/>
      </c>
      <c r="M45" s="7">
        <f>MAX(0,MIN(J45,12)-8.0)</f>
        <v/>
      </c>
      <c r="N45" s="7">
        <f>MAX(0,J45-12)</f>
        <v/>
      </c>
      <c r="O45" s="5" t="n"/>
      <c r="P45" s="6">
        <f>E45*(L45+M45*1.5+N45*2+O45*3+N(K45))</f>
        <v/>
      </c>
      <c r="Q45" s="5" t="n"/>
      <c r="R45" s="6">
        <f>Q45-P45</f>
        <v/>
      </c>
    </row>
    <row r="46">
      <c r="P46" s="2" t="inlineStr">
        <is>
          <t>CASTINGDIRECTORS LABOR</t>
        </is>
      </c>
      <c r="R46" s="8">
        <f>SUM(R45:R45)</f>
        <v/>
      </c>
    </row>
    <row r="48">
      <c r="B48" s="2" t="inlineStr">
        <is>
          <t>CASTINGASSOCIATES/ASSISTANTS</t>
        </is>
      </c>
    </row>
    <row r="49">
      <c r="A49" s="5" t="inlineStr">
        <is>
          <t>1414</t>
        </is>
      </c>
      <c r="B49" s="5" t="inlineStr">
        <is>
          <t>Adam Richards</t>
        </is>
      </c>
      <c r="C49" s="5" t="inlineStr">
        <is>
          <t>CASTINGASSOCIATE</t>
        </is>
      </c>
      <c r="D49" s="5" t="inlineStr"/>
      <c r="E49" s="6" t="n">
        <v>200</v>
      </c>
      <c r="F49" s="5" t="n"/>
      <c r="G49" s="5" t="n"/>
      <c r="H49" s="5" t="n"/>
      <c r="I49" s="5" t="n"/>
      <c r="J49" s="7">
        <f>IF(AND(N(F49)&gt;0,N(I49)&gt;0),I49-F49-IF(N(G49)&gt;0,0.5,0)-IF(N(H49)&gt;0,0.5,0),0)</f>
        <v/>
      </c>
      <c r="K49" s="5" t="n"/>
      <c r="L49" s="7">
        <f>MIN(J49,8.0)</f>
        <v/>
      </c>
      <c r="M49" s="7">
        <f>MAX(0,MIN(J49,12)-8.0)</f>
        <v/>
      </c>
      <c r="N49" s="7">
        <f>MAX(0,J49-12)</f>
        <v/>
      </c>
      <c r="O49" s="5" t="n"/>
      <c r="P49" s="6">
        <f>E49*(L49+M49*1.5+N49*2+O49*3+N(K49))</f>
        <v/>
      </c>
      <c r="Q49" s="5" t="n"/>
      <c r="R49" s="6">
        <f>Q49-P49</f>
        <v/>
      </c>
    </row>
    <row r="50">
      <c r="P50" s="2" t="inlineStr">
        <is>
          <t>CASTINGASSOCIATES/ASSISTANTS LABOR</t>
        </is>
      </c>
      <c r="R50" s="8">
        <f>SUM(R49:R49)</f>
        <v/>
      </c>
    </row>
    <row r="52">
      <c r="B52" s="2" t="inlineStr">
        <is>
          <t>CASTDRIVERS/VEHICLES</t>
        </is>
      </c>
    </row>
    <row r="53">
      <c r="A53" s="5" t="inlineStr">
        <is>
          <t>1455</t>
        </is>
      </c>
      <c r="B53" s="5" t="inlineStr"/>
      <c r="C53" s="5" t="inlineStr">
        <is>
          <t>CAST 3-RMDRIVER</t>
        </is>
      </c>
      <c r="D53" s="5" t="inlineStr">
        <is>
          <t>Local399</t>
        </is>
      </c>
      <c r="E53" s="6" t="n">
        <v>32.36</v>
      </c>
      <c r="F53" s="5" t="n"/>
      <c r="G53" s="5" t="n"/>
      <c r="H53" s="5" t="n"/>
      <c r="I53" s="5" t="n"/>
      <c r="J53" s="7">
        <f>IF(AND(N(F53)&gt;0,N(I53)&gt;0),I53-F53-IF(N(G53)&gt;0,0.5,0)-IF(N(H53)&gt;0,0.5,0),0)</f>
        <v/>
      </c>
      <c r="K53" s="5" t="n"/>
      <c r="L53" s="7">
        <f>MIN(J53,8.0)</f>
        <v/>
      </c>
      <c r="M53" s="7">
        <f>MAX(0,MIN(J53,12)-8.0)</f>
        <v/>
      </c>
      <c r="N53" s="7">
        <f>MAX(0,J53-12)</f>
        <v/>
      </c>
      <c r="O53" s="5" t="n"/>
      <c r="P53" s="6">
        <f>E53*(L53+M53*1.5+N53*2+O53*3+N(K53))</f>
        <v/>
      </c>
      <c r="Q53" s="6" t="n">
        <v>501.58</v>
      </c>
      <c r="R53" s="6">
        <f>Q53-P53</f>
        <v/>
      </c>
    </row>
    <row r="54">
      <c r="A54" s="5" t="inlineStr">
        <is>
          <t>1455</t>
        </is>
      </c>
      <c r="B54" s="5" t="inlineStr"/>
      <c r="C54" s="5" t="inlineStr">
        <is>
          <t>CASTMINIVANDRIVER</t>
        </is>
      </c>
      <c r="D54" s="5" t="inlineStr">
        <is>
          <t>Local399</t>
        </is>
      </c>
      <c r="E54" s="6" t="n">
        <v>32.36</v>
      </c>
      <c r="F54" s="5" t="n"/>
      <c r="G54" s="5" t="n"/>
      <c r="H54" s="5" t="n"/>
      <c r="I54" s="5" t="n"/>
      <c r="J54" s="7">
        <f>IF(AND(N(F54)&gt;0,N(I54)&gt;0),I54-F54-IF(N(G54)&gt;0,0.5,0)-IF(N(H54)&gt;0,0.5,0),0)</f>
        <v/>
      </c>
      <c r="K54" s="5" t="n"/>
      <c r="L54" s="7">
        <f>MIN(J54,8.0)</f>
        <v/>
      </c>
      <c r="M54" s="7">
        <f>MAX(0,MIN(J54,12)-8.0)</f>
        <v/>
      </c>
      <c r="N54" s="7">
        <f>MAX(0,J54-12)</f>
        <v/>
      </c>
      <c r="O54" s="5" t="n"/>
      <c r="P54" s="6">
        <f>E54*(L54+M54*1.5+N54*2+O54*3+N(K54))</f>
        <v/>
      </c>
      <c r="Q54" s="6" t="n">
        <v>501.58</v>
      </c>
      <c r="R54" s="6">
        <f>Q54-P54</f>
        <v/>
      </c>
    </row>
    <row r="55">
      <c r="P55" s="2" t="inlineStr">
        <is>
          <t>CASTDRIVERS/VEHICLES LABOR</t>
        </is>
      </c>
      <c r="R55" s="8">
        <f>SUM(R53:R54)</f>
        <v/>
      </c>
    </row>
    <row r="57">
      <c r="B57" s="2" t="inlineStr">
        <is>
          <t>PRODUCTIONMANAGER</t>
        </is>
      </c>
    </row>
    <row r="58">
      <c r="A58" s="5" t="inlineStr">
        <is>
          <t>2001</t>
        </is>
      </c>
      <c r="B58" s="5" t="inlineStr">
        <is>
          <t>Carrie Morrow</t>
        </is>
      </c>
      <c r="C58" s="5" t="inlineStr">
        <is>
          <t>UPM</t>
        </is>
      </c>
      <c r="D58" s="5" t="inlineStr">
        <is>
          <t>DGA</t>
        </is>
      </c>
      <c r="E58" s="6" t="n">
        <v>1063.6</v>
      </c>
      <c r="F58" s="5" t="n"/>
      <c r="G58" s="5" t="n"/>
      <c r="H58" s="5" t="n"/>
      <c r="I58" s="5" t="n"/>
      <c r="J58" s="7">
        <f>IF(AND(N(F58)&gt;0,N(I58)&gt;0),I58-F58-IF(N(G58)&gt;0,0.5,0)-IF(N(H58)&gt;0,0.5,0),0)</f>
        <v/>
      </c>
      <c r="K58" s="5" t="n"/>
      <c r="L58" s="7">
        <f>MIN(J58,8.0)</f>
        <v/>
      </c>
      <c r="M58" s="7">
        <f>MAX(0,MIN(J58,12)-8.0)</f>
        <v/>
      </c>
      <c r="N58" s="7">
        <f>MAX(0,J58-12)</f>
        <v/>
      </c>
      <c r="O58" s="5" t="n"/>
      <c r="P58" s="6">
        <f>E58*(L58+M58*1.5+N58*2+O58*3+N(K58))</f>
        <v/>
      </c>
      <c r="Q58" s="6" t="n">
        <v>1063.6</v>
      </c>
      <c r="R58" s="6">
        <f>Q58-P58</f>
        <v/>
      </c>
    </row>
    <row r="59">
      <c r="P59" s="2" t="inlineStr">
        <is>
          <t>PRODUCTIONMANAGER LABOR</t>
        </is>
      </c>
      <c r="R59" s="8">
        <f>SUM(R58:R58)</f>
        <v/>
      </c>
    </row>
    <row r="61">
      <c r="B61" s="2" t="inlineStr">
        <is>
          <t>1STASSTDIRECTOR</t>
        </is>
      </c>
    </row>
    <row r="62">
      <c r="A62" s="5" t="inlineStr">
        <is>
          <t>2002</t>
        </is>
      </c>
      <c r="B62" s="5" t="inlineStr">
        <is>
          <t>James Moran</t>
        </is>
      </c>
      <c r="C62" s="5" t="inlineStr">
        <is>
          <t>1STASSTDIRECTOR</t>
        </is>
      </c>
      <c r="D62" s="5" t="inlineStr">
        <is>
          <t>DGA</t>
        </is>
      </c>
      <c r="E62" s="6" t="n">
        <v>985.6</v>
      </c>
      <c r="F62" s="5" t="n"/>
      <c r="G62" s="5" t="n"/>
      <c r="H62" s="5" t="n"/>
      <c r="I62" s="5" t="n"/>
      <c r="J62" s="7">
        <f>IF(AND(N(F62)&gt;0,N(I62)&gt;0),I62-F62-IF(N(G62)&gt;0,0.5,0)-IF(N(H62)&gt;0,0.5,0),0)</f>
        <v/>
      </c>
      <c r="K62" s="5" t="n"/>
      <c r="L62" s="7">
        <f>MIN(J62,8.0)</f>
        <v/>
      </c>
      <c r="M62" s="7">
        <f>MAX(0,MIN(J62,12)-8.0)</f>
        <v/>
      </c>
      <c r="N62" s="7">
        <f>MAX(0,J62-12)</f>
        <v/>
      </c>
      <c r="O62" s="5" t="n"/>
      <c r="P62" s="6">
        <f>E62*(L62+M62*1.5+N62*2+O62*3+N(K62))</f>
        <v/>
      </c>
      <c r="Q62" s="6" t="n">
        <v>985.6</v>
      </c>
      <c r="R62" s="6">
        <f>Q62-P62</f>
        <v/>
      </c>
    </row>
    <row r="63">
      <c r="P63" s="2" t="inlineStr">
        <is>
          <t>1STASSTDIRECTOR LABOR</t>
        </is>
      </c>
      <c r="R63" s="8">
        <f>SUM(R62:R62)</f>
        <v/>
      </c>
    </row>
    <row r="65">
      <c r="B65" s="2" t="inlineStr">
        <is>
          <t>2NDASSTDIRECTORS</t>
        </is>
      </c>
    </row>
    <row r="66">
      <c r="A66" s="5" t="inlineStr">
        <is>
          <t>2003</t>
        </is>
      </c>
      <c r="B66" s="5" t="inlineStr">
        <is>
          <t>Mark Newland</t>
        </is>
      </c>
      <c r="C66" s="5" t="inlineStr">
        <is>
          <t>KEY 2NDA. D.</t>
        </is>
      </c>
      <c r="D66" s="5" t="inlineStr">
        <is>
          <t>DGA</t>
        </is>
      </c>
      <c r="E66" s="6" t="n">
        <v>674.6</v>
      </c>
      <c r="F66" s="5" t="n"/>
      <c r="G66" s="5" t="n"/>
      <c r="H66" s="5" t="n"/>
      <c r="I66" s="5" t="n"/>
      <c r="J66" s="7">
        <f>IF(AND(N(F66)&gt;0,N(I66)&gt;0),I66-F66-IF(N(G66)&gt;0,0.5,0)-IF(N(H66)&gt;0,0.5,0),0)</f>
        <v/>
      </c>
      <c r="K66" s="5" t="n"/>
      <c r="L66" s="7">
        <f>MIN(J66,8.0)</f>
        <v/>
      </c>
      <c r="M66" s="7">
        <f>MAX(0,MIN(J66,12)-8.0)</f>
        <v/>
      </c>
      <c r="N66" s="7">
        <f>MAX(0,J66-12)</f>
        <v/>
      </c>
      <c r="O66" s="5" t="n"/>
      <c r="P66" s="6">
        <f>E66*(L66+M66*1.5+N66*2+O66*3+N(K66))</f>
        <v/>
      </c>
      <c r="Q66" s="6" t="n">
        <v>674.6</v>
      </c>
      <c r="R66" s="6">
        <f>Q66-P66</f>
        <v/>
      </c>
    </row>
    <row r="67">
      <c r="A67" s="5" t="inlineStr">
        <is>
          <t>2003</t>
        </is>
      </c>
      <c r="B67" s="5" t="inlineStr"/>
      <c r="C67" s="5" t="inlineStr">
        <is>
          <t>2ND 2NDA. D.</t>
        </is>
      </c>
      <c r="D67" s="5" t="inlineStr">
        <is>
          <t>DGA</t>
        </is>
      </c>
      <c r="E67" s="6" t="n">
        <v>526</v>
      </c>
      <c r="F67" s="5" t="n"/>
      <c r="G67" s="5" t="n"/>
      <c r="H67" s="5" t="n"/>
      <c r="I67" s="5" t="n"/>
      <c r="J67" s="7">
        <f>IF(AND(N(F67)&gt;0,N(I67)&gt;0),I67-F67-IF(N(G67)&gt;0,0.5,0)-IF(N(H67)&gt;0,0.5,0),0)</f>
        <v/>
      </c>
      <c r="K67" s="5" t="n"/>
      <c r="L67" s="7">
        <f>MIN(J67,8.0)</f>
        <v/>
      </c>
      <c r="M67" s="7">
        <f>MAX(0,MIN(J67,12)-8.0)</f>
        <v/>
      </c>
      <c r="N67" s="7">
        <f>MAX(0,J67-12)</f>
        <v/>
      </c>
      <c r="O67" s="5" t="n"/>
      <c r="P67" s="6">
        <f>E67*(L67+M67*1.5+N67*2+O67*3+N(K67))</f>
        <v/>
      </c>
      <c r="Q67" s="6" t="n">
        <v>526</v>
      </c>
      <c r="R67" s="6">
        <f>Q67-P67</f>
        <v/>
      </c>
    </row>
    <row r="68">
      <c r="P68" s="2" t="inlineStr">
        <is>
          <t>2NDASSTDIRECTORS LABOR</t>
        </is>
      </c>
      <c r="R68" s="8">
        <f>SUM(R66:R67)</f>
        <v/>
      </c>
    </row>
    <row r="70">
      <c r="B70" s="2" t="inlineStr">
        <is>
          <t>SCRIPTSUPERVISOR</t>
        </is>
      </c>
    </row>
    <row r="71">
      <c r="A71" s="5" t="inlineStr">
        <is>
          <t>2005</t>
        </is>
      </c>
      <c r="B71" s="5" t="inlineStr">
        <is>
          <t>Renata Amador</t>
        </is>
      </c>
      <c r="C71" s="5" t="inlineStr">
        <is>
          <t>SCRIPTSUPERVISOR</t>
        </is>
      </c>
      <c r="D71" s="5" t="inlineStr">
        <is>
          <t>Local871</t>
        </is>
      </c>
      <c r="E71" s="6" t="n">
        <v>25.5</v>
      </c>
      <c r="F71" s="5" t="n"/>
      <c r="G71" s="5" t="n"/>
      <c r="H71" s="5" t="n"/>
      <c r="I71" s="5" t="n"/>
      <c r="J71" s="7">
        <f>IF(AND(N(F71)&gt;0,N(I71)&gt;0),I71-F71-IF(N(G71)&gt;0,0.5,0)-IF(N(H71)&gt;0,0.5,0),0)</f>
        <v/>
      </c>
      <c r="K71" s="5" t="n"/>
      <c r="L71" s="7">
        <f>MIN(J71,10.0)</f>
        <v/>
      </c>
      <c r="M71" s="7">
        <f>MAX(0,MIN(J71,12)-10.0)</f>
        <v/>
      </c>
      <c r="N71" s="7">
        <f>MAX(0,J71-12)</f>
        <v/>
      </c>
      <c r="O71" s="5" t="n"/>
      <c r="P71" s="6">
        <f>E71*(L71+M71*1.5+N71*2+O71*3+N(K71))</f>
        <v/>
      </c>
      <c r="Q71" s="6" t="n">
        <v>439.87</v>
      </c>
      <c r="R71" s="6">
        <f>Q71-P71</f>
        <v/>
      </c>
    </row>
    <row r="72">
      <c r="P72" s="2" t="inlineStr">
        <is>
          <t>SCRIPTSUPERVISOR LABOR</t>
        </is>
      </c>
      <c r="R72" s="8">
        <f>SUM(R71:R71)</f>
        <v/>
      </c>
    </row>
    <row r="74">
      <c r="B74" s="2" t="inlineStr">
        <is>
          <t>LOCATIONMANAGERS</t>
        </is>
      </c>
    </row>
    <row r="75">
      <c r="A75" s="5" t="inlineStr">
        <is>
          <t>2007</t>
        </is>
      </c>
      <c r="B75" s="5" t="inlineStr">
        <is>
          <t>Stacey Brashear-Rodriquez</t>
        </is>
      </c>
      <c r="C75" s="5" t="inlineStr">
        <is>
          <t>LOCATIONMANAGER</t>
        </is>
      </c>
      <c r="D75" s="5" t="inlineStr">
        <is>
          <t>Local399</t>
        </is>
      </c>
      <c r="E75" s="6" t="n">
        <v>557.6</v>
      </c>
      <c r="F75" s="5" t="n"/>
      <c r="G75" s="5" t="n"/>
      <c r="H75" s="5" t="n"/>
      <c r="I75" s="5" t="n"/>
      <c r="J75" s="7">
        <f>IF(AND(N(F75)&gt;0,N(I75)&gt;0),I75-F75-IF(N(G75)&gt;0,0.5,0)-IF(N(H75)&gt;0,0.5,0),0)</f>
        <v/>
      </c>
      <c r="K75" s="5" t="n"/>
      <c r="L75" s="7">
        <f>MIN(J75,8.0)</f>
        <v/>
      </c>
      <c r="M75" s="7">
        <f>MAX(0,MIN(J75,12)-8.0)</f>
        <v/>
      </c>
      <c r="N75" s="7">
        <f>MAX(0,J75-12)</f>
        <v/>
      </c>
      <c r="O75" s="5" t="n"/>
      <c r="P75" s="6">
        <f>E75*(L75+M75*1.5+N75*2+O75*3+N(K75))</f>
        <v/>
      </c>
      <c r="Q75" s="6" t="n">
        <v>557.6</v>
      </c>
      <c r="R75" s="6">
        <f>Q75-P75</f>
        <v/>
      </c>
    </row>
    <row r="76">
      <c r="P76" s="2" t="inlineStr">
        <is>
          <t>LOCATIONMANAGERS LABOR</t>
        </is>
      </c>
      <c r="R76" s="8">
        <f>SUM(R75:R75)</f>
        <v/>
      </c>
    </row>
    <row r="78">
      <c r="B78" s="2" t="inlineStr">
        <is>
          <t>ASSISTANTLOCATIONMANAGERS</t>
        </is>
      </c>
    </row>
    <row r="79">
      <c r="A79" s="5" t="inlineStr">
        <is>
          <t>2008</t>
        </is>
      </c>
      <c r="B79" s="5" t="inlineStr">
        <is>
          <t>Rich Heichel</t>
        </is>
      </c>
      <c r="C79" s="5" t="inlineStr">
        <is>
          <t>KEYASSTLOCATIONMGR#1</t>
        </is>
      </c>
      <c r="D79" s="5" t="inlineStr">
        <is>
          <t>Local399</t>
        </is>
      </c>
      <c r="E79" s="6" t="n">
        <v>334.2</v>
      </c>
      <c r="F79" s="5" t="n"/>
      <c r="G79" s="5" t="n"/>
      <c r="H79" s="5" t="n"/>
      <c r="I79" s="5" t="n"/>
      <c r="J79" s="7">
        <f>IF(AND(N(F79)&gt;0,N(I79)&gt;0),I79-F79-IF(N(G79)&gt;0,0.5,0)-IF(N(H79)&gt;0,0.5,0),0)</f>
        <v/>
      </c>
      <c r="K79" s="5" t="n"/>
      <c r="L79" s="7">
        <f>MIN(J79,8.0)</f>
        <v/>
      </c>
      <c r="M79" s="7">
        <f>MAX(0,MIN(J79,12)-8.0)</f>
        <v/>
      </c>
      <c r="N79" s="7">
        <f>MAX(0,J79-12)</f>
        <v/>
      </c>
      <c r="O79" s="5" t="n"/>
      <c r="P79" s="6">
        <f>E79*(L79+M79*1.5+N79*2+O79*3+N(K79))</f>
        <v/>
      </c>
      <c r="Q79" s="6" t="n">
        <v>334.2</v>
      </c>
      <c r="R79" s="6">
        <f>Q79-P79</f>
        <v/>
      </c>
    </row>
    <row r="80">
      <c r="A80" s="5" t="inlineStr">
        <is>
          <t>2008</t>
        </is>
      </c>
      <c r="B80" s="5" t="inlineStr">
        <is>
          <t>Jason Mc Cauley</t>
        </is>
      </c>
      <c r="C80" s="5" t="inlineStr">
        <is>
          <t>LOCATIONASST</t>
        </is>
      </c>
      <c r="D80" s="5" t="inlineStr">
        <is>
          <t>Local399</t>
        </is>
      </c>
      <c r="E80" s="6" t="n">
        <v>229</v>
      </c>
      <c r="F80" s="5" t="n"/>
      <c r="G80" s="5" t="n"/>
      <c r="H80" s="5" t="n"/>
      <c r="I80" s="5" t="n"/>
      <c r="J80" s="7">
        <f>IF(AND(N(F80)&gt;0,N(I80)&gt;0),I80-F80-IF(N(G80)&gt;0,0.5,0)-IF(N(H80)&gt;0,0.5,0),0)</f>
        <v/>
      </c>
      <c r="K80" s="5" t="n"/>
      <c r="L80" s="7">
        <f>MIN(J80,8.0)</f>
        <v/>
      </c>
      <c r="M80" s="7">
        <f>MAX(0,MIN(J80,12)-8.0)</f>
        <v/>
      </c>
      <c r="N80" s="7">
        <f>MAX(0,J80-12)</f>
        <v/>
      </c>
      <c r="O80" s="5" t="n"/>
      <c r="P80" s="6">
        <f>E80*(L80+M80*1.5+N80*2+O80*3+N(K80))</f>
        <v/>
      </c>
      <c r="Q80" s="6" t="n">
        <v>229</v>
      </c>
      <c r="R80" s="6">
        <f>Q80-P80</f>
        <v/>
      </c>
    </row>
    <row r="81">
      <c r="P81" s="2" t="inlineStr">
        <is>
          <t>ASSISTANTLOCATIONMANAGERS LABOR</t>
        </is>
      </c>
      <c r="R81" s="8">
        <f>SUM(R79:R80)</f>
        <v/>
      </c>
    </row>
    <row r="83">
      <c r="B83" s="2" t="inlineStr">
        <is>
          <t>PRODUCTIONCOORDINATOR</t>
        </is>
      </c>
    </row>
    <row r="84">
      <c r="A84" s="5" t="inlineStr">
        <is>
          <t>2009</t>
        </is>
      </c>
      <c r="B84" s="5" t="inlineStr">
        <is>
          <t>Ali Griffith</t>
        </is>
      </c>
      <c r="C84" s="5" t="inlineStr">
        <is>
          <t>PRODUCTIONOFCCOORD</t>
        </is>
      </c>
      <c r="D84" s="5" t="inlineStr"/>
      <c r="E84" s="6" t="n">
        <v>360</v>
      </c>
      <c r="F84" s="5" t="n"/>
      <c r="G84" s="5" t="n"/>
      <c r="H84" s="5" t="n"/>
      <c r="I84" s="5" t="n"/>
      <c r="J84" s="7">
        <f>IF(AND(N(F84)&gt;0,N(I84)&gt;0),I84-F84-IF(N(G84)&gt;0,0.5,0)-IF(N(H84)&gt;0,0.5,0),0)</f>
        <v/>
      </c>
      <c r="K84" s="5" t="n"/>
      <c r="L84" s="7">
        <f>MIN(J84,8.0)</f>
        <v/>
      </c>
      <c r="M84" s="7">
        <f>MAX(0,MIN(J84,12)-8.0)</f>
        <v/>
      </c>
      <c r="N84" s="7">
        <f>MAX(0,J84-12)</f>
        <v/>
      </c>
      <c r="O84" s="5" t="n"/>
      <c r="P84" s="6">
        <f>E84*(L84+M84*1.5+N84*2+O84*3+N(K84))</f>
        <v/>
      </c>
      <c r="Q84" s="6" t="n">
        <v>360</v>
      </c>
      <c r="R84" s="6">
        <f>Q84-P84</f>
        <v/>
      </c>
    </row>
    <row r="85">
      <c r="P85" s="2" t="inlineStr">
        <is>
          <t>PRODUCTIONCOORDINATOR LABOR</t>
        </is>
      </c>
      <c r="R85" s="8">
        <f>SUM(R84:R84)</f>
        <v/>
      </c>
    </row>
    <row r="87">
      <c r="B87" s="2" t="inlineStr">
        <is>
          <t>ASSTPRODUCTIONCOORDINATOR</t>
        </is>
      </c>
    </row>
    <row r="88">
      <c r="A88" s="5" t="inlineStr">
        <is>
          <t>2010</t>
        </is>
      </c>
      <c r="B88" s="5" t="inlineStr">
        <is>
          <t>Holly Dellocono</t>
        </is>
      </c>
      <c r="C88" s="5" t="inlineStr">
        <is>
          <t>APOC</t>
        </is>
      </c>
      <c r="D88" s="5" t="inlineStr">
        <is>
          <t>Local871</t>
        </is>
      </c>
      <c r="E88" s="6" t="n">
        <v>20.57</v>
      </c>
      <c r="F88" s="5" t="n"/>
      <c r="G88" s="5" t="n"/>
      <c r="H88" s="5" t="n"/>
      <c r="I88" s="5" t="n"/>
      <c r="J88" s="7">
        <f>IF(AND(N(F88)&gt;0,N(I88)&gt;0),I88-F88-IF(N(G88)&gt;0,0.5,0)-IF(N(H88)&gt;0,0.5,0),0)</f>
        <v/>
      </c>
      <c r="K88" s="5" t="n"/>
      <c r="L88" s="7">
        <f>MIN(J88,10.0)</f>
        <v/>
      </c>
      <c r="M88" s="7">
        <f>MAX(0,MIN(J88,12)-10.0)</f>
        <v/>
      </c>
      <c r="N88" s="7">
        <f>MAX(0,J88-12)</f>
        <v/>
      </c>
      <c r="O88" s="5" t="n"/>
      <c r="P88" s="6">
        <f>E88*(L88+M88*1.5+N88*2+O88*3+N(K88))</f>
        <v/>
      </c>
      <c r="Q88" s="6" t="n">
        <v>287.98</v>
      </c>
      <c r="R88" s="6">
        <f>Q88-P88</f>
        <v/>
      </c>
    </row>
    <row r="89">
      <c r="P89" s="2" t="inlineStr">
        <is>
          <t>ASSTPRODUCTIONCOORDINATOR LABOR</t>
        </is>
      </c>
      <c r="R89" s="8">
        <f>SUM(R88:R88)</f>
        <v/>
      </c>
    </row>
    <row r="91">
      <c r="B91" s="2" t="inlineStr">
        <is>
          <t>OFFICESTAFFASSISTANTS</t>
        </is>
      </c>
    </row>
    <row r="92">
      <c r="A92" s="5" t="inlineStr">
        <is>
          <t>2011</t>
        </is>
      </c>
      <c r="B92" s="5" t="inlineStr">
        <is>
          <t>John Humber</t>
        </is>
      </c>
      <c r="C92" s="5" t="inlineStr">
        <is>
          <t>OFFICEPA#1</t>
        </is>
      </c>
      <c r="D92" s="5" t="inlineStr"/>
      <c r="E92" s="6" t="n">
        <v>22.5</v>
      </c>
      <c r="F92" s="5" t="n"/>
      <c r="G92" s="5" t="n"/>
      <c r="H92" s="5" t="n"/>
      <c r="I92" s="5" t="n"/>
      <c r="J92" s="7">
        <f>IF(AND(N(F92)&gt;0,N(I92)&gt;0),I92-F92-IF(N(G92)&gt;0,0.5,0)-IF(N(H92)&gt;0,0.5,0),0)</f>
        <v/>
      </c>
      <c r="K92" s="5" t="n"/>
      <c r="L92" s="7">
        <f>MIN(J92,8.0)</f>
        <v/>
      </c>
      <c r="M92" s="7">
        <f>MAX(0,MIN(J92,12)-8.0)</f>
        <v/>
      </c>
      <c r="N92" s="7">
        <f>MAX(0,J92-12)</f>
        <v/>
      </c>
      <c r="O92" s="5" t="n"/>
      <c r="P92" s="6">
        <f>E92*(L92+M92*1.5+N92*2+O92*3+N(K92))</f>
        <v/>
      </c>
      <c r="Q92" s="6" t="n">
        <v>168</v>
      </c>
      <c r="R92" s="6">
        <f>Q92-P92</f>
        <v/>
      </c>
    </row>
    <row r="93">
      <c r="A93" s="5" t="inlineStr">
        <is>
          <t>2011</t>
        </is>
      </c>
      <c r="B93" s="5" t="inlineStr">
        <is>
          <t>Sarah Semenas</t>
        </is>
      </c>
      <c r="C93" s="5" t="inlineStr">
        <is>
          <t>OFFICEPA#2</t>
        </is>
      </c>
      <c r="D93" s="5" t="inlineStr"/>
      <c r="E93" s="6" t="n">
        <v>22.5</v>
      </c>
      <c r="F93" s="5" t="n"/>
      <c r="G93" s="5" t="n"/>
      <c r="H93" s="5" t="n"/>
      <c r="I93" s="5" t="n"/>
      <c r="J93" s="7">
        <f>IF(AND(N(F93)&gt;0,N(I93)&gt;0),I93-F93-IF(N(G93)&gt;0,0.5,0)-IF(N(H93)&gt;0,0.5,0),0)</f>
        <v/>
      </c>
      <c r="K93" s="5" t="n"/>
      <c r="L93" s="7">
        <f>MIN(J93,8.0)</f>
        <v/>
      </c>
      <c r="M93" s="7">
        <f>MAX(0,MIN(J93,12)-8.0)</f>
        <v/>
      </c>
      <c r="N93" s="7">
        <f>MAX(0,J93-12)</f>
        <v/>
      </c>
      <c r="O93" s="5" t="n"/>
      <c r="P93" s="6">
        <f>E93*(L93+M93*1.5+N93*2+O93*3+N(K93))</f>
        <v/>
      </c>
      <c r="Q93" s="6" t="n">
        <v>168</v>
      </c>
      <c r="R93" s="6">
        <f>Q93-P93</f>
        <v/>
      </c>
    </row>
    <row r="94">
      <c r="P94" s="2" t="inlineStr">
        <is>
          <t>OFFICESTAFFASSISTANTS LABOR</t>
        </is>
      </c>
      <c r="R94" s="8">
        <f>SUM(R92:R93)</f>
        <v/>
      </c>
    </row>
    <row r="96">
      <c r="B96" s="2" t="inlineStr">
        <is>
          <t>SETSTAFFASSISTANTS</t>
        </is>
      </c>
    </row>
    <row r="97">
      <c r="A97" s="5" t="inlineStr">
        <is>
          <t>2012</t>
        </is>
      </c>
      <c r="B97" s="5" t="inlineStr">
        <is>
          <t>Paula Henry</t>
        </is>
      </c>
      <c r="C97" s="5" t="inlineStr">
        <is>
          <t>KEYSETPA</t>
        </is>
      </c>
      <c r="D97" s="5" t="inlineStr"/>
      <c r="E97" s="6" t="n">
        <v>12</v>
      </c>
      <c r="F97" s="5" t="n"/>
      <c r="G97" s="5" t="n"/>
      <c r="H97" s="5" t="n"/>
      <c r="I97" s="5" t="n"/>
      <c r="J97" s="7">
        <f>IF(AND(N(F97)&gt;0,N(I97)&gt;0),I97-F97-IF(N(G97)&gt;0,0.5,0)-IF(N(H97)&gt;0,0.5,0),0)</f>
        <v/>
      </c>
      <c r="K97" s="5" t="n"/>
      <c r="L97" s="7">
        <f>MIN(J97,8.0)</f>
        <v/>
      </c>
      <c r="M97" s="7">
        <f>MAX(0,MIN(J97,12)-8.0)</f>
        <v/>
      </c>
      <c r="N97" s="7">
        <f>MAX(0,J97-12)</f>
        <v/>
      </c>
      <c r="O97" s="5" t="n"/>
      <c r="P97" s="6">
        <f>E97*(L97+M97*1.5+N97*2+O97*3+N(K97))</f>
        <v/>
      </c>
      <c r="Q97" s="6" t="n">
        <v>216</v>
      </c>
      <c r="R97" s="6">
        <f>Q97-P97</f>
        <v/>
      </c>
    </row>
    <row r="98">
      <c r="A98" s="5" t="inlineStr">
        <is>
          <t>2012</t>
        </is>
      </c>
      <c r="B98" s="5" t="inlineStr"/>
      <c r="C98" s="5" t="inlineStr">
        <is>
          <t>SETPA#2</t>
        </is>
      </c>
      <c r="D98" s="5" t="inlineStr"/>
      <c r="E98" s="6" t="n">
        <v>12</v>
      </c>
      <c r="F98" s="5" t="n"/>
      <c r="G98" s="5" t="n"/>
      <c r="H98" s="5" t="n"/>
      <c r="I98" s="5" t="n"/>
      <c r="J98" s="7">
        <f>IF(AND(N(F98)&gt;0,N(I98)&gt;0),I98-F98-IF(N(G98)&gt;0,0.5,0)-IF(N(H98)&gt;0,0.5,0),0)</f>
        <v/>
      </c>
      <c r="K98" s="5" t="n"/>
      <c r="L98" s="7">
        <f>MIN(J98,8.0)</f>
        <v/>
      </c>
      <c r="M98" s="7">
        <f>MAX(0,MIN(J98,12)-8.0)</f>
        <v/>
      </c>
      <c r="N98" s="7">
        <f>MAX(0,J98-12)</f>
        <v/>
      </c>
      <c r="O98" s="5" t="n"/>
      <c r="P98" s="6">
        <f>E98*(L98+M98*1.5+N98*2+O98*3+N(K98))</f>
        <v/>
      </c>
      <c r="Q98" s="6" t="n">
        <v>216</v>
      </c>
      <c r="R98" s="6">
        <f>Q98-P98</f>
        <v/>
      </c>
    </row>
    <row r="99">
      <c r="A99" s="5" t="inlineStr">
        <is>
          <t>2012</t>
        </is>
      </c>
      <c r="B99" s="5" t="inlineStr"/>
      <c r="C99" s="5" t="inlineStr">
        <is>
          <t>SETPA#3</t>
        </is>
      </c>
      <c r="D99" s="5" t="inlineStr"/>
      <c r="E99" s="6" t="n">
        <v>12</v>
      </c>
      <c r="F99" s="5" t="n"/>
      <c r="G99" s="5" t="n"/>
      <c r="H99" s="5" t="n"/>
      <c r="I99" s="5" t="n"/>
      <c r="J99" s="7">
        <f>IF(AND(N(F99)&gt;0,N(I99)&gt;0),I99-F99-IF(N(G99)&gt;0,0.5,0)-IF(N(H99)&gt;0,0.5,0),0)</f>
        <v/>
      </c>
      <c r="K99" s="5" t="n"/>
      <c r="L99" s="7">
        <f>MIN(J99,8.0)</f>
        <v/>
      </c>
      <c r="M99" s="7">
        <f>MAX(0,MIN(J99,12)-8.0)</f>
        <v/>
      </c>
      <c r="N99" s="7">
        <f>MAX(0,J99-12)</f>
        <v/>
      </c>
      <c r="O99" s="5" t="n"/>
      <c r="P99" s="6">
        <f>E99*(L99+M99*1.5+N99*2+O99*3+N(K99))</f>
        <v/>
      </c>
      <c r="Q99" s="6" t="n">
        <v>216</v>
      </c>
      <c r="R99" s="6">
        <f>Q99-P99</f>
        <v/>
      </c>
    </row>
    <row r="100">
      <c r="A100" s="5" t="inlineStr">
        <is>
          <t>2012</t>
        </is>
      </c>
      <c r="B100" s="5" t="inlineStr"/>
      <c r="C100" s="5" t="inlineStr">
        <is>
          <t>SETPA#4</t>
        </is>
      </c>
      <c r="D100" s="5" t="inlineStr"/>
      <c r="E100" s="6" t="n">
        <v>12</v>
      </c>
      <c r="F100" s="5" t="n"/>
      <c r="G100" s="5" t="n"/>
      <c r="H100" s="5" t="n"/>
      <c r="I100" s="5" t="n"/>
      <c r="J100" s="7">
        <f>IF(AND(N(F100)&gt;0,N(I100)&gt;0),I100-F100-IF(N(G100)&gt;0,0.5,0)-IF(N(H100)&gt;0,0.5,0),0)</f>
        <v/>
      </c>
      <c r="K100" s="5" t="n"/>
      <c r="L100" s="7">
        <f>MIN(J100,8.0)</f>
        <v/>
      </c>
      <c r="M100" s="7">
        <f>MAX(0,MIN(J100,12)-8.0)</f>
        <v/>
      </c>
      <c r="N100" s="7">
        <f>MAX(0,J100-12)</f>
        <v/>
      </c>
      <c r="O100" s="5" t="n"/>
      <c r="P100" s="6">
        <f>E100*(L100+M100*1.5+N100*2+O100*3+N(K100))</f>
        <v/>
      </c>
      <c r="Q100" s="6" t="n">
        <v>216</v>
      </c>
      <c r="R100" s="6">
        <f>Q100-P100</f>
        <v/>
      </c>
    </row>
    <row r="101">
      <c r="P101" s="2" t="inlineStr">
        <is>
          <t>SETSTAFFASSISTANTS LABOR</t>
        </is>
      </c>
      <c r="R101" s="8">
        <f>SUM(R97:R100)</f>
        <v/>
      </c>
    </row>
    <row r="103">
      <c r="B103" s="2" t="inlineStr">
        <is>
          <t>PRODUCTIONACCOUNTANT</t>
        </is>
      </c>
    </row>
    <row r="104">
      <c r="A104" s="5" t="inlineStr">
        <is>
          <t>2013</t>
        </is>
      </c>
      <c r="B104" s="5" t="inlineStr">
        <is>
          <t>Joel Tokarsky</t>
        </is>
      </c>
      <c r="C104" s="5" t="inlineStr">
        <is>
          <t>PRODUCTIONACCOUNTANT</t>
        </is>
      </c>
      <c r="D104" s="5" t="inlineStr">
        <is>
          <t>Local871</t>
        </is>
      </c>
      <c r="E104" s="6" t="n">
        <v>740</v>
      </c>
      <c r="F104" s="5" t="n"/>
      <c r="G104" s="5" t="n"/>
      <c r="H104" s="5" t="n"/>
      <c r="I104" s="5" t="n"/>
      <c r="J104" s="7">
        <f>IF(AND(N(F104)&gt;0,N(I104)&gt;0),I104-F104-IF(N(G104)&gt;0,0.5,0)-IF(N(H104)&gt;0,0.5,0),0)</f>
        <v/>
      </c>
      <c r="K104" s="5" t="n"/>
      <c r="L104" s="7">
        <f>MIN(J104,10.0)</f>
        <v/>
      </c>
      <c r="M104" s="7">
        <f>MAX(0,MIN(J104,12)-10.0)</f>
        <v/>
      </c>
      <c r="N104" s="7">
        <f>MAX(0,J104-12)</f>
        <v/>
      </c>
      <c r="O104" s="5" t="n"/>
      <c r="P104" s="6">
        <f>E104*(L104+M104*1.5+N104*2+O104*3+N(K104))</f>
        <v/>
      </c>
      <c r="Q104" s="6" t="n">
        <v>740</v>
      </c>
      <c r="R104" s="6">
        <f>Q104-P104</f>
        <v/>
      </c>
    </row>
    <row r="105">
      <c r="P105" s="2" t="inlineStr">
        <is>
          <t>PRODUCTIONACCOUNTANT LABOR</t>
        </is>
      </c>
      <c r="R105" s="8">
        <f>SUM(R104:R104)</f>
        <v/>
      </c>
    </row>
    <row r="107">
      <c r="B107" s="2" t="inlineStr">
        <is>
          <t>ASSTPRODUCTIONACCOUNTANTS</t>
        </is>
      </c>
    </row>
    <row r="108">
      <c r="A108" s="5" t="inlineStr">
        <is>
          <t>2014</t>
        </is>
      </c>
      <c r="B108" s="5" t="inlineStr">
        <is>
          <t>Co-Co Aiello</t>
        </is>
      </c>
      <c r="C108" s="5" t="inlineStr">
        <is>
          <t>1STASSTACCT</t>
        </is>
      </c>
      <c r="D108" s="5" t="inlineStr">
        <is>
          <t>Local871</t>
        </is>
      </c>
      <c r="E108" s="6" t="n">
        <v>480</v>
      </c>
      <c r="F108" s="5" t="n"/>
      <c r="G108" s="5" t="n"/>
      <c r="H108" s="5" t="n"/>
      <c r="I108" s="5" t="n"/>
      <c r="J108" s="7">
        <f>IF(AND(N(F108)&gt;0,N(I108)&gt;0),I108-F108-IF(N(G108)&gt;0,0.5,0)-IF(N(H108)&gt;0,0.5,0),0)</f>
        <v/>
      </c>
      <c r="K108" s="5" t="n"/>
      <c r="L108" s="7">
        <f>MIN(J108,10.0)</f>
        <v/>
      </c>
      <c r="M108" s="7">
        <f>MAX(0,MIN(J108,12)-10.0)</f>
        <v/>
      </c>
      <c r="N108" s="7">
        <f>MAX(0,J108-12)</f>
        <v/>
      </c>
      <c r="O108" s="5" t="n"/>
      <c r="P108" s="6">
        <f>E108*(L108+M108*1.5+N108*2+O108*3+N(K108))</f>
        <v/>
      </c>
      <c r="Q108" s="6" t="n">
        <v>480</v>
      </c>
      <c r="R108" s="6">
        <f>Q108-P108</f>
        <v/>
      </c>
    </row>
    <row r="109">
      <c r="A109" s="5" t="inlineStr">
        <is>
          <t>2014</t>
        </is>
      </c>
      <c r="B109" s="5" t="inlineStr">
        <is>
          <t>Steve Goldstein</t>
        </is>
      </c>
      <c r="C109" s="5" t="inlineStr">
        <is>
          <t>PAYROLLACCT</t>
        </is>
      </c>
      <c r="D109" s="5" t="inlineStr">
        <is>
          <t>Local871</t>
        </is>
      </c>
      <c r="E109" s="6" t="n">
        <v>420</v>
      </c>
      <c r="F109" s="5" t="n"/>
      <c r="G109" s="5" t="n"/>
      <c r="H109" s="5" t="n"/>
      <c r="I109" s="5" t="n"/>
      <c r="J109" s="7">
        <f>IF(AND(N(F109)&gt;0,N(I109)&gt;0),I109-F109-IF(N(G109)&gt;0,0.5,0)-IF(N(H109)&gt;0,0.5,0),0)</f>
        <v/>
      </c>
      <c r="K109" s="5" t="n"/>
      <c r="L109" s="7">
        <f>MIN(J109,10.0)</f>
        <v/>
      </c>
      <c r="M109" s="7">
        <f>MAX(0,MIN(J109,12)-10.0)</f>
        <v/>
      </c>
      <c r="N109" s="7">
        <f>MAX(0,J109-12)</f>
        <v/>
      </c>
      <c r="O109" s="5" t="n"/>
      <c r="P109" s="6">
        <f>E109*(L109+M109*1.5+N109*2+O109*3+N(K109))</f>
        <v/>
      </c>
      <c r="Q109" s="6" t="n">
        <v>420</v>
      </c>
      <c r="R109" s="6">
        <f>Q109-P109</f>
        <v/>
      </c>
    </row>
    <row r="110">
      <c r="P110" s="2" t="inlineStr">
        <is>
          <t>ASSTPRODUCTIONACCOUNTANTS LABOR</t>
        </is>
      </c>
      <c r="R110" s="8">
        <f>SUM(R108:R109)</f>
        <v/>
      </c>
    </row>
    <row r="112">
      <c r="B112" s="2" t="inlineStr">
        <is>
          <t>CONSTRUCTIONCOORDINATOR</t>
        </is>
      </c>
    </row>
    <row r="113">
      <c r="A113" s="5" t="inlineStr">
        <is>
          <t>2302</t>
        </is>
      </c>
      <c r="B113" s="5" t="inlineStr">
        <is>
          <t>Drew Rebelin</t>
        </is>
      </c>
      <c r="C113" s="5" t="inlineStr">
        <is>
          <t>CONSTCOORDINATOR</t>
        </is>
      </c>
      <c r="D113" s="5" t="inlineStr">
        <is>
          <t>Local44</t>
        </is>
      </c>
      <c r="E113" s="6" t="n">
        <v>400</v>
      </c>
      <c r="F113" s="5" t="n"/>
      <c r="G113" s="5" t="n"/>
      <c r="H113" s="5" t="n"/>
      <c r="I113" s="5" t="n"/>
      <c r="J113" s="7">
        <f>IF(AND(N(F113)&gt;0,N(I113)&gt;0),I113-F113-IF(N(G113)&gt;0,0.5,0)-IF(N(H113)&gt;0,0.5,0),0)</f>
        <v/>
      </c>
      <c r="K113" s="5" t="n"/>
      <c r="L113" s="7">
        <f>MIN(J113,10.0)</f>
        <v/>
      </c>
      <c r="M113" s="7">
        <f>MAX(0,MIN(J113,12)-10.0)</f>
        <v/>
      </c>
      <c r="N113" s="7">
        <f>MAX(0,J113-12)</f>
        <v/>
      </c>
      <c r="O113" s="5" t="n"/>
      <c r="P113" s="6">
        <f>E113*(L113+M113*1.5+N113*2+O113*3+N(K113))</f>
        <v/>
      </c>
      <c r="Q113" s="5" t="n"/>
      <c r="R113" s="6">
        <f>Q113-P113</f>
        <v/>
      </c>
    </row>
    <row r="114">
      <c r="P114" s="2" t="inlineStr">
        <is>
          <t>CONSTRUCTIONCOORDINATOR LABOR</t>
        </is>
      </c>
      <c r="R114" s="8">
        <f>SUM(R113:R113)</f>
        <v/>
      </c>
    </row>
    <row r="116">
      <c r="B116" s="2" t="inlineStr">
        <is>
          <t>PAINTFOREMAN</t>
        </is>
      </c>
    </row>
    <row r="117">
      <c r="A117" s="5" t="inlineStr">
        <is>
          <t>2304</t>
        </is>
      </c>
      <c r="B117" s="5" t="inlineStr">
        <is>
          <t>Kristeen Reimnitz</t>
        </is>
      </c>
      <c r="C117" s="5" t="inlineStr">
        <is>
          <t>PAINTER</t>
        </is>
      </c>
      <c r="D117" s="5" t="inlineStr">
        <is>
          <t>Local729</t>
        </is>
      </c>
      <c r="E117" s="6" t="n">
        <v>23.04</v>
      </c>
      <c r="F117" s="5" t="n"/>
      <c r="G117" s="5" t="n"/>
      <c r="H117" s="5" t="n"/>
      <c r="I117" s="5" t="n"/>
      <c r="J117" s="7">
        <f>IF(AND(N(F117)&gt;0,N(I117)&gt;0),I117-F117-IF(N(G117)&gt;0,0.5,0)-IF(N(H117)&gt;0,0.5,0),0)</f>
        <v/>
      </c>
      <c r="K117" s="5" t="n"/>
      <c r="L117" s="7">
        <f>MIN(J117,10.0)</f>
        <v/>
      </c>
      <c r="M117" s="7">
        <f>MAX(0,MIN(J117,12)-10.0)</f>
        <v/>
      </c>
      <c r="N117" s="7">
        <f>MAX(0,J117-12)</f>
        <v/>
      </c>
      <c r="O117" s="5" t="n"/>
      <c r="P117" s="6">
        <f>E117*(L117+M117*1.5+N117*2+O117*3+N(K117))</f>
        <v/>
      </c>
      <c r="Q117" s="5" t="n"/>
      <c r="R117" s="6">
        <f>Q117-P117</f>
        <v/>
      </c>
    </row>
    <row r="118">
      <c r="P118" s="2" t="inlineStr">
        <is>
          <t>PAINTFOREMAN LABOR</t>
        </is>
      </c>
      <c r="R118" s="8">
        <f>SUM(R117:R117)</f>
        <v/>
      </c>
    </row>
    <row r="120">
      <c r="B120" s="2" t="inlineStr">
        <is>
          <t>FIRSTAIDLABOR</t>
        </is>
      </c>
    </row>
    <row r="121">
      <c r="A121" s="5" t="inlineStr">
        <is>
          <t>2310</t>
        </is>
      </c>
      <c r="B121" s="5" t="inlineStr"/>
      <c r="C121" s="5" t="inlineStr">
        <is>
          <t>CONSTRUCTIONMEDIC</t>
        </is>
      </c>
      <c r="D121" s="5" t="inlineStr">
        <is>
          <t>Local80</t>
        </is>
      </c>
      <c r="E121" s="6" t="n">
        <v>23.04</v>
      </c>
      <c r="F121" s="5" t="n"/>
      <c r="G121" s="5" t="n"/>
      <c r="H121" s="5" t="n"/>
      <c r="I121" s="5" t="n"/>
      <c r="J121" s="7">
        <f>IF(AND(N(F121)&gt;0,N(I121)&gt;0),I121-F121-IF(N(G121)&gt;0,0.5,0)-IF(N(H121)&gt;0,0.5,0),0)</f>
        <v/>
      </c>
      <c r="K121" s="5" t="n"/>
      <c r="L121" s="7">
        <f>MIN(J121,10.0)</f>
        <v/>
      </c>
      <c r="M121" s="7">
        <f>MAX(0,MIN(J121,12)-10.0)</f>
        <v/>
      </c>
      <c r="N121" s="7">
        <f>MAX(0,J121-12)</f>
        <v/>
      </c>
      <c r="O121" s="5" t="n"/>
      <c r="P121" s="6">
        <f>E121*(L121+M121*1.5+N121*2+O121*3+N(K121))</f>
        <v/>
      </c>
      <c r="Q121" s="5" t="n"/>
      <c r="R121" s="6">
        <f>Q121-P121</f>
        <v/>
      </c>
    </row>
    <row r="122">
      <c r="P122" s="2" t="inlineStr">
        <is>
          <t>FIRSTAIDLABOR LABOR</t>
        </is>
      </c>
      <c r="R122" s="8">
        <f>SUM(R121:R121)</f>
        <v/>
      </c>
    </row>
    <row r="124">
      <c r="B124" s="2" t="inlineStr">
        <is>
          <t>KEYGRIP</t>
        </is>
      </c>
    </row>
    <row r="125">
      <c r="A125" s="5" t="inlineStr">
        <is>
          <t>2501</t>
        </is>
      </c>
      <c r="B125" s="5" t="inlineStr">
        <is>
          <t>Pat O'Mara</t>
        </is>
      </c>
      <c r="C125" s="5" t="inlineStr">
        <is>
          <t>KEYGRIP</t>
        </is>
      </c>
      <c r="D125" s="5" t="inlineStr">
        <is>
          <t>Local80</t>
        </is>
      </c>
      <c r="E125" s="6" t="n">
        <v>25.5</v>
      </c>
      <c r="F125" s="5" t="n"/>
      <c r="G125" s="5" t="n"/>
      <c r="H125" s="5" t="n"/>
      <c r="I125" s="5" t="n"/>
      <c r="J125" s="7">
        <f>IF(AND(N(F125)&gt;0,N(I125)&gt;0),I125-F125-IF(N(G125)&gt;0,0.5,0)-IF(N(H125)&gt;0,0.5,0),0)</f>
        <v/>
      </c>
      <c r="K125" s="5" t="n"/>
      <c r="L125" s="7">
        <f>MIN(J125,10.0)</f>
        <v/>
      </c>
      <c r="M125" s="7">
        <f>MAX(0,MIN(J125,12)-10.0)</f>
        <v/>
      </c>
      <c r="N125" s="7">
        <f>MAX(0,J125-12)</f>
        <v/>
      </c>
      <c r="O125" s="5" t="n"/>
      <c r="P125" s="6">
        <f>E125*(L125+M125*1.5+N125*2+O125*3+N(K125))</f>
        <v/>
      </c>
      <c r="Q125" s="6" t="n">
        <v>395.25</v>
      </c>
      <c r="R125" s="6">
        <f>Q125-P125</f>
        <v/>
      </c>
    </row>
    <row r="126">
      <c r="P126" s="2" t="inlineStr">
        <is>
          <t>KEYGRIP LABOR</t>
        </is>
      </c>
      <c r="R126" s="8">
        <f>SUM(R125:R125)</f>
        <v/>
      </c>
    </row>
    <row r="128">
      <c r="B128" s="2" t="inlineStr">
        <is>
          <t>BESTBOYGRIP</t>
        </is>
      </c>
    </row>
    <row r="129">
      <c r="A129" s="5" t="inlineStr">
        <is>
          <t>2502</t>
        </is>
      </c>
      <c r="B129" s="5" t="inlineStr">
        <is>
          <t>Aaron Fairley</t>
        </is>
      </c>
      <c r="C129" s="5" t="inlineStr">
        <is>
          <t>BESTBOYGRIP</t>
        </is>
      </c>
      <c r="D129" s="5" t="inlineStr">
        <is>
          <t>Local80</t>
        </is>
      </c>
      <c r="E129" s="6" t="n">
        <v>23.04</v>
      </c>
      <c r="F129" s="5" t="n"/>
      <c r="G129" s="5" t="n"/>
      <c r="H129" s="5" t="n"/>
      <c r="I129" s="5" t="n"/>
      <c r="J129" s="7">
        <f>IF(AND(N(F129)&gt;0,N(I129)&gt;0),I129-F129-IF(N(G129)&gt;0,0.5,0)-IF(N(H129)&gt;0,0.5,0),0)</f>
        <v/>
      </c>
      <c r="K129" s="5" t="n"/>
      <c r="L129" s="7">
        <f>MIN(J129,10.0)</f>
        <v/>
      </c>
      <c r="M129" s="7">
        <f>MAX(0,MIN(J129,12)-10.0)</f>
        <v/>
      </c>
      <c r="N129" s="7">
        <f>MAX(0,J129-12)</f>
        <v/>
      </c>
      <c r="O129" s="5" t="n"/>
      <c r="P129" s="6">
        <f>E129*(L129+M129*1.5+N129*2+O129*3+N(K129))</f>
        <v/>
      </c>
      <c r="Q129" s="6" t="n">
        <v>357.12</v>
      </c>
      <c r="R129" s="6">
        <f>Q129-P129</f>
        <v/>
      </c>
    </row>
    <row r="130">
      <c r="A130" s="5" t="inlineStr">
        <is>
          <t>2502</t>
        </is>
      </c>
      <c r="B130" s="5" t="inlineStr"/>
      <c r="C130" s="5" t="inlineStr">
        <is>
          <t>STUDIOBESTBOYGRIP</t>
        </is>
      </c>
      <c r="D130" s="5" t="inlineStr">
        <is>
          <t>Local80</t>
        </is>
      </c>
      <c r="E130" s="6" t="n">
        <v>43.05</v>
      </c>
      <c r="F130" s="5" t="n"/>
      <c r="G130" s="5" t="n"/>
      <c r="H130" s="5" t="n"/>
      <c r="I130" s="5" t="n"/>
      <c r="J130" s="7">
        <f>IF(AND(N(F130)&gt;0,N(I130)&gt;0),I130-F130-IF(N(G130)&gt;0,0.5,0)-IF(N(H130)&gt;0,0.5,0),0)</f>
        <v/>
      </c>
      <c r="K130" s="5" t="n"/>
      <c r="L130" s="7">
        <f>MIN(J130,10.0)</f>
        <v/>
      </c>
      <c r="M130" s="7">
        <f>MAX(0,MIN(J130,12)-10.0)</f>
        <v/>
      </c>
      <c r="N130" s="7">
        <f>MAX(0,J130-12)</f>
        <v/>
      </c>
      <c r="O130" s="5" t="n"/>
      <c r="P130" s="6">
        <f>E130*(L130+M130*1.5+N130*2+O130*3+N(K130))</f>
        <v/>
      </c>
      <c r="Q130" s="6" t="n">
        <v>667.27</v>
      </c>
      <c r="R130" s="6">
        <f>Q130-P130</f>
        <v/>
      </c>
    </row>
    <row r="131">
      <c r="P131" s="2" t="inlineStr">
        <is>
          <t>BESTBOYGRIP LABOR</t>
        </is>
      </c>
      <c r="R131" s="8">
        <f>SUM(R129:R130)</f>
        <v/>
      </c>
    </row>
    <row r="133">
      <c r="B133" s="2" t="inlineStr">
        <is>
          <t>DOLLYGRIP</t>
        </is>
      </c>
    </row>
    <row r="134">
      <c r="A134" s="5" t="inlineStr">
        <is>
          <t>2503</t>
        </is>
      </c>
      <c r="B134" s="5" t="inlineStr">
        <is>
          <t>Peter Weidenfeller</t>
        </is>
      </c>
      <c r="C134" s="5" t="inlineStr">
        <is>
          <t>"A"DOLLYGRIP</t>
        </is>
      </c>
      <c r="D134" s="5" t="inlineStr">
        <is>
          <t>Local80</t>
        </is>
      </c>
      <c r="E134" s="6" t="n">
        <v>23.04</v>
      </c>
      <c r="F134" s="5" t="n"/>
      <c r="G134" s="5" t="n"/>
      <c r="H134" s="5" t="n"/>
      <c r="I134" s="5" t="n"/>
      <c r="J134" s="7">
        <f>IF(AND(N(F134)&gt;0,N(I134)&gt;0),I134-F134-IF(N(G134)&gt;0,0.5,0)-IF(N(H134)&gt;0,0.5,0),0)</f>
        <v/>
      </c>
      <c r="K134" s="5" t="n"/>
      <c r="L134" s="7">
        <f>MIN(J134,10.0)</f>
        <v/>
      </c>
      <c r="M134" s="7">
        <f>MAX(0,MIN(J134,12)-10.0)</f>
        <v/>
      </c>
      <c r="N134" s="7">
        <f>MAX(0,J134-12)</f>
        <v/>
      </c>
      <c r="O134" s="5" t="n"/>
      <c r="P134" s="6">
        <f>E134*(L134+M134*1.5+N134*2+O134*3+N(K134))</f>
        <v/>
      </c>
      <c r="Q134" s="6" t="n">
        <v>357.12</v>
      </c>
      <c r="R134" s="6">
        <f>Q134-P134</f>
        <v/>
      </c>
    </row>
    <row r="135">
      <c r="P135" s="2" t="inlineStr">
        <is>
          <t>DOLLYGRIP LABOR</t>
        </is>
      </c>
      <c r="R135" s="8">
        <f>SUM(R134:R134)</f>
        <v/>
      </c>
    </row>
    <row r="137">
      <c r="B137" s="2" t="inlineStr">
        <is>
          <t>CRANEGRIPS</t>
        </is>
      </c>
    </row>
    <row r="138">
      <c r="A138" s="5" t="inlineStr">
        <is>
          <t>2504</t>
        </is>
      </c>
      <c r="B138" s="5" t="inlineStr"/>
      <c r="C138" s="5" t="inlineStr">
        <is>
          <t>CRANEOPERATOR</t>
        </is>
      </c>
      <c r="D138" s="5" t="inlineStr">
        <is>
          <t>Local80</t>
        </is>
      </c>
      <c r="E138" s="6" t="n">
        <v>792</v>
      </c>
      <c r="F138" s="5" t="n"/>
      <c r="G138" s="5" t="n"/>
      <c r="H138" s="5" t="n"/>
      <c r="I138" s="5" t="n"/>
      <c r="J138" s="7">
        <f>IF(AND(N(F138)&gt;0,N(I138)&gt;0),I138-F138-IF(N(G138)&gt;0,0.5,0)-IF(N(H138)&gt;0,0.5,0),0)</f>
        <v/>
      </c>
      <c r="K138" s="5" t="n"/>
      <c r="L138" s="7">
        <f>MIN(J138,10.0)</f>
        <v/>
      </c>
      <c r="M138" s="7">
        <f>MAX(0,MIN(J138,12)-10.0)</f>
        <v/>
      </c>
      <c r="N138" s="7">
        <f>MAX(0,J138-12)</f>
        <v/>
      </c>
      <c r="O138" s="5" t="n"/>
      <c r="P138" s="6">
        <f>E138*(L138+M138*1.5+N138*2+O138*3+N(K138))</f>
        <v/>
      </c>
      <c r="Q138" s="6" t="n">
        <v>924</v>
      </c>
      <c r="R138" s="6">
        <f>Q138-P138</f>
        <v/>
      </c>
    </row>
    <row r="139">
      <c r="A139" s="5" t="inlineStr">
        <is>
          <t>2504</t>
        </is>
      </c>
      <c r="B139" s="5" t="inlineStr"/>
      <c r="C139" s="5" t="inlineStr">
        <is>
          <t>CRANEASSISTANT</t>
        </is>
      </c>
      <c r="D139" s="5" t="inlineStr">
        <is>
          <t>Local80</t>
        </is>
      </c>
      <c r="E139" s="6" t="n">
        <v>660</v>
      </c>
      <c r="F139" s="5" t="n"/>
      <c r="G139" s="5" t="n"/>
      <c r="H139" s="5" t="n"/>
      <c r="I139" s="5" t="n"/>
      <c r="J139" s="7">
        <f>IF(AND(N(F139)&gt;0,N(I139)&gt;0),I139-F139-IF(N(G139)&gt;0,0.5,0)-IF(N(H139)&gt;0,0.5,0),0)</f>
        <v/>
      </c>
      <c r="K139" s="5" t="n"/>
      <c r="L139" s="7">
        <f>MIN(J139,10.0)</f>
        <v/>
      </c>
      <c r="M139" s="7">
        <f>MAX(0,MIN(J139,12)-10.0)</f>
        <v/>
      </c>
      <c r="N139" s="7">
        <f>MAX(0,J139-12)</f>
        <v/>
      </c>
      <c r="O139" s="5" t="n"/>
      <c r="P139" s="6">
        <f>E139*(L139+M139*1.5+N139*2+O139*3+N(K139))</f>
        <v/>
      </c>
      <c r="Q139" s="6" t="n">
        <v>770</v>
      </c>
      <c r="R139" s="6">
        <f>Q139-P139</f>
        <v/>
      </c>
    </row>
    <row r="140">
      <c r="P140" s="2" t="inlineStr">
        <is>
          <t>CRANEGRIPS LABOR</t>
        </is>
      </c>
      <c r="R140" s="8">
        <f>SUM(R138:R139)</f>
        <v/>
      </c>
    </row>
    <row r="142">
      <c r="B142" s="2" t="inlineStr">
        <is>
          <t>COMPANYGRIPS</t>
        </is>
      </c>
    </row>
    <row r="143">
      <c r="A143" s="5" t="inlineStr">
        <is>
          <t>2505</t>
        </is>
      </c>
      <c r="B143" s="5" t="inlineStr"/>
      <c r="C143" s="5" t="inlineStr">
        <is>
          <t>GRIP#1</t>
        </is>
      </c>
      <c r="D143" s="5" t="inlineStr">
        <is>
          <t>Local80</t>
        </is>
      </c>
      <c r="E143" s="6" t="n">
        <v>20.57</v>
      </c>
      <c r="F143" s="5" t="n"/>
      <c r="G143" s="5" t="n"/>
      <c r="H143" s="5" t="n"/>
      <c r="I143" s="5" t="n"/>
      <c r="J143" s="7">
        <f>IF(AND(N(F143)&gt;0,N(I143)&gt;0),I143-F143-IF(N(G143)&gt;0,0.5,0)-IF(N(H143)&gt;0,0.5,0),0)</f>
        <v/>
      </c>
      <c r="K143" s="5" t="n"/>
      <c r="L143" s="7">
        <f>MIN(J143,10.0)</f>
        <v/>
      </c>
      <c r="M143" s="7">
        <f>MAX(0,MIN(J143,12)-10.0)</f>
        <v/>
      </c>
      <c r="N143" s="7">
        <f>MAX(0,J143-12)</f>
        <v/>
      </c>
      <c r="O143" s="5" t="n"/>
      <c r="P143" s="6">
        <f>E143*(L143+M143*1.5+N143*2+O143*3+N(K143))</f>
        <v/>
      </c>
      <c r="Q143" s="6" t="n">
        <v>318.83</v>
      </c>
      <c r="R143" s="6">
        <f>Q143-P143</f>
        <v/>
      </c>
    </row>
    <row r="144">
      <c r="A144" s="5" t="inlineStr">
        <is>
          <t>2505</t>
        </is>
      </c>
      <c r="B144" s="5" t="inlineStr"/>
      <c r="C144" s="5" t="inlineStr">
        <is>
          <t>GRIP#2</t>
        </is>
      </c>
      <c r="D144" s="5" t="inlineStr">
        <is>
          <t>Local80</t>
        </is>
      </c>
      <c r="E144" s="6" t="n">
        <v>20.57</v>
      </c>
      <c r="F144" s="5" t="n"/>
      <c r="G144" s="5" t="n"/>
      <c r="H144" s="5" t="n"/>
      <c r="I144" s="5" t="n"/>
      <c r="J144" s="7">
        <f>IF(AND(N(F144)&gt;0,N(I144)&gt;0),I144-F144-IF(N(G144)&gt;0,0.5,0)-IF(N(H144)&gt;0,0.5,0),0)</f>
        <v/>
      </c>
      <c r="K144" s="5" t="n"/>
      <c r="L144" s="7">
        <f>MIN(J144,10.0)</f>
        <v/>
      </c>
      <c r="M144" s="7">
        <f>MAX(0,MIN(J144,12)-10.0)</f>
        <v/>
      </c>
      <c r="N144" s="7">
        <f>MAX(0,J144-12)</f>
        <v/>
      </c>
      <c r="O144" s="5" t="n"/>
      <c r="P144" s="6">
        <f>E144*(L144+M144*1.5+N144*2+O144*3+N(K144))</f>
        <v/>
      </c>
      <c r="Q144" s="6" t="n">
        <v>318.83</v>
      </c>
      <c r="R144" s="6">
        <f>Q144-P144</f>
        <v/>
      </c>
    </row>
    <row r="145">
      <c r="A145" s="5" t="inlineStr">
        <is>
          <t>2505</t>
        </is>
      </c>
      <c r="B145" s="5" t="inlineStr"/>
      <c r="C145" s="5" t="inlineStr">
        <is>
          <t>GRIP#3</t>
        </is>
      </c>
      <c r="D145" s="5" t="inlineStr">
        <is>
          <t>Local80</t>
        </is>
      </c>
      <c r="E145" s="6" t="n">
        <v>20.57</v>
      </c>
      <c r="F145" s="5" t="n"/>
      <c r="G145" s="5" t="n"/>
      <c r="H145" s="5" t="n"/>
      <c r="I145" s="5" t="n"/>
      <c r="J145" s="7">
        <f>IF(AND(N(F145)&gt;0,N(I145)&gt;0),I145-F145-IF(N(G145)&gt;0,0.5,0)-IF(N(H145)&gt;0,0.5,0),0)</f>
        <v/>
      </c>
      <c r="K145" s="5" t="n"/>
      <c r="L145" s="7">
        <f>MIN(J145,10.0)</f>
        <v/>
      </c>
      <c r="M145" s="7">
        <f>MAX(0,MIN(J145,12)-10.0)</f>
        <v/>
      </c>
      <c r="N145" s="7">
        <f>MAX(0,J145-12)</f>
        <v/>
      </c>
      <c r="O145" s="5" t="n"/>
      <c r="P145" s="6">
        <f>E145*(L145+M145*1.5+N145*2+O145*3+N(K145))</f>
        <v/>
      </c>
      <c r="Q145" s="6" t="n">
        <v>318.83</v>
      </c>
      <c r="R145" s="6">
        <f>Q145-P145</f>
        <v/>
      </c>
    </row>
    <row r="146">
      <c r="P146" s="2" t="inlineStr">
        <is>
          <t>COMPANYGRIPS LABOR</t>
        </is>
      </c>
      <c r="R146" s="8">
        <f>SUM(R143:R145)</f>
        <v/>
      </c>
    </row>
    <row r="148">
      <c r="B148" s="2" t="inlineStr">
        <is>
          <t>OTHERLABOR</t>
        </is>
      </c>
    </row>
    <row r="149">
      <c r="A149" s="5" t="inlineStr">
        <is>
          <t>2506</t>
        </is>
      </c>
      <c r="B149" s="5" t="inlineStr"/>
      <c r="C149" s="5" t="inlineStr">
        <is>
          <t>GRIPMANDAYS&amp;RIGGINGMANDAYS</t>
        </is>
      </c>
      <c r="D149" s="5" t="inlineStr">
        <is>
          <t>Local80</t>
        </is>
      </c>
      <c r="E149" s="6" t="n">
        <v>20.57</v>
      </c>
      <c r="F149" s="5" t="n"/>
      <c r="G149" s="5" t="n"/>
      <c r="H149" s="5" t="n"/>
      <c r="I149" s="5" t="n"/>
      <c r="J149" s="7">
        <f>IF(AND(N(F149)&gt;0,N(I149)&gt;0),I149-F149-IF(N(G149)&gt;0,0.5,0)-IF(N(H149)&gt;0,0.5,0),0)</f>
        <v/>
      </c>
      <c r="K149" s="5" t="n"/>
      <c r="L149" s="7">
        <f>MIN(J149,10.0)</f>
        <v/>
      </c>
      <c r="M149" s="7">
        <f>MAX(0,MIN(J149,12)-10.0)</f>
        <v/>
      </c>
      <c r="N149" s="7">
        <f>MAX(0,J149-12)</f>
        <v/>
      </c>
      <c r="O149" s="5" t="n"/>
      <c r="P149" s="6">
        <f>E149*(L149+M149*1.5+N149*2+O149*3+N(K149))</f>
        <v/>
      </c>
      <c r="Q149" s="6" t="n">
        <v>318.83</v>
      </c>
      <c r="R149" s="6">
        <f>Q149-P149</f>
        <v/>
      </c>
    </row>
    <row r="150">
      <c r="P150" s="2" t="inlineStr">
        <is>
          <t>OTHERLABOR LABOR</t>
        </is>
      </c>
      <c r="R150" s="8">
        <f>SUM(R149:R149)</f>
        <v/>
      </c>
    </row>
    <row r="152">
      <c r="B152" s="2" t="inlineStr">
        <is>
          <t>STANDBYLABOR</t>
        </is>
      </c>
    </row>
    <row r="153">
      <c r="A153" s="5" t="inlineStr">
        <is>
          <t>2510</t>
        </is>
      </c>
      <c r="B153" s="5" t="inlineStr"/>
      <c r="C153" s="5" t="inlineStr">
        <is>
          <t>LAYOUTBOARD</t>
        </is>
      </c>
      <c r="D153" s="5" t="inlineStr">
        <is>
          <t>Local729</t>
        </is>
      </c>
      <c r="E153" s="6" t="n">
        <v>25.5</v>
      </c>
      <c r="F153" s="5" t="n"/>
      <c r="G153" s="5" t="n"/>
      <c r="H153" s="5" t="n"/>
      <c r="I153" s="5" t="n"/>
      <c r="J153" s="7">
        <f>IF(AND(N(F153)&gt;0,N(I153)&gt;0),I153-F153-IF(N(G153)&gt;0,0.5,0)-IF(N(H153)&gt;0,0.5,0),0)</f>
        <v/>
      </c>
      <c r="K153" s="5" t="n"/>
      <c r="L153" s="7">
        <f>MIN(J153,10.0)</f>
        <v/>
      </c>
      <c r="M153" s="7">
        <f>MAX(0,MIN(J153,12)-10.0)</f>
        <v/>
      </c>
      <c r="N153" s="7">
        <f>MAX(0,J153-12)</f>
        <v/>
      </c>
      <c r="O153" s="5" t="n"/>
      <c r="P153" s="6">
        <f>E153*(L153+M153*1.5+N153*2+O153*3+N(K153))</f>
        <v/>
      </c>
      <c r="Q153" s="6" t="n">
        <v>395.25</v>
      </c>
      <c r="R153" s="6">
        <f>Q153-P153</f>
        <v/>
      </c>
    </row>
    <row r="154">
      <c r="P154" s="2" t="inlineStr">
        <is>
          <t>STANDBYLABOR LABOR</t>
        </is>
      </c>
      <c r="R154" s="8">
        <f>SUM(R153:R153)</f>
        <v/>
      </c>
    </row>
    <row r="156">
      <c r="B156" s="2" t="inlineStr">
        <is>
          <t>SETCRAFTSERVICELABOR</t>
        </is>
      </c>
    </row>
    <row r="157">
      <c r="A157" s="5" t="inlineStr">
        <is>
          <t>2511</t>
        </is>
      </c>
      <c r="B157" s="5" t="inlineStr">
        <is>
          <t>Maurico Solis</t>
        </is>
      </c>
      <c r="C157" s="5" t="inlineStr">
        <is>
          <t>KEYCRAFTSERVICE</t>
        </is>
      </c>
      <c r="D157" s="5" t="inlineStr">
        <is>
          <t>Local80</t>
        </is>
      </c>
      <c r="E157" s="6" t="n">
        <v>25.5</v>
      </c>
      <c r="F157" s="5" t="n"/>
      <c r="G157" s="5" t="n"/>
      <c r="H157" s="5" t="n"/>
      <c r="I157" s="5" t="n"/>
      <c r="J157" s="7">
        <f>IF(AND(N(F157)&gt;0,N(I157)&gt;0),I157-F157-IF(N(G157)&gt;0,0.5,0)-IF(N(H157)&gt;0,0.5,0),0)</f>
        <v/>
      </c>
      <c r="K157" s="5" t="n"/>
      <c r="L157" s="7">
        <f>MIN(J157,10.0)</f>
        <v/>
      </c>
      <c r="M157" s="7">
        <f>MAX(0,MIN(J157,12)-10.0)</f>
        <v/>
      </c>
      <c r="N157" s="7">
        <f>MAX(0,J157-12)</f>
        <v/>
      </c>
      <c r="O157" s="5" t="n"/>
      <c r="P157" s="6">
        <f>E157*(L157+M157*1.5+N157*2+O157*3+N(K157))</f>
        <v/>
      </c>
      <c r="Q157" s="6" t="n">
        <v>439.87</v>
      </c>
      <c r="R157" s="6">
        <f>Q157-P157</f>
        <v/>
      </c>
    </row>
    <row r="158">
      <c r="A158" s="5" t="inlineStr">
        <is>
          <t>2511</t>
        </is>
      </c>
      <c r="B158" s="5" t="inlineStr"/>
      <c r="C158" s="5" t="inlineStr">
        <is>
          <t>ASSTCRAFTSERVICE</t>
        </is>
      </c>
      <c r="D158" s="5" t="inlineStr">
        <is>
          <t>Local80</t>
        </is>
      </c>
      <c r="E158" s="6" t="n">
        <v>23.04</v>
      </c>
      <c r="F158" s="5" t="n"/>
      <c r="G158" s="5" t="n"/>
      <c r="H158" s="5" t="n"/>
      <c r="I158" s="5" t="n"/>
      <c r="J158" s="7">
        <f>IF(AND(N(F158)&gt;0,N(I158)&gt;0),I158-F158-IF(N(G158)&gt;0,0.5,0)-IF(N(H158)&gt;0,0.5,0),0)</f>
        <v/>
      </c>
      <c r="K158" s="5" t="n"/>
      <c r="L158" s="7">
        <f>MIN(J158,10.0)</f>
        <v/>
      </c>
      <c r="M158" s="7">
        <f>MAX(0,MIN(J158,12)-10.0)</f>
        <v/>
      </c>
      <c r="N158" s="7">
        <f>MAX(0,J158-12)</f>
        <v/>
      </c>
      <c r="O158" s="5" t="n"/>
      <c r="P158" s="6">
        <f>E158*(L158+M158*1.5+N158*2+O158*3+N(K158))</f>
        <v/>
      </c>
      <c r="Q158" s="6" t="n">
        <v>397.43</v>
      </c>
      <c r="R158" s="6">
        <f>Q158-P158</f>
        <v/>
      </c>
    </row>
    <row r="159">
      <c r="P159" s="2" t="inlineStr">
        <is>
          <t>SETCRAFTSERVICELABOR LABOR</t>
        </is>
      </c>
      <c r="R159" s="8">
        <f>SUM(R157:R158)</f>
        <v/>
      </c>
    </row>
    <row r="161">
      <c r="B161" s="2" t="inlineStr">
        <is>
          <t>SETFIRSTAIDLABOR</t>
        </is>
      </c>
    </row>
    <row r="162">
      <c r="A162" s="5" t="inlineStr">
        <is>
          <t>2514</t>
        </is>
      </c>
      <c r="B162" s="5" t="inlineStr">
        <is>
          <t>Robert Hill</t>
        </is>
      </c>
      <c r="C162" s="5" t="inlineStr">
        <is>
          <t>SETMEDIC</t>
        </is>
      </c>
      <c r="D162" s="5" t="inlineStr">
        <is>
          <t>Local80</t>
        </is>
      </c>
      <c r="E162" s="6" t="n">
        <v>23.04</v>
      </c>
      <c r="F162" s="5" t="n"/>
      <c r="G162" s="5" t="n"/>
      <c r="H162" s="5" t="n"/>
      <c r="I162" s="5" t="n"/>
      <c r="J162" s="7">
        <f>IF(AND(N(F162)&gt;0,N(I162)&gt;0),I162-F162-IF(N(G162)&gt;0,0.5,0)-IF(N(H162)&gt;0,0.5,0),0)</f>
        <v/>
      </c>
      <c r="K162" s="5" t="n"/>
      <c r="L162" s="7">
        <f>MIN(J162,10.0)</f>
        <v/>
      </c>
      <c r="M162" s="7">
        <f>MAX(0,MIN(J162,12)-10.0)</f>
        <v/>
      </c>
      <c r="N162" s="7">
        <f>MAX(0,J162-12)</f>
        <v/>
      </c>
      <c r="O162" s="5" t="n"/>
      <c r="P162" s="6">
        <f>E162*(L162+M162*1.5+N162*2+O162*3+N(K162))</f>
        <v/>
      </c>
      <c r="Q162" s="6" t="n">
        <v>397.43</v>
      </c>
      <c r="R162" s="6">
        <f>Q162-P162</f>
        <v/>
      </c>
    </row>
    <row r="163">
      <c r="A163" s="5" t="inlineStr">
        <is>
          <t>2514</t>
        </is>
      </c>
      <c r="B163" s="5" t="inlineStr"/>
      <c r="C163" s="5" t="inlineStr">
        <is>
          <t>RIGGINGMEDICMANDAYS</t>
        </is>
      </c>
      <c r="D163" s="5" t="inlineStr">
        <is>
          <t>Local80</t>
        </is>
      </c>
      <c r="E163" s="6" t="n">
        <v>23.04</v>
      </c>
      <c r="F163" s="5" t="n"/>
      <c r="G163" s="5" t="n"/>
      <c r="H163" s="5" t="n"/>
      <c r="I163" s="5" t="n"/>
      <c r="J163" s="7">
        <f>IF(AND(N(F163)&gt;0,N(I163)&gt;0),I163-F163-IF(N(G163)&gt;0,0.5,0)-IF(N(H163)&gt;0,0.5,0),0)</f>
        <v/>
      </c>
      <c r="K163" s="5" t="n"/>
      <c r="L163" s="7">
        <f>MIN(J163,10.0)</f>
        <v/>
      </c>
      <c r="M163" s="7">
        <f>MAX(0,MIN(J163,12)-10.0)</f>
        <v/>
      </c>
      <c r="N163" s="7">
        <f>MAX(0,J163-12)</f>
        <v/>
      </c>
      <c r="O163" s="5" t="n"/>
      <c r="P163" s="6">
        <f>E163*(L163+M163*1.5+N163*2+O163*3+N(K163))</f>
        <v/>
      </c>
      <c r="Q163" s="5" t="n"/>
      <c r="R163" s="6">
        <f>Q163-P163</f>
        <v/>
      </c>
    </row>
    <row r="164">
      <c r="P164" s="2" t="inlineStr">
        <is>
          <t>SETFIRSTAIDLABOR LABOR</t>
        </is>
      </c>
      <c r="R164" s="8">
        <f>SUM(R162:R163)</f>
        <v/>
      </c>
    </row>
    <row r="166">
      <c r="B166" s="2" t="inlineStr">
        <is>
          <t>SFXCOORDINATOR</t>
        </is>
      </c>
    </row>
    <row r="167">
      <c r="A167" s="5" t="inlineStr">
        <is>
          <t>2601</t>
        </is>
      </c>
      <c r="B167" s="5" t="inlineStr">
        <is>
          <t>Zak Knight</t>
        </is>
      </c>
      <c r="C167" s="5" t="inlineStr">
        <is>
          <t>SPFXCOORDINATOR</t>
        </is>
      </c>
      <c r="D167" s="5" t="inlineStr">
        <is>
          <t>Local44</t>
        </is>
      </c>
      <c r="E167" s="6" t="n">
        <v>42</v>
      </c>
      <c r="F167" s="5" t="n"/>
      <c r="G167" s="5" t="n"/>
      <c r="H167" s="5" t="n"/>
      <c r="I167" s="5" t="n"/>
      <c r="J167" s="7">
        <f>IF(AND(N(F167)&gt;0,N(I167)&gt;0),I167-F167-IF(N(G167)&gt;0,0.5,0)-IF(N(H167)&gt;0,0.5,0),0)</f>
        <v/>
      </c>
      <c r="K167" s="5" t="n"/>
      <c r="L167" s="7">
        <f>MIN(J167,10.0)</f>
        <v/>
      </c>
      <c r="M167" s="7">
        <f>MAX(0,MIN(J167,12)-10.0)</f>
        <v/>
      </c>
      <c r="N167" s="7">
        <f>MAX(0,J167-12)</f>
        <v/>
      </c>
      <c r="O167" s="5" t="n"/>
      <c r="P167" s="6">
        <f>E167*(L167+M167*1.5+N167*2+O167*3+N(K167))</f>
        <v/>
      </c>
      <c r="Q167" s="6" t="n">
        <v>651</v>
      </c>
      <c r="R167" s="6">
        <f>Q167-P167</f>
        <v/>
      </c>
    </row>
    <row r="168">
      <c r="P168" s="2" t="inlineStr">
        <is>
          <t>SFXCOORDINATOR LABOR</t>
        </is>
      </c>
      <c r="R168" s="8">
        <f>SUM(R167:R167)</f>
        <v/>
      </c>
    </row>
    <row r="170">
      <c r="B170" s="2" t="inlineStr">
        <is>
          <t>SFXTECHMANDAYS</t>
        </is>
      </c>
    </row>
    <row r="171">
      <c r="A171" s="5" t="inlineStr">
        <is>
          <t>2609</t>
        </is>
      </c>
      <c r="B171" s="5" t="inlineStr"/>
      <c r="C171" s="5" t="inlineStr">
        <is>
          <t>SPFXTECHMANDAYS</t>
        </is>
      </c>
      <c r="D171" s="5" t="inlineStr">
        <is>
          <t>Local44</t>
        </is>
      </c>
      <c r="E171" s="6" t="n">
        <v>40</v>
      </c>
      <c r="F171" s="5" t="n"/>
      <c r="G171" s="5" t="n"/>
      <c r="H171" s="5" t="n"/>
      <c r="I171" s="5" t="n"/>
      <c r="J171" s="7">
        <f>IF(AND(N(F171)&gt;0,N(I171)&gt;0),I171-F171-IF(N(G171)&gt;0,0.5,0)-IF(N(H171)&gt;0,0.5,0),0)</f>
        <v/>
      </c>
      <c r="K171" s="5" t="n"/>
      <c r="L171" s="7">
        <f>MIN(J171,10.0)</f>
        <v/>
      </c>
      <c r="M171" s="7">
        <f>MAX(0,MIN(J171,12)-10.0)</f>
        <v/>
      </c>
      <c r="N171" s="7">
        <f>MAX(0,J171-12)</f>
        <v/>
      </c>
      <c r="O171" s="5" t="n"/>
      <c r="P171" s="6">
        <f>E171*(L171+M171*1.5+N171*2+O171*3+N(K171))</f>
        <v/>
      </c>
      <c r="Q171" s="6" t="n">
        <v>620</v>
      </c>
      <c r="R171" s="6">
        <f>Q171-P171</f>
        <v/>
      </c>
    </row>
    <row r="172">
      <c r="A172" s="5" t="inlineStr">
        <is>
          <t>2609</t>
        </is>
      </c>
      <c r="B172" s="5" t="inlineStr"/>
      <c r="C172" s="5" t="inlineStr">
        <is>
          <t>SPFXASSISTANTMANDAYS</t>
        </is>
      </c>
      <c r="D172" s="5" t="inlineStr">
        <is>
          <t>Local44</t>
        </is>
      </c>
      <c r="E172" s="6" t="n">
        <v>25.5</v>
      </c>
      <c r="F172" s="5" t="n"/>
      <c r="G172" s="5" t="n"/>
      <c r="H172" s="5" t="n"/>
      <c r="I172" s="5" t="n"/>
      <c r="J172" s="7">
        <f>IF(AND(N(F172)&gt;0,N(I172)&gt;0),I172-F172-IF(N(G172)&gt;0,0.5,0)-IF(N(H172)&gt;0,0.5,0),0)</f>
        <v/>
      </c>
      <c r="K172" s="5" t="n"/>
      <c r="L172" s="7">
        <f>MIN(J172,10.0)</f>
        <v/>
      </c>
      <c r="M172" s="7">
        <f>MAX(0,MIN(J172,12)-10.0)</f>
        <v/>
      </c>
      <c r="N172" s="7">
        <f>MAX(0,J172-12)</f>
        <v/>
      </c>
      <c r="O172" s="5" t="n"/>
      <c r="P172" s="6">
        <f>E172*(L172+M172*1.5+N172*2+O172*3+N(K172))</f>
        <v/>
      </c>
      <c r="Q172" s="6" t="n">
        <v>395.25</v>
      </c>
      <c r="R172" s="6">
        <f>Q172-P172</f>
        <v/>
      </c>
    </row>
    <row r="173">
      <c r="A173" s="5" t="inlineStr">
        <is>
          <t>2609</t>
        </is>
      </c>
      <c r="B173" s="5" t="inlineStr"/>
      <c r="C173" s="5" t="inlineStr">
        <is>
          <t>PYROMANDAYS</t>
        </is>
      </c>
      <c r="D173" s="5" t="inlineStr">
        <is>
          <t>Local44</t>
        </is>
      </c>
      <c r="E173" s="6" t="n">
        <v>68.18000000000001</v>
      </c>
      <c r="F173" s="5" t="n"/>
      <c r="G173" s="5" t="n"/>
      <c r="H173" s="5" t="n"/>
      <c r="I173" s="5" t="n"/>
      <c r="J173" s="7">
        <f>IF(AND(N(F173)&gt;0,N(I173)&gt;0),I173-F173-IF(N(G173)&gt;0,0.5,0)-IF(N(H173)&gt;0,0.5,0),0)</f>
        <v/>
      </c>
      <c r="K173" s="5" t="n"/>
      <c r="L173" s="7">
        <f>MIN(J173,10.0)</f>
        <v/>
      </c>
      <c r="M173" s="7">
        <f>MAX(0,MIN(J173,12)-10.0)</f>
        <v/>
      </c>
      <c r="N173" s="7">
        <f>MAX(0,J173-12)</f>
        <v/>
      </c>
      <c r="O173" s="5" t="n"/>
      <c r="P173" s="6">
        <f>E173*(L173+M173*1.5+N173*2+O173*3+N(K173))</f>
        <v/>
      </c>
      <c r="Q173" s="6" t="n">
        <v>749.98</v>
      </c>
      <c r="R173" s="6">
        <f>Q173-P173</f>
        <v/>
      </c>
    </row>
    <row r="174">
      <c r="P174" s="2" t="inlineStr">
        <is>
          <t>SFXTECHMANDAYS LABOR</t>
        </is>
      </c>
      <c r="R174" s="8">
        <f>SUM(R171:R173)</f>
        <v/>
      </c>
    </row>
    <row r="176">
      <c r="B176" s="2" t="inlineStr">
        <is>
          <t>SETDECORATOR</t>
        </is>
      </c>
    </row>
    <row r="177">
      <c r="A177" s="5" t="inlineStr">
        <is>
          <t>2701</t>
        </is>
      </c>
      <c r="B177" s="5" t="inlineStr">
        <is>
          <t>Sandy Skora</t>
        </is>
      </c>
      <c r="C177" s="5" t="inlineStr">
        <is>
          <t>SETDECORATOR</t>
        </is>
      </c>
      <c r="D177" s="5" t="inlineStr">
        <is>
          <t>Local44</t>
        </is>
      </c>
      <c r="E177" s="6" t="n">
        <v>400</v>
      </c>
      <c r="F177" s="5" t="n"/>
      <c r="G177" s="5" t="n"/>
      <c r="H177" s="5" t="n"/>
      <c r="I177" s="5" t="n"/>
      <c r="J177" s="7">
        <f>IF(AND(N(F177)&gt;0,N(I177)&gt;0),I177-F177-IF(N(G177)&gt;0,0.5,0)-IF(N(H177)&gt;0,0.5,0),0)</f>
        <v/>
      </c>
      <c r="K177" s="5" t="n"/>
      <c r="L177" s="7">
        <f>MIN(J177,10.0)</f>
        <v/>
      </c>
      <c r="M177" s="7">
        <f>MAX(0,MIN(J177,12)-10.0)</f>
        <v/>
      </c>
      <c r="N177" s="7">
        <f>MAX(0,J177-12)</f>
        <v/>
      </c>
      <c r="O177" s="5" t="n"/>
      <c r="P177" s="6">
        <f>E177*(L177+M177*1.5+N177*2+O177*3+N(K177))</f>
        <v/>
      </c>
      <c r="Q177" s="6" t="n">
        <v>400</v>
      </c>
      <c r="R177" s="6">
        <f>Q177-P177</f>
        <v/>
      </c>
    </row>
    <row r="178">
      <c r="P178" s="2" t="inlineStr">
        <is>
          <t>SETDECORATOR LABOR</t>
        </is>
      </c>
      <c r="R178" s="8">
        <f>SUM(R177:R177)</f>
        <v/>
      </c>
    </row>
    <row r="180">
      <c r="B180" s="2" t="inlineStr">
        <is>
          <t>LEADPERSON</t>
        </is>
      </c>
    </row>
    <row r="181">
      <c r="A181" s="5" t="inlineStr">
        <is>
          <t>2702</t>
        </is>
      </c>
      <c r="B181" s="5" t="inlineStr">
        <is>
          <t>Josh Richmond</t>
        </is>
      </c>
      <c r="C181" s="5" t="inlineStr">
        <is>
          <t>LEADPERSON</t>
        </is>
      </c>
      <c r="D181" s="5" t="inlineStr">
        <is>
          <t>Local44</t>
        </is>
      </c>
      <c r="E181" s="6" t="n">
        <v>23.04</v>
      </c>
      <c r="F181" s="5" t="n"/>
      <c r="G181" s="5" t="n"/>
      <c r="H181" s="5" t="n"/>
      <c r="I181" s="5" t="n"/>
      <c r="J181" s="7">
        <f>IF(AND(N(F181)&gt;0,N(I181)&gt;0),I181-F181-IF(N(G181)&gt;0,0.5,0)-IF(N(H181)&gt;0,0.5,0),0)</f>
        <v/>
      </c>
      <c r="K181" s="5" t="n"/>
      <c r="L181" s="7">
        <f>MIN(J181,10.0)</f>
        <v/>
      </c>
      <c r="M181" s="7">
        <f>MAX(0,MIN(J181,12)-10.0)</f>
        <v/>
      </c>
      <c r="N181" s="7">
        <f>MAX(0,J181-12)</f>
        <v/>
      </c>
      <c r="O181" s="5" t="n"/>
      <c r="P181" s="6">
        <f>E181*(L181+M181*1.5+N181*2+O181*3+N(K181))</f>
        <v/>
      </c>
      <c r="Q181" s="6" t="n">
        <v>322.56</v>
      </c>
      <c r="R181" s="6">
        <f>Q181-P181</f>
        <v/>
      </c>
    </row>
    <row r="182">
      <c r="P182" s="2" t="inlineStr">
        <is>
          <t>LEADPERSON LABOR</t>
        </is>
      </c>
      <c r="R182" s="8">
        <f>SUM(R181:R181)</f>
        <v/>
      </c>
    </row>
    <row r="184">
      <c r="B184" s="2" t="inlineStr">
        <is>
          <t>SWINGLABOR</t>
        </is>
      </c>
    </row>
    <row r="185">
      <c r="A185" s="5" t="inlineStr">
        <is>
          <t>2703</t>
        </is>
      </c>
      <c r="B185" s="5" t="inlineStr">
        <is>
          <t>Tim Dodge</t>
        </is>
      </c>
      <c r="C185" s="5" t="inlineStr">
        <is>
          <t>SWING#1</t>
        </is>
      </c>
      <c r="D185" s="5" t="inlineStr">
        <is>
          <t>Local44</t>
        </is>
      </c>
      <c r="E185" s="6" t="n">
        <v>20.57</v>
      </c>
      <c r="F185" s="5" t="n"/>
      <c r="G185" s="5" t="n"/>
      <c r="H185" s="5" t="n"/>
      <c r="I185" s="5" t="n"/>
      <c r="J185" s="7">
        <f>IF(AND(N(F185)&gt;0,N(I185)&gt;0),I185-F185-IF(N(G185)&gt;0,0.5,0)-IF(N(H185)&gt;0,0.5,0),0)</f>
        <v/>
      </c>
      <c r="K185" s="5" t="n"/>
      <c r="L185" s="7">
        <f>MIN(J185,10.0)</f>
        <v/>
      </c>
      <c r="M185" s="7">
        <f>MAX(0,MIN(J185,12)-10.0)</f>
        <v/>
      </c>
      <c r="N185" s="7">
        <f>MAX(0,J185-12)</f>
        <v/>
      </c>
      <c r="O185" s="5" t="n"/>
      <c r="P185" s="6">
        <f>E185*(L185+M185*1.5+N185*2+O185*3+N(K185))</f>
        <v/>
      </c>
      <c r="Q185" s="6" t="n">
        <v>287.98</v>
      </c>
      <c r="R185" s="6">
        <f>Q185-P185</f>
        <v/>
      </c>
    </row>
    <row r="186">
      <c r="A186" s="5" t="inlineStr">
        <is>
          <t>2703</t>
        </is>
      </c>
      <c r="B186" s="5" t="inlineStr"/>
      <c r="C186" s="5" t="inlineStr">
        <is>
          <t>SWING#2</t>
        </is>
      </c>
      <c r="D186" s="5" t="inlineStr">
        <is>
          <t>Local44</t>
        </is>
      </c>
      <c r="E186" s="6" t="n">
        <v>20.57</v>
      </c>
      <c r="F186" s="5" t="n"/>
      <c r="G186" s="5" t="n"/>
      <c r="H186" s="5" t="n"/>
      <c r="I186" s="5" t="n"/>
      <c r="J186" s="7">
        <f>IF(AND(N(F186)&gt;0,N(I186)&gt;0),I186-F186-IF(N(G186)&gt;0,0.5,0)-IF(N(H186)&gt;0,0.5,0),0)</f>
        <v/>
      </c>
      <c r="K186" s="5" t="n"/>
      <c r="L186" s="7">
        <f>MIN(J186,10.0)</f>
        <v/>
      </c>
      <c r="M186" s="7">
        <f>MAX(0,MIN(J186,12)-10.0)</f>
        <v/>
      </c>
      <c r="N186" s="7">
        <f>MAX(0,J186-12)</f>
        <v/>
      </c>
      <c r="O186" s="5" t="n"/>
      <c r="P186" s="6">
        <f>E186*(L186+M186*1.5+N186*2+O186*3+N(K186))</f>
        <v/>
      </c>
      <c r="Q186" s="6" t="n">
        <v>287.98</v>
      </c>
      <c r="R186" s="6">
        <f>Q186-P186</f>
        <v/>
      </c>
    </row>
    <row r="187">
      <c r="A187" s="5" t="inlineStr">
        <is>
          <t>2703</t>
        </is>
      </c>
      <c r="B187" s="5" t="inlineStr"/>
      <c r="C187" s="5" t="inlineStr">
        <is>
          <t>ADDITIONALSWINGMANDAYS</t>
        </is>
      </c>
      <c r="D187" s="5" t="inlineStr">
        <is>
          <t>Local44</t>
        </is>
      </c>
      <c r="E187" s="6" t="n">
        <v>20.57</v>
      </c>
      <c r="F187" s="5" t="n"/>
      <c r="G187" s="5" t="n"/>
      <c r="H187" s="5" t="n"/>
      <c r="I187" s="5" t="n"/>
      <c r="J187" s="7">
        <f>IF(AND(N(F187)&gt;0,N(I187)&gt;0),I187-F187-IF(N(G187)&gt;0,0.5,0)-IF(N(H187)&gt;0,0.5,0),0)</f>
        <v/>
      </c>
      <c r="K187" s="5" t="n"/>
      <c r="L187" s="7">
        <f>MIN(J187,10.0)</f>
        <v/>
      </c>
      <c r="M187" s="7">
        <f>MAX(0,MIN(J187,12)-10.0)</f>
        <v/>
      </c>
      <c r="N187" s="7">
        <f>MAX(0,J187-12)</f>
        <v/>
      </c>
      <c r="O187" s="5" t="n"/>
      <c r="P187" s="6">
        <f>E187*(L187+M187*1.5+N187*2+O187*3+N(K187))</f>
        <v/>
      </c>
      <c r="Q187" s="6" t="n">
        <v>287.98</v>
      </c>
      <c r="R187" s="6">
        <f>Q187-P187</f>
        <v/>
      </c>
    </row>
    <row r="188">
      <c r="P188" s="2" t="inlineStr">
        <is>
          <t>SWINGLABOR LABOR</t>
        </is>
      </c>
      <c r="R188" s="8">
        <f>SUM(R185:R187)</f>
        <v/>
      </c>
    </row>
    <row r="190">
      <c r="B190" s="2" t="inlineStr">
        <is>
          <t>ON-SETDRESSER</t>
        </is>
      </c>
    </row>
    <row r="191">
      <c r="A191" s="5" t="inlineStr">
        <is>
          <t>2705</t>
        </is>
      </c>
      <c r="B191" s="5" t="inlineStr">
        <is>
          <t>Khamisi Thurman</t>
        </is>
      </c>
      <c r="C191" s="5" t="inlineStr">
        <is>
          <t>ON-SETDRESSER</t>
        </is>
      </c>
      <c r="D191" s="5" t="inlineStr">
        <is>
          <t>Local44</t>
        </is>
      </c>
      <c r="E191" s="6" t="n">
        <v>20.57</v>
      </c>
      <c r="F191" s="5" t="n"/>
      <c r="G191" s="5" t="n"/>
      <c r="H191" s="5" t="n"/>
      <c r="I191" s="5" t="n"/>
      <c r="J191" s="7">
        <f>IF(AND(N(F191)&gt;0,N(I191)&gt;0),I191-F191-IF(N(G191)&gt;0,0.5,0)-IF(N(H191)&gt;0,0.5,0),0)</f>
        <v/>
      </c>
      <c r="K191" s="5" t="n"/>
      <c r="L191" s="7">
        <f>MIN(J191,10.0)</f>
        <v/>
      </c>
      <c r="M191" s="7">
        <f>MAX(0,MIN(J191,12)-10.0)</f>
        <v/>
      </c>
      <c r="N191" s="7">
        <f>MAX(0,J191-12)</f>
        <v/>
      </c>
      <c r="O191" s="5" t="n"/>
      <c r="P191" s="6">
        <f>E191*(L191+M191*1.5+N191*2+O191*3+N(K191))</f>
        <v/>
      </c>
      <c r="Q191" s="6" t="n">
        <v>318.83</v>
      </c>
      <c r="R191" s="6">
        <f>Q191-P191</f>
        <v/>
      </c>
    </row>
    <row r="192">
      <c r="P192" s="2" t="inlineStr">
        <is>
          <t>ON-SETDRESSER LABOR</t>
        </is>
      </c>
      <c r="R192" s="8">
        <f>SUM(R191:R191)</f>
        <v/>
      </c>
    </row>
    <row r="194">
      <c r="B194" s="2" t="inlineStr">
        <is>
          <t>BUYERS</t>
        </is>
      </c>
    </row>
    <row r="195">
      <c r="A195" s="5" t="inlineStr">
        <is>
          <t>2706</t>
        </is>
      </c>
      <c r="B195" s="5" t="inlineStr">
        <is>
          <t>Sarah Hickman</t>
        </is>
      </c>
      <c r="C195" s="5" t="inlineStr">
        <is>
          <t>BUYER</t>
        </is>
      </c>
      <c r="D195" s="5" t="inlineStr">
        <is>
          <t>Local44</t>
        </is>
      </c>
      <c r="E195" s="6" t="n">
        <v>23.04</v>
      </c>
      <c r="F195" s="5" t="n"/>
      <c r="G195" s="5" t="n"/>
      <c r="H195" s="5" t="n"/>
      <c r="I195" s="5" t="n"/>
      <c r="J195" s="7">
        <f>IF(AND(N(F195)&gt;0,N(I195)&gt;0),I195-F195-IF(N(G195)&gt;0,0.5,0)-IF(N(H195)&gt;0,0.5,0),0)</f>
        <v/>
      </c>
      <c r="K195" s="5" t="n"/>
      <c r="L195" s="7">
        <f>MIN(J195,10.0)</f>
        <v/>
      </c>
      <c r="M195" s="7">
        <f>MAX(0,MIN(J195,12)-10.0)</f>
        <v/>
      </c>
      <c r="N195" s="7">
        <f>MAX(0,J195-12)</f>
        <v/>
      </c>
      <c r="O195" s="5" t="n"/>
      <c r="P195" s="6">
        <f>E195*(L195+M195*1.5+N195*2+O195*3+N(K195))</f>
        <v/>
      </c>
      <c r="Q195" s="5" t="n"/>
      <c r="R195" s="6">
        <f>Q195-P195</f>
        <v/>
      </c>
    </row>
    <row r="196">
      <c r="P196" s="2" t="inlineStr">
        <is>
          <t>BUYERS LABOR</t>
        </is>
      </c>
      <c r="R196" s="8">
        <f>SUM(R195:R195)</f>
        <v/>
      </c>
    </row>
    <row r="198">
      <c r="B198" s="2" t="inlineStr">
        <is>
          <t>PROPMASTER</t>
        </is>
      </c>
    </row>
    <row r="199">
      <c r="A199" s="5" t="inlineStr">
        <is>
          <t>2801</t>
        </is>
      </c>
      <c r="B199" s="5" t="inlineStr">
        <is>
          <t>Annie Brandt</t>
        </is>
      </c>
      <c r="C199" s="5" t="inlineStr">
        <is>
          <t>PROPMASTER</t>
        </is>
      </c>
      <c r="D199" s="5" t="inlineStr">
        <is>
          <t>Local44</t>
        </is>
      </c>
      <c r="E199" s="6" t="n">
        <v>25.5</v>
      </c>
      <c r="F199" s="5" t="n"/>
      <c r="G199" s="5" t="n"/>
      <c r="H199" s="5" t="n"/>
      <c r="I199" s="5" t="n"/>
      <c r="J199" s="7">
        <f>IF(AND(N(F199)&gt;0,N(I199)&gt;0),I199-F199-IF(N(G199)&gt;0,0.5,0)-IF(N(H199)&gt;0,0.5,0),0)</f>
        <v/>
      </c>
      <c r="K199" s="5" t="n"/>
      <c r="L199" s="7">
        <f>MIN(J199,10.0)</f>
        <v/>
      </c>
      <c r="M199" s="7">
        <f>MAX(0,MIN(J199,12)-10.0)</f>
        <v/>
      </c>
      <c r="N199" s="7">
        <f>MAX(0,J199-12)</f>
        <v/>
      </c>
      <c r="O199" s="5" t="n"/>
      <c r="P199" s="6">
        <f>E199*(L199+M199*1.5+N199*2+O199*3+N(K199))</f>
        <v/>
      </c>
      <c r="Q199" s="6" t="n">
        <v>395.25</v>
      </c>
      <c r="R199" s="6">
        <f>Q199-P199</f>
        <v/>
      </c>
    </row>
    <row r="200">
      <c r="P200" s="2" t="inlineStr">
        <is>
          <t>PROPMASTER LABOR</t>
        </is>
      </c>
      <c r="R200" s="8">
        <f>SUM(R199:R199)</f>
        <v/>
      </c>
    </row>
    <row r="202">
      <c r="B202" s="2" t="inlineStr">
        <is>
          <t>ASSTPROPMASTER</t>
        </is>
      </c>
    </row>
    <row r="203">
      <c r="A203" s="5" t="inlineStr">
        <is>
          <t>2802</t>
        </is>
      </c>
      <c r="B203" s="5" t="inlineStr">
        <is>
          <t>Nate Bakes</t>
        </is>
      </c>
      <c r="C203" s="5" t="inlineStr">
        <is>
          <t>ASSTPROPMASTER</t>
        </is>
      </c>
      <c r="D203" s="5" t="inlineStr">
        <is>
          <t>Local44</t>
        </is>
      </c>
      <c r="E203" s="6" t="n">
        <v>23.04</v>
      </c>
      <c r="F203" s="5" t="n"/>
      <c r="G203" s="5" t="n"/>
      <c r="H203" s="5" t="n"/>
      <c r="I203" s="5" t="n"/>
      <c r="J203" s="7">
        <f>IF(AND(N(F203)&gt;0,N(I203)&gt;0),I203-F203-IF(N(G203)&gt;0,0.5,0)-IF(N(H203)&gt;0,0.5,0),0)</f>
        <v/>
      </c>
      <c r="K203" s="5" t="n"/>
      <c r="L203" s="7">
        <f>MIN(J203,10.0)</f>
        <v/>
      </c>
      <c r="M203" s="7">
        <f>MAX(0,MIN(J203,12)-10.0)</f>
        <v/>
      </c>
      <c r="N203" s="7">
        <f>MAX(0,J203-12)</f>
        <v/>
      </c>
      <c r="O203" s="5" t="n"/>
      <c r="P203" s="6">
        <f>E203*(L203+M203*1.5+N203*2+O203*3+N(K203))</f>
        <v/>
      </c>
      <c r="Q203" s="6" t="n">
        <v>357.12</v>
      </c>
      <c r="R203" s="6">
        <f>Q203-P203</f>
        <v/>
      </c>
    </row>
    <row r="204">
      <c r="P204" s="2" t="inlineStr">
        <is>
          <t>ASSTPROPMASTER LABOR</t>
        </is>
      </c>
      <c r="R204" s="8">
        <f>SUM(R203:R203)</f>
        <v/>
      </c>
    </row>
    <row r="206">
      <c r="B206" s="2" t="inlineStr">
        <is>
          <t>COSTUMEDESIGNER</t>
        </is>
      </c>
    </row>
    <row r="207">
      <c r="A207" s="5" t="inlineStr">
        <is>
          <t>2901</t>
        </is>
      </c>
      <c r="B207" s="5" t="inlineStr">
        <is>
          <t>Megan Spatz</t>
        </is>
      </c>
      <c r="C207" s="5" t="inlineStr">
        <is>
          <t>COSTUMEDESIGNER</t>
        </is>
      </c>
      <c r="D207" s="5" t="inlineStr">
        <is>
          <t>Local892</t>
        </is>
      </c>
      <c r="E207" s="6" t="n">
        <v>540</v>
      </c>
      <c r="F207" s="5" t="n"/>
      <c r="G207" s="5" t="n"/>
      <c r="H207" s="5" t="n"/>
      <c r="I207" s="5" t="n"/>
      <c r="J207" s="7">
        <f>IF(AND(N(F207)&gt;0,N(I207)&gt;0),I207-F207-IF(N(G207)&gt;0,0.5,0)-IF(N(H207)&gt;0,0.5,0),0)</f>
        <v/>
      </c>
      <c r="K207" s="5" t="n"/>
      <c r="L207" s="7">
        <f>MIN(J207,8.0)</f>
        <v/>
      </c>
      <c r="M207" s="7">
        <f>MAX(0,MIN(J207,12)-8.0)</f>
        <v/>
      </c>
      <c r="N207" s="7">
        <f>MAX(0,J207-12)</f>
        <v/>
      </c>
      <c r="O207" s="5" t="n"/>
      <c r="P207" s="6">
        <f>E207*(L207+M207*1.5+N207*2+O207*3+N(K207))</f>
        <v/>
      </c>
      <c r="Q207" s="6" t="n">
        <v>540</v>
      </c>
      <c r="R207" s="6">
        <f>Q207-P207</f>
        <v/>
      </c>
    </row>
    <row r="208">
      <c r="P208" s="2" t="inlineStr">
        <is>
          <t>COSTUMEDESIGNER LABOR</t>
        </is>
      </c>
      <c r="R208" s="8">
        <f>SUM(R207:R207)</f>
        <v/>
      </c>
    </row>
    <row r="210">
      <c r="B210" s="2" t="inlineStr">
        <is>
          <t>COSTUMESUPERVISOR</t>
        </is>
      </c>
    </row>
    <row r="211">
      <c r="A211" s="5" t="inlineStr">
        <is>
          <t>2903</t>
        </is>
      </c>
      <c r="B211" s="5" t="inlineStr">
        <is>
          <t>Danielle Schuck</t>
        </is>
      </c>
      <c r="C211" s="5" t="inlineStr">
        <is>
          <t>COSTUMESUPERVISOR</t>
        </is>
      </c>
      <c r="D211" s="5" t="inlineStr">
        <is>
          <t>Local705</t>
        </is>
      </c>
      <c r="E211" s="6" t="n">
        <v>25.5</v>
      </c>
      <c r="F211" s="5" t="n"/>
      <c r="G211" s="5" t="n"/>
      <c r="H211" s="5" t="n"/>
      <c r="I211" s="5" t="n"/>
      <c r="J211" s="7">
        <f>IF(AND(N(F211)&gt;0,N(I211)&gt;0),I211-F211-IF(N(G211)&gt;0,0.5,0)-IF(N(H211)&gt;0,0.5,0),0)</f>
        <v/>
      </c>
      <c r="K211" s="5" t="n"/>
      <c r="L211" s="7">
        <f>MIN(J211,8.0)</f>
        <v/>
      </c>
      <c r="M211" s="7">
        <f>MAX(0,MIN(J211,12)-8.0)</f>
        <v/>
      </c>
      <c r="N211" s="7">
        <f>MAX(0,J211-12)</f>
        <v/>
      </c>
      <c r="O211" s="5" t="n"/>
      <c r="P211" s="6">
        <f>E211*(L211+M211*1.5+N211*2+O211*3+N(K211))</f>
        <v/>
      </c>
      <c r="Q211" s="6" t="n">
        <v>395.25</v>
      </c>
      <c r="R211" s="6">
        <f>Q211-P211</f>
        <v/>
      </c>
    </row>
    <row r="212">
      <c r="P212" s="2" t="inlineStr">
        <is>
          <t>COSTUMESUPERVISOR LABOR</t>
        </is>
      </c>
      <c r="R212" s="8">
        <f>SUM(R211:R211)</f>
        <v/>
      </c>
    </row>
    <row r="214">
      <c r="B214" s="2" t="inlineStr">
        <is>
          <t>SETCOSTUMERS</t>
        </is>
      </c>
    </row>
    <row r="215">
      <c r="A215" s="5" t="inlineStr">
        <is>
          <t>2905</t>
        </is>
      </c>
      <c r="B215" s="5" t="inlineStr">
        <is>
          <t>Monavie Tutop</t>
        </is>
      </c>
      <c r="C215" s="5" t="inlineStr">
        <is>
          <t>COSTUMER#1</t>
        </is>
      </c>
      <c r="D215" s="5" t="inlineStr">
        <is>
          <t>Local705</t>
        </is>
      </c>
      <c r="E215" s="6" t="n">
        <v>23.04</v>
      </c>
      <c r="F215" s="5" t="n"/>
      <c r="G215" s="5" t="n"/>
      <c r="H215" s="5" t="n"/>
      <c r="I215" s="5" t="n"/>
      <c r="J215" s="7">
        <f>IF(AND(N(F215)&gt;0,N(I215)&gt;0),I215-F215-IF(N(G215)&gt;0,0.5,0)-IF(N(H215)&gt;0,0.5,0),0)</f>
        <v/>
      </c>
      <c r="K215" s="5" t="n"/>
      <c r="L215" s="7">
        <f>MIN(J215,8.0)</f>
        <v/>
      </c>
      <c r="M215" s="7">
        <f>MAX(0,MIN(J215,12)-8.0)</f>
        <v/>
      </c>
      <c r="N215" s="7">
        <f>MAX(0,J215-12)</f>
        <v/>
      </c>
      <c r="O215" s="5" t="n"/>
      <c r="P215" s="6">
        <f>E215*(L215+M215*1.5+N215*2+O215*3+N(K215))</f>
        <v/>
      </c>
      <c r="Q215" s="6" t="n">
        <v>397.43</v>
      </c>
      <c r="R215" s="6">
        <f>Q215-P215</f>
        <v/>
      </c>
    </row>
    <row r="216">
      <c r="A216" s="5" t="inlineStr">
        <is>
          <t>2905</t>
        </is>
      </c>
      <c r="B216" s="5" t="inlineStr"/>
      <c r="C216" s="5" t="inlineStr">
        <is>
          <t>COSTUMER#2</t>
        </is>
      </c>
      <c r="D216" s="5" t="inlineStr">
        <is>
          <t>Local705</t>
        </is>
      </c>
      <c r="E216" s="6" t="n">
        <v>20.57</v>
      </c>
      <c r="F216" s="5" t="n"/>
      <c r="G216" s="5" t="n"/>
      <c r="H216" s="5" t="n"/>
      <c r="I216" s="5" t="n"/>
      <c r="J216" s="7">
        <f>IF(AND(N(F216)&gt;0,N(I216)&gt;0),I216-F216-IF(N(G216)&gt;0,0.5,0)-IF(N(H216)&gt;0,0.5,0),0)</f>
        <v/>
      </c>
      <c r="K216" s="5" t="n"/>
      <c r="L216" s="7">
        <f>MIN(J216,8.0)</f>
        <v/>
      </c>
      <c r="M216" s="7">
        <f>MAX(0,MIN(J216,12)-8.0)</f>
        <v/>
      </c>
      <c r="N216" s="7">
        <f>MAX(0,J216-12)</f>
        <v/>
      </c>
      <c r="O216" s="5" t="n"/>
      <c r="P216" s="6">
        <f>E216*(L216+M216*1.5+N216*2+O216*3+N(K216))</f>
        <v/>
      </c>
      <c r="Q216" s="6" t="n">
        <v>354.83</v>
      </c>
      <c r="R216" s="6">
        <f>Q216-P216</f>
        <v/>
      </c>
    </row>
    <row r="217">
      <c r="P217" s="2" t="inlineStr">
        <is>
          <t>SETCOSTUMERS LABOR</t>
        </is>
      </c>
      <c r="R217" s="8">
        <f>SUM(R215:R216)</f>
        <v/>
      </c>
    </row>
    <row r="219">
      <c r="B219" s="2" t="inlineStr">
        <is>
          <t>KEYMAKE-UP</t>
        </is>
      </c>
    </row>
    <row r="220">
      <c r="A220" s="5" t="inlineStr">
        <is>
          <t>3101</t>
        </is>
      </c>
      <c r="B220" s="5" t="inlineStr">
        <is>
          <t>Eleanor Sabaduquia</t>
        </is>
      </c>
      <c r="C220" s="5" t="inlineStr">
        <is>
          <t>KEYMAKEUPARTIST</t>
        </is>
      </c>
      <c r="D220" s="5" t="inlineStr">
        <is>
          <t>Local706</t>
        </is>
      </c>
      <c r="E220" s="6" t="n">
        <v>25.5</v>
      </c>
      <c r="F220" s="5" t="n"/>
      <c r="G220" s="5" t="n"/>
      <c r="H220" s="5" t="n"/>
      <c r="I220" s="5" t="n"/>
      <c r="J220" s="7">
        <f>IF(AND(N(F220)&gt;0,N(I220)&gt;0),I220-F220-IF(N(G220)&gt;0,0.5,0)-IF(N(H220)&gt;0,0.5,0),0)</f>
        <v/>
      </c>
      <c r="K220" s="5" t="n"/>
      <c r="L220" s="7">
        <f>MIN(J220,10.0)</f>
        <v/>
      </c>
      <c r="M220" s="7">
        <f>MAX(0,MIN(J220,12)-10.0)</f>
        <v/>
      </c>
      <c r="N220" s="7">
        <f>MAX(0,J220-12)</f>
        <v/>
      </c>
      <c r="O220" s="5" t="n"/>
      <c r="P220" s="6">
        <f>E220*(L220+M220*1.5+N220*2+O220*3+N(K220))</f>
        <v/>
      </c>
      <c r="Q220" s="6" t="n">
        <v>439.87</v>
      </c>
      <c r="R220" s="6">
        <f>Q220-P220</f>
        <v/>
      </c>
    </row>
    <row r="221">
      <c r="P221" s="2" t="inlineStr">
        <is>
          <t>KEYMAKE-UP LABOR</t>
        </is>
      </c>
      <c r="R221" s="8">
        <f>SUM(R220:R220)</f>
        <v/>
      </c>
    </row>
    <row r="223">
      <c r="B223" s="2" t="inlineStr">
        <is>
          <t>ASSTMAKE-UP</t>
        </is>
      </c>
    </row>
    <row r="224">
      <c r="A224" s="5" t="inlineStr">
        <is>
          <t>3102</t>
        </is>
      </c>
      <c r="B224" s="5" t="inlineStr">
        <is>
          <t>Yoko Nobushi</t>
        </is>
      </c>
      <c r="C224" s="5" t="inlineStr">
        <is>
          <t>ASSTMAKEUPARTIST#1</t>
        </is>
      </c>
      <c r="D224" s="5" t="inlineStr">
        <is>
          <t>Local706</t>
        </is>
      </c>
      <c r="E224" s="6" t="n">
        <v>23.04</v>
      </c>
      <c r="F224" s="5" t="n"/>
      <c r="G224" s="5" t="n"/>
      <c r="H224" s="5" t="n"/>
      <c r="I224" s="5" t="n"/>
      <c r="J224" s="7">
        <f>IF(AND(N(F224)&gt;0,N(I224)&gt;0),I224-F224-IF(N(G224)&gt;0,0.5,0)-IF(N(H224)&gt;0,0.5,0),0)</f>
        <v/>
      </c>
      <c r="K224" s="5" t="n"/>
      <c r="L224" s="7">
        <f>MIN(J224,10.0)</f>
        <v/>
      </c>
      <c r="M224" s="7">
        <f>MAX(0,MIN(J224,12)-10.0)</f>
        <v/>
      </c>
      <c r="N224" s="7">
        <f>MAX(0,J224-12)</f>
        <v/>
      </c>
      <c r="O224" s="5" t="n"/>
      <c r="P224" s="6">
        <f>E224*(L224+M224*1.5+N224*2+O224*3+N(K224))</f>
        <v/>
      </c>
      <c r="Q224" s="6" t="n">
        <v>397.43</v>
      </c>
      <c r="R224" s="6">
        <f>Q224-P224</f>
        <v/>
      </c>
    </row>
    <row r="225">
      <c r="P225" s="2" t="inlineStr">
        <is>
          <t>ASSTMAKE-UP LABOR</t>
        </is>
      </c>
      <c r="R225" s="8">
        <f>SUM(R224:R224)</f>
        <v/>
      </c>
    </row>
    <row r="227">
      <c r="B227" s="2" t="inlineStr">
        <is>
          <t>ADDITIONALMAKE-UPLABOR</t>
        </is>
      </c>
    </row>
    <row r="228">
      <c r="A228" s="5" t="inlineStr">
        <is>
          <t>3103</t>
        </is>
      </c>
      <c r="B228" s="5" t="inlineStr"/>
      <c r="C228" s="5" t="inlineStr">
        <is>
          <t>ADDLMAKEUPARTISTDAYS</t>
        </is>
      </c>
      <c r="D228" s="5" t="inlineStr">
        <is>
          <t>Local706</t>
        </is>
      </c>
      <c r="E228" s="6" t="n">
        <v>23.04</v>
      </c>
      <c r="F228" s="5" t="n"/>
      <c r="G228" s="5" t="n"/>
      <c r="H228" s="5" t="n"/>
      <c r="I228" s="5" t="n"/>
      <c r="J228" s="7">
        <f>IF(AND(N(F228)&gt;0,N(I228)&gt;0),I228-F228-IF(N(G228)&gt;0,0.5,0)-IF(N(H228)&gt;0,0.5,0),0)</f>
        <v/>
      </c>
      <c r="K228" s="5" t="n"/>
      <c r="L228" s="7">
        <f>MIN(J228,10.0)</f>
        <v/>
      </c>
      <c r="M228" s="7">
        <f>MAX(0,MIN(J228,12)-10.0)</f>
        <v/>
      </c>
      <c r="N228" s="7">
        <f>MAX(0,J228-12)</f>
        <v/>
      </c>
      <c r="O228" s="5" t="n"/>
      <c r="P228" s="6">
        <f>E228*(L228+M228*1.5+N228*2+O228*3+N(K228))</f>
        <v/>
      </c>
      <c r="Q228" s="6" t="n">
        <v>397.43</v>
      </c>
      <c r="R228" s="6">
        <f>Q228-P228</f>
        <v/>
      </c>
    </row>
    <row r="229">
      <c r="P229" s="2" t="inlineStr">
        <is>
          <t>ADDITIONALMAKE-UPLABOR LABOR</t>
        </is>
      </c>
      <c r="R229" s="8">
        <f>SUM(R228:R228)</f>
        <v/>
      </c>
    </row>
    <row r="231">
      <c r="B231" s="2" t="inlineStr">
        <is>
          <t>PROSTHETICS</t>
        </is>
      </c>
    </row>
    <row r="232">
      <c r="A232" s="5" t="inlineStr">
        <is>
          <t>3105</t>
        </is>
      </c>
      <c r="B232" s="5" t="inlineStr"/>
      <c r="C232" s="5" t="inlineStr">
        <is>
          <t>PROSTHETICMAKEUPARTIST</t>
        </is>
      </c>
      <c r="D232" s="5" t="inlineStr">
        <is>
          <t>Local706</t>
        </is>
      </c>
      <c r="E232" s="6" t="n">
        <v>25.5</v>
      </c>
      <c r="F232" s="5" t="n"/>
      <c r="G232" s="5" t="n"/>
      <c r="H232" s="5" t="n"/>
      <c r="I232" s="5" t="n"/>
      <c r="J232" s="7">
        <f>IF(AND(N(F232)&gt;0,N(I232)&gt;0),I232-F232-IF(N(G232)&gt;0,0.5,0)-IF(N(H232)&gt;0,0.5,0),0)</f>
        <v/>
      </c>
      <c r="K232" s="5" t="n"/>
      <c r="L232" s="7">
        <f>MIN(J232,10.0)</f>
        <v/>
      </c>
      <c r="M232" s="7">
        <f>MAX(0,MIN(J232,12)-10.0)</f>
        <v/>
      </c>
      <c r="N232" s="7">
        <f>MAX(0,J232-12)</f>
        <v/>
      </c>
      <c r="O232" s="5" t="n"/>
      <c r="P232" s="6">
        <f>E232*(L232+M232*1.5+N232*2+O232*3+N(K232))</f>
        <v/>
      </c>
      <c r="Q232" s="6" t="n">
        <v>439.87</v>
      </c>
      <c r="R232" s="6">
        <f>Q232-P232</f>
        <v/>
      </c>
    </row>
    <row r="233">
      <c r="A233" s="5" t="inlineStr">
        <is>
          <t>3105</t>
        </is>
      </c>
      <c r="B233" s="5" t="inlineStr"/>
      <c r="C233" s="5" t="inlineStr">
        <is>
          <t>LENSCONSULTANT</t>
        </is>
      </c>
      <c r="D233" s="5" t="inlineStr"/>
      <c r="E233" s="6" t="n">
        <v>50</v>
      </c>
      <c r="F233" s="5" t="n"/>
      <c r="G233" s="5" t="n"/>
      <c r="H233" s="5" t="n"/>
      <c r="I233" s="5" t="n"/>
      <c r="J233" s="7">
        <f>IF(AND(N(F233)&gt;0,N(I233)&gt;0),I233-F233-IF(N(G233)&gt;0,0.5,0)-IF(N(H233)&gt;0,0.5,0),0)</f>
        <v/>
      </c>
      <c r="K233" s="5" t="n"/>
      <c r="L233" s="7">
        <f>MIN(J233,8.0)</f>
        <v/>
      </c>
      <c r="M233" s="7">
        <f>MAX(0,MIN(J233,12)-8.0)</f>
        <v/>
      </c>
      <c r="N233" s="7">
        <f>MAX(0,J233-12)</f>
        <v/>
      </c>
      <c r="O233" s="5" t="n"/>
      <c r="P233" s="6">
        <f>E233*(L233+M233*1.5+N233*2+O233*3+N(K233))</f>
        <v/>
      </c>
      <c r="Q233" s="6" t="n">
        <v>862.53</v>
      </c>
      <c r="R233" s="6">
        <f>Q233-P233</f>
        <v/>
      </c>
    </row>
    <row r="234">
      <c r="P234" s="2" t="inlineStr">
        <is>
          <t>PROSTHETICS LABOR</t>
        </is>
      </c>
      <c r="R234" s="8">
        <f>SUM(R232:R233)</f>
        <v/>
      </c>
    </row>
    <row r="236">
      <c r="B236" s="2" t="inlineStr">
        <is>
          <t>KEYHAIR</t>
        </is>
      </c>
    </row>
    <row r="237">
      <c r="A237" s="5" t="inlineStr">
        <is>
          <t>3111</t>
        </is>
      </c>
      <c r="B237" s="5" t="inlineStr">
        <is>
          <t>Traci Smithe</t>
        </is>
      </c>
      <c r="C237" s="5" t="inlineStr">
        <is>
          <t>KEYHAIR</t>
        </is>
      </c>
      <c r="D237" s="5" t="inlineStr">
        <is>
          <t>Local706</t>
        </is>
      </c>
      <c r="E237" s="6" t="n">
        <v>25.5</v>
      </c>
      <c r="F237" s="5" t="n"/>
      <c r="G237" s="5" t="n"/>
      <c r="H237" s="5" t="n"/>
      <c r="I237" s="5" t="n"/>
      <c r="J237" s="7">
        <f>IF(AND(N(F237)&gt;0,N(I237)&gt;0),I237-F237-IF(N(G237)&gt;0,0.5,0)-IF(N(H237)&gt;0,0.5,0),0)</f>
        <v/>
      </c>
      <c r="K237" s="5" t="n"/>
      <c r="L237" s="7">
        <f>MIN(J237,10.0)</f>
        <v/>
      </c>
      <c r="M237" s="7">
        <f>MAX(0,MIN(J237,12)-10.0)</f>
        <v/>
      </c>
      <c r="N237" s="7">
        <f>MAX(0,J237-12)</f>
        <v/>
      </c>
      <c r="O237" s="5" t="n"/>
      <c r="P237" s="6">
        <f>E237*(L237+M237*1.5+N237*2+O237*3+N(K237))</f>
        <v/>
      </c>
      <c r="Q237" s="6" t="n">
        <v>439.87</v>
      </c>
      <c r="R237" s="6">
        <f>Q237-P237</f>
        <v/>
      </c>
    </row>
    <row r="238">
      <c r="P238" s="2" t="inlineStr">
        <is>
          <t>KEYHAIR LABOR</t>
        </is>
      </c>
      <c r="R238" s="8">
        <f>SUM(R237:R237)</f>
        <v/>
      </c>
    </row>
    <row r="240">
      <c r="B240" s="2" t="inlineStr">
        <is>
          <t>ASSTHAIR</t>
        </is>
      </c>
    </row>
    <row r="241">
      <c r="A241" s="5" t="inlineStr">
        <is>
          <t>3112</t>
        </is>
      </c>
      <c r="B241" s="5" t="inlineStr">
        <is>
          <t>Yunea Cruz</t>
        </is>
      </c>
      <c r="C241" s="5" t="inlineStr">
        <is>
          <t>ASSTHAIRSTYLIST#1</t>
        </is>
      </c>
      <c r="D241" s="5" t="inlineStr">
        <is>
          <t>Local706</t>
        </is>
      </c>
      <c r="E241" s="6" t="n">
        <v>23.04</v>
      </c>
      <c r="F241" s="5" t="n"/>
      <c r="G241" s="5" t="n"/>
      <c r="H241" s="5" t="n"/>
      <c r="I241" s="5" t="n"/>
      <c r="J241" s="7">
        <f>IF(AND(N(F241)&gt;0,N(I241)&gt;0),I241-F241-IF(N(G241)&gt;0,0.5,0)-IF(N(H241)&gt;0,0.5,0),0)</f>
        <v/>
      </c>
      <c r="K241" s="5" t="n"/>
      <c r="L241" s="7">
        <f>MIN(J241,10.0)</f>
        <v/>
      </c>
      <c r="M241" s="7">
        <f>MAX(0,MIN(J241,12)-10.0)</f>
        <v/>
      </c>
      <c r="N241" s="7">
        <f>MAX(0,J241-12)</f>
        <v/>
      </c>
      <c r="O241" s="5" t="n"/>
      <c r="P241" s="6">
        <f>E241*(L241+M241*1.5+N241*2+O241*3+N(K241))</f>
        <v/>
      </c>
      <c r="Q241" s="6" t="n">
        <v>397.43</v>
      </c>
      <c r="R241" s="6">
        <f>Q241-P241</f>
        <v/>
      </c>
    </row>
    <row r="242">
      <c r="P242" s="2" t="inlineStr">
        <is>
          <t>ASSTHAIR LABOR</t>
        </is>
      </c>
      <c r="R242" s="8">
        <f>SUM(R241:R241)</f>
        <v/>
      </c>
    </row>
    <row r="244">
      <c r="B244" s="2" t="inlineStr">
        <is>
          <t>ADDITIONALHAIRLABOR</t>
        </is>
      </c>
    </row>
    <row r="245">
      <c r="A245" s="5" t="inlineStr">
        <is>
          <t>3113</t>
        </is>
      </c>
      <c r="B245" s="5" t="inlineStr"/>
      <c r="C245" s="5" t="inlineStr">
        <is>
          <t>ADDLHAIRSTYLISTDAYS</t>
        </is>
      </c>
      <c r="D245" s="5" t="inlineStr">
        <is>
          <t>Local706</t>
        </is>
      </c>
      <c r="E245" s="6" t="n">
        <v>23.04</v>
      </c>
      <c r="F245" s="5" t="n"/>
      <c r="G245" s="5" t="n"/>
      <c r="H245" s="5" t="n"/>
      <c r="I245" s="5" t="n"/>
      <c r="J245" s="7">
        <f>IF(AND(N(F245)&gt;0,N(I245)&gt;0),I245-F245-IF(N(G245)&gt;0,0.5,0)-IF(N(H245)&gt;0,0.5,0),0)</f>
        <v/>
      </c>
      <c r="K245" s="5" t="n"/>
      <c r="L245" s="7">
        <f>MIN(J245,10.0)</f>
        <v/>
      </c>
      <c r="M245" s="7">
        <f>MAX(0,MIN(J245,12)-10.0)</f>
        <v/>
      </c>
      <c r="N245" s="7">
        <f>MAX(0,J245-12)</f>
        <v/>
      </c>
      <c r="O245" s="5" t="n"/>
      <c r="P245" s="6">
        <f>E245*(L245+M245*1.5+N245*2+O245*3+N(K245))</f>
        <v/>
      </c>
      <c r="Q245" s="6" t="n">
        <v>397.43</v>
      </c>
      <c r="R245" s="6">
        <f>Q245-P245</f>
        <v/>
      </c>
    </row>
    <row r="246">
      <c r="P246" s="2" t="inlineStr">
        <is>
          <t>ADDITIONALHAIRLABOR LABOR</t>
        </is>
      </c>
      <c r="R246" s="8">
        <f>SUM(R245:R245)</f>
        <v/>
      </c>
    </row>
    <row r="248">
      <c r="B248" s="2" t="inlineStr">
        <is>
          <t>GAFFER</t>
        </is>
      </c>
    </row>
    <row r="249">
      <c r="A249" s="5" t="inlineStr">
        <is>
          <t>3201</t>
        </is>
      </c>
      <c r="B249" s="5" t="inlineStr">
        <is>
          <t>Nicholas Kaat</t>
        </is>
      </c>
      <c r="C249" s="5" t="inlineStr">
        <is>
          <t>GAFFER</t>
        </is>
      </c>
      <c r="D249" s="5" t="inlineStr">
        <is>
          <t>Local728</t>
        </is>
      </c>
      <c r="E249" s="6" t="n">
        <v>25.5</v>
      </c>
      <c r="F249" s="5" t="n"/>
      <c r="G249" s="5" t="n"/>
      <c r="H249" s="5" t="n"/>
      <c r="I249" s="5" t="n"/>
      <c r="J249" s="7">
        <f>IF(AND(N(F249)&gt;0,N(I249)&gt;0),I249-F249-IF(N(G249)&gt;0,0.5,0)-IF(N(H249)&gt;0,0.5,0),0)</f>
        <v/>
      </c>
      <c r="K249" s="5" t="n"/>
      <c r="L249" s="7">
        <f>MIN(J249,10.0)</f>
        <v/>
      </c>
      <c r="M249" s="7">
        <f>MAX(0,MIN(J249,12)-10.0)</f>
        <v/>
      </c>
      <c r="N249" s="7">
        <f>MAX(0,J249-12)</f>
        <v/>
      </c>
      <c r="O249" s="5" t="n"/>
      <c r="P249" s="6">
        <f>E249*(L249+M249*1.5+N249*2+O249*3+N(K249))</f>
        <v/>
      </c>
      <c r="Q249" s="6" t="n">
        <v>395.25</v>
      </c>
      <c r="R249" s="6">
        <f>Q249-P249</f>
        <v/>
      </c>
    </row>
    <row r="250">
      <c r="P250" s="2" t="inlineStr">
        <is>
          <t>GAFFER LABOR</t>
        </is>
      </c>
      <c r="R250" s="8">
        <f>SUM(R249:R249)</f>
        <v/>
      </c>
    </row>
    <row r="252">
      <c r="B252" s="2" t="inlineStr">
        <is>
          <t>BESTBOYELECTRIC</t>
        </is>
      </c>
    </row>
    <row r="253">
      <c r="A253" s="5" t="inlineStr">
        <is>
          <t>3202</t>
        </is>
      </c>
      <c r="B253" s="5" t="inlineStr">
        <is>
          <t>Nathan Fetzer</t>
        </is>
      </c>
      <c r="C253" s="5" t="inlineStr">
        <is>
          <t>BESTBOYELECTRIC</t>
        </is>
      </c>
      <c r="D253" s="5" t="inlineStr">
        <is>
          <t>Local728</t>
        </is>
      </c>
      <c r="E253" s="6" t="n">
        <v>23.04</v>
      </c>
      <c r="F253" s="5" t="n"/>
      <c r="G253" s="5" t="n"/>
      <c r="H253" s="5" t="n"/>
      <c r="I253" s="5" t="n"/>
      <c r="J253" s="7">
        <f>IF(AND(N(F253)&gt;0,N(I253)&gt;0),I253-F253-IF(N(G253)&gt;0,0.5,0)-IF(N(H253)&gt;0,0.5,0),0)</f>
        <v/>
      </c>
      <c r="K253" s="5" t="n"/>
      <c r="L253" s="7">
        <f>MIN(J253,10.0)</f>
        <v/>
      </c>
      <c r="M253" s="7">
        <f>MAX(0,MIN(J253,12)-10.0)</f>
        <v/>
      </c>
      <c r="N253" s="7">
        <f>MAX(0,J253-12)</f>
        <v/>
      </c>
      <c r="O253" s="5" t="n"/>
      <c r="P253" s="6">
        <f>E253*(L253+M253*1.5+N253*2+O253*3+N(K253))</f>
        <v/>
      </c>
      <c r="Q253" s="6" t="n">
        <v>357.12</v>
      </c>
      <c r="R253" s="6">
        <f>Q253-P253</f>
        <v/>
      </c>
    </row>
    <row r="254">
      <c r="A254" s="5" t="inlineStr">
        <is>
          <t>3202</t>
        </is>
      </c>
      <c r="B254" s="5" t="inlineStr"/>
      <c r="C254" s="5" t="inlineStr">
        <is>
          <t>STUDIOBESTBOYELECTRIC</t>
        </is>
      </c>
      <c r="D254" s="5" t="inlineStr">
        <is>
          <t>Local728</t>
        </is>
      </c>
      <c r="E254" s="6" t="n">
        <v>43.05</v>
      </c>
      <c r="F254" s="5" t="n"/>
      <c r="G254" s="5" t="n"/>
      <c r="H254" s="5" t="n"/>
      <c r="I254" s="5" t="n"/>
      <c r="J254" s="7">
        <f>IF(AND(N(F254)&gt;0,N(I254)&gt;0),I254-F254-IF(N(G254)&gt;0,0.5,0)-IF(N(H254)&gt;0,0.5,0),0)</f>
        <v/>
      </c>
      <c r="K254" s="5" t="n"/>
      <c r="L254" s="7">
        <f>MIN(J254,10.0)</f>
        <v/>
      </c>
      <c r="M254" s="7">
        <f>MAX(0,MIN(J254,12)-10.0)</f>
        <v/>
      </c>
      <c r="N254" s="7">
        <f>MAX(0,J254-12)</f>
        <v/>
      </c>
      <c r="O254" s="5" t="n"/>
      <c r="P254" s="6">
        <f>E254*(L254+M254*1.5+N254*2+O254*3+N(K254))</f>
        <v/>
      </c>
      <c r="Q254" s="6" t="n">
        <v>667.27</v>
      </c>
      <c r="R254" s="6">
        <f>Q254-P254</f>
        <v/>
      </c>
    </row>
    <row r="255">
      <c r="P255" s="2" t="inlineStr">
        <is>
          <t>BESTBOYELECTRIC LABOR</t>
        </is>
      </c>
      <c r="R255" s="8">
        <f>SUM(R253:R254)</f>
        <v/>
      </c>
    </row>
    <row r="257">
      <c r="B257" s="2" t="inlineStr">
        <is>
          <t>ELECTRICIANS</t>
        </is>
      </c>
    </row>
    <row r="258">
      <c r="A258" s="5" t="inlineStr">
        <is>
          <t>3204</t>
        </is>
      </c>
      <c r="B258" s="5" t="inlineStr"/>
      <c r="C258" s="5" t="inlineStr">
        <is>
          <t>ELECTRICIAN#1</t>
        </is>
      </c>
      <c r="D258" s="5" t="inlineStr">
        <is>
          <t>Local728</t>
        </is>
      </c>
      <c r="E258" s="6" t="n">
        <v>20.57</v>
      </c>
      <c r="F258" s="5" t="n"/>
      <c r="G258" s="5" t="n"/>
      <c r="H258" s="5" t="n"/>
      <c r="I258" s="5" t="n"/>
      <c r="J258" s="7">
        <f>IF(AND(N(F258)&gt;0,N(I258)&gt;0),I258-F258-IF(N(G258)&gt;0,0.5,0)-IF(N(H258)&gt;0,0.5,0),0)</f>
        <v/>
      </c>
      <c r="K258" s="5" t="n"/>
      <c r="L258" s="7">
        <f>MIN(J258,10.0)</f>
        <v/>
      </c>
      <c r="M258" s="7">
        <f>MAX(0,MIN(J258,12)-10.0)</f>
        <v/>
      </c>
      <c r="N258" s="7">
        <f>MAX(0,J258-12)</f>
        <v/>
      </c>
      <c r="O258" s="5" t="n"/>
      <c r="P258" s="6">
        <f>E258*(L258+M258*1.5+N258*2+O258*3+N(K258))</f>
        <v/>
      </c>
      <c r="Q258" s="6" t="n">
        <v>318.83</v>
      </c>
      <c r="R258" s="6">
        <f>Q258-P258</f>
        <v/>
      </c>
    </row>
    <row r="259">
      <c r="A259" s="5" t="inlineStr">
        <is>
          <t>3204</t>
        </is>
      </c>
      <c r="B259" s="5" t="inlineStr"/>
      <c r="C259" s="5" t="inlineStr">
        <is>
          <t>ELECTRICIAN#2</t>
        </is>
      </c>
      <c r="D259" s="5" t="inlineStr">
        <is>
          <t>Local728</t>
        </is>
      </c>
      <c r="E259" s="6" t="n">
        <v>20.57</v>
      </c>
      <c r="F259" s="5" t="n"/>
      <c r="G259" s="5" t="n"/>
      <c r="H259" s="5" t="n"/>
      <c r="I259" s="5" t="n"/>
      <c r="J259" s="7">
        <f>IF(AND(N(F259)&gt;0,N(I259)&gt;0),I259-F259-IF(N(G259)&gt;0,0.5,0)-IF(N(H259)&gt;0,0.5,0),0)</f>
        <v/>
      </c>
      <c r="K259" s="5" t="n"/>
      <c r="L259" s="7">
        <f>MIN(J259,10.0)</f>
        <v/>
      </c>
      <c r="M259" s="7">
        <f>MAX(0,MIN(J259,12)-10.0)</f>
        <v/>
      </c>
      <c r="N259" s="7">
        <f>MAX(0,J259-12)</f>
        <v/>
      </c>
      <c r="O259" s="5" t="n"/>
      <c r="P259" s="6">
        <f>E259*(L259+M259*1.5+N259*2+O259*3+N(K259))</f>
        <v/>
      </c>
      <c r="Q259" s="6" t="n">
        <v>318.83</v>
      </c>
      <c r="R259" s="6">
        <f>Q259-P259</f>
        <v/>
      </c>
    </row>
    <row r="260">
      <c r="A260" s="5" t="inlineStr">
        <is>
          <t>3204</t>
        </is>
      </c>
      <c r="B260" s="5" t="inlineStr"/>
      <c r="C260" s="5" t="inlineStr">
        <is>
          <t>ELECTRICIAN#3</t>
        </is>
      </c>
      <c r="D260" s="5" t="inlineStr">
        <is>
          <t>Local728</t>
        </is>
      </c>
      <c r="E260" s="6" t="n">
        <v>20.57</v>
      </c>
      <c r="F260" s="5" t="n"/>
      <c r="G260" s="5" t="n"/>
      <c r="H260" s="5" t="n"/>
      <c r="I260" s="5" t="n"/>
      <c r="J260" s="7">
        <f>IF(AND(N(F260)&gt;0,N(I260)&gt;0),I260-F260-IF(N(G260)&gt;0,0.5,0)-IF(N(H260)&gt;0,0.5,0),0)</f>
        <v/>
      </c>
      <c r="K260" s="5" t="n"/>
      <c r="L260" s="7">
        <f>MIN(J260,10.0)</f>
        <v/>
      </c>
      <c r="M260" s="7">
        <f>MAX(0,MIN(J260,12)-10.0)</f>
        <v/>
      </c>
      <c r="N260" s="7">
        <f>MAX(0,J260-12)</f>
        <v/>
      </c>
      <c r="O260" s="5" t="n"/>
      <c r="P260" s="6">
        <f>E260*(L260+M260*1.5+N260*2+O260*3+N(K260))</f>
        <v/>
      </c>
      <c r="Q260" s="6" t="n">
        <v>318.83</v>
      </c>
      <c r="R260" s="6">
        <f>Q260-P260</f>
        <v/>
      </c>
    </row>
    <row r="261">
      <c r="P261" s="2" t="inlineStr">
        <is>
          <t>ELECTRICIANS LABOR</t>
        </is>
      </c>
      <c r="R261" s="8">
        <f>SUM(R258:R260)</f>
        <v/>
      </c>
    </row>
    <row r="263">
      <c r="B263" s="2" t="inlineStr">
        <is>
          <t>ADDITIONALELECTRICLABOR</t>
        </is>
      </c>
    </row>
    <row r="264">
      <c r="A264" s="5" t="inlineStr">
        <is>
          <t>3206</t>
        </is>
      </c>
      <c r="B264" s="5" t="inlineStr"/>
      <c r="C264" s="5" t="inlineStr">
        <is>
          <t>ELECTRICMANDAYS&amp;RIGGINGMANDAYS</t>
        </is>
      </c>
      <c r="D264" s="5" t="inlineStr">
        <is>
          <t>Local728</t>
        </is>
      </c>
      <c r="E264" s="6" t="n">
        <v>20.57</v>
      </c>
      <c r="F264" s="5" t="n"/>
      <c r="G264" s="5" t="n"/>
      <c r="H264" s="5" t="n"/>
      <c r="I264" s="5" t="n"/>
      <c r="J264" s="7">
        <f>IF(AND(N(F264)&gt;0,N(I264)&gt;0),I264-F264-IF(N(G264)&gt;0,0.5,0)-IF(N(H264)&gt;0,0.5,0),0)</f>
        <v/>
      </c>
      <c r="K264" s="5" t="n"/>
      <c r="L264" s="7">
        <f>MIN(J264,10.0)</f>
        <v/>
      </c>
      <c r="M264" s="7">
        <f>MAX(0,MIN(J264,12)-10.0)</f>
        <v/>
      </c>
      <c r="N264" s="7">
        <f>MAX(0,J264-12)</f>
        <v/>
      </c>
      <c r="O264" s="5" t="n"/>
      <c r="P264" s="6">
        <f>E264*(L264+M264*1.5+N264*2+O264*3+N(K264))</f>
        <v/>
      </c>
      <c r="Q264" s="6" t="n">
        <v>318.83</v>
      </c>
      <c r="R264" s="6">
        <f>Q264-P264</f>
        <v/>
      </c>
    </row>
    <row r="265">
      <c r="P265" s="2" t="inlineStr">
        <is>
          <t>ADDITIONALELECTRICLABOR LABOR</t>
        </is>
      </c>
      <c r="R265" s="8">
        <f>SUM(R264:R264)</f>
        <v/>
      </c>
    </row>
    <row r="267">
      <c r="B267" s="2" t="inlineStr">
        <is>
          <t>DIRECTOROFPHOTOGRAPHY</t>
        </is>
      </c>
    </row>
    <row r="268">
      <c r="A268" s="5" t="inlineStr">
        <is>
          <t>3301</t>
        </is>
      </c>
      <c r="B268" s="5" t="inlineStr">
        <is>
          <t>Michael Burgess</t>
        </is>
      </c>
      <c r="C268" s="5" t="inlineStr">
        <is>
          <t>DIRECTOROFPHOTOGRAPHY</t>
        </is>
      </c>
      <c r="D268" s="5" t="inlineStr">
        <is>
          <t>Local600</t>
        </is>
      </c>
      <c r="E268" s="6" t="n">
        <v>700</v>
      </c>
      <c r="F268" s="5" t="n"/>
      <c r="G268" s="5" t="n"/>
      <c r="H268" s="5" t="n"/>
      <c r="I268" s="5" t="n"/>
      <c r="J268" s="7">
        <f>IF(AND(N(F268)&gt;0,N(I268)&gt;0),I268-F268-IF(N(G268)&gt;0,0.5,0)-IF(N(H268)&gt;0,0.5,0),0)</f>
        <v/>
      </c>
      <c r="K268" s="5" t="n"/>
      <c r="L268" s="7">
        <f>MIN(J268,8.0)</f>
        <v/>
      </c>
      <c r="M268" s="7">
        <f>MAX(0,MIN(J268,12)-8.0)</f>
        <v/>
      </c>
      <c r="N268" s="7">
        <f>MAX(0,J268-12)</f>
        <v/>
      </c>
      <c r="O268" s="5" t="n"/>
      <c r="P268" s="6">
        <f>E268*(L268+M268*1.5+N268*2+O268*3+N(K268))</f>
        <v/>
      </c>
      <c r="Q268" s="6" t="n">
        <v>700</v>
      </c>
      <c r="R268" s="6">
        <f>Q268-P268</f>
        <v/>
      </c>
    </row>
    <row r="269">
      <c r="P269" s="2" t="inlineStr">
        <is>
          <t>DIRECTOROFPHOTOGRAPHY LABOR</t>
        </is>
      </c>
      <c r="R269" s="8">
        <f>SUM(R268:R268)</f>
        <v/>
      </c>
    </row>
    <row r="271">
      <c r="B271" s="2" t="inlineStr">
        <is>
          <t>CAMERAOPERATORS</t>
        </is>
      </c>
    </row>
    <row r="272">
      <c r="A272" s="5" t="inlineStr">
        <is>
          <t>3302</t>
        </is>
      </c>
      <c r="B272" s="5" t="inlineStr">
        <is>
          <t>Craig Bauer</t>
        </is>
      </c>
      <c r="C272" s="5" t="inlineStr">
        <is>
          <t>"B"CAMERAOP</t>
        </is>
      </c>
      <c r="D272" s="5" t="inlineStr">
        <is>
          <t>Local600</t>
        </is>
      </c>
      <c r="E272" s="6" t="n">
        <v>45</v>
      </c>
      <c r="F272" s="5" t="n"/>
      <c r="G272" s="5" t="n"/>
      <c r="H272" s="5" t="n"/>
      <c r="I272" s="5" t="n"/>
      <c r="J272" s="7">
        <f>IF(AND(N(F272)&gt;0,N(I272)&gt;0),I272-F272-IF(N(G272)&gt;0,0.5,0)-IF(N(H272)&gt;0,0.5,0),0)</f>
        <v/>
      </c>
      <c r="K272" s="5" t="n"/>
      <c r="L272" s="7">
        <f>MIN(J272,8.0)</f>
        <v/>
      </c>
      <c r="M272" s="7">
        <f>MAX(0,MIN(J272,12)-8.0)</f>
        <v/>
      </c>
      <c r="N272" s="7">
        <f>MAX(0,J272-12)</f>
        <v/>
      </c>
      <c r="O272" s="5" t="n"/>
      <c r="P272" s="6">
        <f>E272*(L272+M272*1.5+N272*2+O272*3+N(K272))</f>
        <v/>
      </c>
      <c r="Q272" s="6" t="n">
        <v>630</v>
      </c>
      <c r="R272" s="6">
        <f>Q272-P272</f>
        <v/>
      </c>
    </row>
    <row r="273">
      <c r="P273" s="2" t="inlineStr">
        <is>
          <t>CAMERAOPERATORS LABOR</t>
        </is>
      </c>
      <c r="R273" s="8">
        <f>SUM(R272:R272)</f>
        <v/>
      </c>
    </row>
    <row r="275">
      <c r="B275" s="2" t="inlineStr">
        <is>
          <t>DIGITALIMAGINGTECHS</t>
        </is>
      </c>
    </row>
    <row r="276">
      <c r="A276" s="5" t="inlineStr">
        <is>
          <t>3304</t>
        </is>
      </c>
      <c r="B276" s="5" t="inlineStr">
        <is>
          <t>Oliver Mancebo</t>
        </is>
      </c>
      <c r="C276" s="5" t="inlineStr">
        <is>
          <t>DIT</t>
        </is>
      </c>
      <c r="D276" s="5" t="inlineStr">
        <is>
          <t>Local600</t>
        </is>
      </c>
      <c r="E276" s="6" t="n">
        <v>35</v>
      </c>
      <c r="F276" s="5" t="n"/>
      <c r="G276" s="5" t="n"/>
      <c r="H276" s="5" t="n"/>
      <c r="I276" s="5" t="n"/>
      <c r="J276" s="7">
        <f>IF(AND(N(F276)&gt;0,N(I276)&gt;0),I276-F276-IF(N(G276)&gt;0,0.5,0)-IF(N(H276)&gt;0,0.5,0),0)</f>
        <v/>
      </c>
      <c r="K276" s="5" t="n"/>
      <c r="L276" s="7">
        <f>MIN(J276,8.0)</f>
        <v/>
      </c>
      <c r="M276" s="7">
        <f>MAX(0,MIN(J276,12)-8.0)</f>
        <v/>
      </c>
      <c r="N276" s="7">
        <f>MAX(0,J276-12)</f>
        <v/>
      </c>
      <c r="O276" s="5" t="n"/>
      <c r="P276" s="6">
        <f>E276*(L276+M276*1.5+N276*2+O276*3+N(K276))</f>
        <v/>
      </c>
      <c r="Q276" s="6" t="n">
        <v>542.5</v>
      </c>
      <c r="R276" s="6">
        <f>Q276-P276</f>
        <v/>
      </c>
    </row>
    <row r="277">
      <c r="P277" s="2" t="inlineStr">
        <is>
          <t>DIGITALIMAGINGTECHS LABOR</t>
        </is>
      </c>
      <c r="R277" s="8">
        <f>SUM(R276:R276)</f>
        <v/>
      </c>
    </row>
    <row r="279">
      <c r="B279" s="2" t="inlineStr">
        <is>
          <t>1STASSTCAMERA</t>
        </is>
      </c>
    </row>
    <row r="280">
      <c r="A280" s="5" t="inlineStr">
        <is>
          <t>3305</t>
        </is>
      </c>
      <c r="B280" s="5" t="inlineStr">
        <is>
          <t>Steve Cueva</t>
        </is>
      </c>
      <c r="C280" s="5" t="inlineStr">
        <is>
          <t>"A"CAMERA 1STAC</t>
        </is>
      </c>
      <c r="D280" s="5" t="inlineStr">
        <is>
          <t>Local600</t>
        </is>
      </c>
      <c r="E280" s="6" t="n">
        <v>25.5</v>
      </c>
      <c r="F280" s="5" t="n"/>
      <c r="G280" s="5" t="n"/>
      <c r="H280" s="5" t="n"/>
      <c r="I280" s="5" t="n"/>
      <c r="J280" s="7">
        <f>IF(AND(N(F280)&gt;0,N(I280)&gt;0),I280-F280-IF(N(G280)&gt;0,0.5,0)-IF(N(H280)&gt;0,0.5,0),0)</f>
        <v/>
      </c>
      <c r="K280" s="5" t="n"/>
      <c r="L280" s="7">
        <f>MIN(J280,8.0)</f>
        <v/>
      </c>
      <c r="M280" s="7">
        <f>MAX(0,MIN(J280,12)-8.0)</f>
        <v/>
      </c>
      <c r="N280" s="7">
        <f>MAX(0,J280-12)</f>
        <v/>
      </c>
      <c r="O280" s="5" t="n"/>
      <c r="P280" s="6">
        <f>E280*(L280+M280*1.5+N280*2+O280*3+N(K280))</f>
        <v/>
      </c>
      <c r="Q280" s="6" t="n">
        <v>395.25</v>
      </c>
      <c r="R280" s="6">
        <f>Q280-P280</f>
        <v/>
      </c>
    </row>
    <row r="281">
      <c r="A281" s="5" t="inlineStr">
        <is>
          <t>3305</t>
        </is>
      </c>
      <c r="B281" s="5" t="inlineStr">
        <is>
          <t>Chris Garcia</t>
        </is>
      </c>
      <c r="C281" s="5" t="inlineStr">
        <is>
          <t>"B"CAMERA 1STAC</t>
        </is>
      </c>
      <c r="D281" s="5" t="inlineStr">
        <is>
          <t>Local600</t>
        </is>
      </c>
      <c r="E281" s="6" t="n">
        <v>25.5</v>
      </c>
      <c r="F281" s="5" t="n"/>
      <c r="G281" s="5" t="n"/>
      <c r="H281" s="5" t="n"/>
      <c r="I281" s="5" t="n"/>
      <c r="J281" s="7">
        <f>IF(AND(N(F281)&gt;0,N(I281)&gt;0),I281-F281-IF(N(G281)&gt;0,0.5,0)-IF(N(H281)&gt;0,0.5,0),0)</f>
        <v/>
      </c>
      <c r="K281" s="5" t="n"/>
      <c r="L281" s="7">
        <f>MIN(J281,8.0)</f>
        <v/>
      </c>
      <c r="M281" s="7">
        <f>MAX(0,MIN(J281,12)-8.0)</f>
        <v/>
      </c>
      <c r="N281" s="7">
        <f>MAX(0,J281-12)</f>
        <v/>
      </c>
      <c r="O281" s="5" t="n"/>
      <c r="P281" s="6">
        <f>E281*(L281+M281*1.5+N281*2+O281*3+N(K281))</f>
        <v/>
      </c>
      <c r="Q281" s="6" t="n">
        <v>395.25</v>
      </c>
      <c r="R281" s="6">
        <f>Q281-P281</f>
        <v/>
      </c>
    </row>
    <row r="282">
      <c r="P282" s="2" t="inlineStr">
        <is>
          <t>1STASSTCAMERA LABOR</t>
        </is>
      </c>
      <c r="R282" s="8">
        <f>SUM(R280:R281)</f>
        <v/>
      </c>
    </row>
    <row r="284">
      <c r="B284" s="2" t="inlineStr">
        <is>
          <t>2NDASSTCAMERA</t>
        </is>
      </c>
    </row>
    <row r="285">
      <c r="A285" s="5" t="inlineStr">
        <is>
          <t>3306</t>
        </is>
      </c>
      <c r="B285" s="5" t="inlineStr">
        <is>
          <t>Manny Serrano</t>
        </is>
      </c>
      <c r="C285" s="5" t="inlineStr">
        <is>
          <t>"A"CAMERA 2NDAC</t>
        </is>
      </c>
      <c r="D285" s="5" t="inlineStr">
        <is>
          <t>Local600</t>
        </is>
      </c>
      <c r="E285" s="6" t="n">
        <v>23.04</v>
      </c>
      <c r="F285" s="5" t="n"/>
      <c r="G285" s="5" t="n"/>
      <c r="H285" s="5" t="n"/>
      <c r="I285" s="5" t="n"/>
      <c r="J285" s="7">
        <f>IF(AND(N(F285)&gt;0,N(I285)&gt;0),I285-F285-IF(N(G285)&gt;0,0.5,0)-IF(N(H285)&gt;0,0.5,0),0)</f>
        <v/>
      </c>
      <c r="K285" s="5" t="n"/>
      <c r="L285" s="7">
        <f>MIN(J285,8.0)</f>
        <v/>
      </c>
      <c r="M285" s="7">
        <f>MAX(0,MIN(J285,12)-8.0)</f>
        <v/>
      </c>
      <c r="N285" s="7">
        <f>MAX(0,J285-12)</f>
        <v/>
      </c>
      <c r="O285" s="5" t="n"/>
      <c r="P285" s="6">
        <f>E285*(L285+M285*1.5+N285*2+O285*3+N(K285))</f>
        <v/>
      </c>
      <c r="Q285" s="6" t="n">
        <v>357.12</v>
      </c>
      <c r="R285" s="6">
        <f>Q285-P285</f>
        <v/>
      </c>
    </row>
    <row r="286">
      <c r="A286" s="5" t="inlineStr">
        <is>
          <t>3306</t>
        </is>
      </c>
      <c r="B286" s="5" t="inlineStr"/>
      <c r="C286" s="5" t="inlineStr">
        <is>
          <t>"B"CAMERA 2NDAC</t>
        </is>
      </c>
      <c r="D286" s="5" t="inlineStr">
        <is>
          <t>Local600</t>
        </is>
      </c>
      <c r="E286" s="6" t="n">
        <v>23.04</v>
      </c>
      <c r="F286" s="5" t="n"/>
      <c r="G286" s="5" t="n"/>
      <c r="H286" s="5" t="n"/>
      <c r="I286" s="5" t="n"/>
      <c r="J286" s="7">
        <f>IF(AND(N(F286)&gt;0,N(I286)&gt;0),I286-F286-IF(N(G286)&gt;0,0.5,0)-IF(N(H286)&gt;0,0.5,0),0)</f>
        <v/>
      </c>
      <c r="K286" s="5" t="n"/>
      <c r="L286" s="7">
        <f>MIN(J286,8.0)</f>
        <v/>
      </c>
      <c r="M286" s="7">
        <f>MAX(0,MIN(J286,12)-8.0)</f>
        <v/>
      </c>
      <c r="N286" s="7">
        <f>MAX(0,J286-12)</f>
        <v/>
      </c>
      <c r="O286" s="5" t="n"/>
      <c r="P286" s="6">
        <f>E286*(L286+M286*1.5+N286*2+O286*3+N(K286))</f>
        <v/>
      </c>
      <c r="Q286" s="6" t="n">
        <v>357.12</v>
      </c>
      <c r="R286" s="6">
        <f>Q286-P286</f>
        <v/>
      </c>
    </row>
    <row r="287">
      <c r="P287" s="2" t="inlineStr">
        <is>
          <t>2NDASSTCAMERA LABOR</t>
        </is>
      </c>
      <c r="R287" s="8">
        <f>SUM(R285:R286)</f>
        <v/>
      </c>
    </row>
    <row r="289">
      <c r="B289" s="2" t="inlineStr">
        <is>
          <t>STILLPHOTOGRAPHER</t>
        </is>
      </c>
    </row>
    <row r="290">
      <c r="A290" s="5" t="inlineStr">
        <is>
          <t>3308</t>
        </is>
      </c>
      <c r="B290" s="5" t="inlineStr">
        <is>
          <t>Scott Patrick Green</t>
        </is>
      </c>
      <c r="C290" s="5" t="inlineStr">
        <is>
          <t>STILLPHOTOGRAPHER</t>
        </is>
      </c>
      <c r="D290" s="5" t="inlineStr">
        <is>
          <t>Local600</t>
        </is>
      </c>
      <c r="E290" s="6" t="n">
        <v>26.5</v>
      </c>
      <c r="F290" s="5" t="n"/>
      <c r="G290" s="5" t="n"/>
      <c r="H290" s="5" t="n"/>
      <c r="I290" s="5" t="n"/>
      <c r="J290" s="7">
        <f>IF(AND(N(F290)&gt;0,N(I290)&gt;0),I290-F290-IF(N(G290)&gt;0,0.5,0)-IF(N(H290)&gt;0,0.5,0),0)</f>
        <v/>
      </c>
      <c r="K290" s="5" t="n"/>
      <c r="L290" s="7">
        <f>MIN(J290,8.0)</f>
        <v/>
      </c>
      <c r="M290" s="7">
        <f>MAX(0,MIN(J290,12)-8.0)</f>
        <v/>
      </c>
      <c r="N290" s="7">
        <f>MAX(0,J290-12)</f>
        <v/>
      </c>
      <c r="O290" s="5" t="n"/>
      <c r="P290" s="6">
        <f>E290*(L290+M290*1.5+N290*2+O290*3+N(K290))</f>
        <v/>
      </c>
      <c r="Q290" s="6" t="n">
        <v>291.5</v>
      </c>
      <c r="R290" s="6">
        <f>Q290-P290</f>
        <v/>
      </c>
    </row>
    <row r="291">
      <c r="P291" s="2" t="inlineStr">
        <is>
          <t>STILLPHOTOGRAPHER LABOR</t>
        </is>
      </c>
      <c r="R291" s="8">
        <f>SUM(R290:R290)</f>
        <v/>
      </c>
    </row>
    <row r="293">
      <c r="B293" s="2" t="inlineStr">
        <is>
          <t>AERIAL/UNDERWATERPHOTOGRAPHY</t>
        </is>
      </c>
    </row>
    <row r="294">
      <c r="A294" s="5" t="inlineStr">
        <is>
          <t>3385</t>
        </is>
      </c>
      <c r="B294" s="5" t="inlineStr"/>
      <c r="C294" s="5" t="inlineStr">
        <is>
          <t>UNDERWATEROPERATOR</t>
        </is>
      </c>
      <c r="D294" s="5" t="inlineStr">
        <is>
          <t>Local600</t>
        </is>
      </c>
      <c r="E294" s="6" t="n">
        <v>65</v>
      </c>
      <c r="F294" s="5" t="n"/>
      <c r="G294" s="5" t="n"/>
      <c r="H294" s="5" t="n"/>
      <c r="I294" s="5" t="n"/>
      <c r="J294" s="7">
        <f>IF(AND(N(F294)&gt;0,N(I294)&gt;0),I294-F294-IF(N(G294)&gt;0,0.5,0)-IF(N(H294)&gt;0,0.5,0),0)</f>
        <v/>
      </c>
      <c r="K294" s="5" t="n"/>
      <c r="L294" s="7">
        <f>MIN(J294,8.0)</f>
        <v/>
      </c>
      <c r="M294" s="7">
        <f>MAX(0,MIN(J294,12)-8.0)</f>
        <v/>
      </c>
      <c r="N294" s="7">
        <f>MAX(0,J294-12)</f>
        <v/>
      </c>
      <c r="O294" s="5" t="n"/>
      <c r="P294" s="6">
        <f>E294*(L294+M294*1.5+N294*2+O294*3+N(K294))</f>
        <v/>
      </c>
      <c r="Q294" s="6" t="n">
        <v>910</v>
      </c>
      <c r="R294" s="6">
        <f>Q294-P294</f>
        <v/>
      </c>
    </row>
    <row r="295">
      <c r="P295" s="2" t="inlineStr">
        <is>
          <t>AERIAL/UNDERWATERPHOTOGRAPHY LABOR</t>
        </is>
      </c>
      <c r="R295" s="8">
        <f>SUM(R294:R294)</f>
        <v/>
      </c>
    </row>
    <row r="297">
      <c r="B297" s="2" t="inlineStr">
        <is>
          <t>SOUNDMIXER</t>
        </is>
      </c>
    </row>
    <row r="298">
      <c r="A298" s="5" t="inlineStr">
        <is>
          <t>3401</t>
        </is>
      </c>
      <c r="B298" s="5" t="inlineStr">
        <is>
          <t>Julian Howarth</t>
        </is>
      </c>
      <c r="C298" s="5" t="inlineStr">
        <is>
          <t>SOUNDMIXER</t>
        </is>
      </c>
      <c r="D298" s="5" t="inlineStr">
        <is>
          <t>Local695</t>
        </is>
      </c>
      <c r="E298" s="6" t="n">
        <v>26.5</v>
      </c>
      <c r="F298" s="5" t="n"/>
      <c r="G298" s="5" t="n"/>
      <c r="H298" s="5" t="n"/>
      <c r="I298" s="5" t="n"/>
      <c r="J298" s="7">
        <f>IF(AND(N(F298)&gt;0,N(I298)&gt;0),I298-F298-IF(N(G298)&gt;0,0.5,0)-IF(N(H298)&gt;0,0.5,0),0)</f>
        <v/>
      </c>
      <c r="K298" s="5" t="n"/>
      <c r="L298" s="7">
        <f>MIN(J298,10.0)</f>
        <v/>
      </c>
      <c r="M298" s="7">
        <f>MAX(0,MIN(J298,12)-10.0)</f>
        <v/>
      </c>
      <c r="N298" s="7">
        <f>MAX(0,J298-12)</f>
        <v/>
      </c>
      <c r="O298" s="5" t="n"/>
      <c r="P298" s="6">
        <f>E298*(L298+M298*1.5+N298*2+O298*3+N(K298))</f>
        <v/>
      </c>
      <c r="Q298" s="6" t="n">
        <v>410.75</v>
      </c>
      <c r="R298" s="6">
        <f>Q298-P298</f>
        <v/>
      </c>
    </row>
    <row r="299">
      <c r="P299" s="2" t="inlineStr">
        <is>
          <t>SOUNDMIXER LABOR</t>
        </is>
      </c>
      <c r="R299" s="8">
        <f>SUM(R298:R298)</f>
        <v/>
      </c>
    </row>
    <row r="301">
      <c r="B301" s="2" t="inlineStr">
        <is>
          <t>BOOMOPERATOR</t>
        </is>
      </c>
    </row>
    <row r="302">
      <c r="A302" s="5" t="inlineStr">
        <is>
          <t>3402</t>
        </is>
      </c>
      <c r="B302" s="5" t="inlineStr">
        <is>
          <t>Tim Song Jones</t>
        </is>
      </c>
      <c r="C302" s="5" t="inlineStr">
        <is>
          <t>BOOMOPERATOR</t>
        </is>
      </c>
      <c r="D302" s="5" t="inlineStr">
        <is>
          <t>Local695</t>
        </is>
      </c>
      <c r="E302" s="6" t="n">
        <v>23.04</v>
      </c>
      <c r="F302" s="5" t="n"/>
      <c r="G302" s="5" t="n"/>
      <c r="H302" s="5" t="n"/>
      <c r="I302" s="5" t="n"/>
      <c r="J302" s="7">
        <f>IF(AND(N(F302)&gt;0,N(I302)&gt;0),I302-F302-IF(N(G302)&gt;0,0.5,0)-IF(N(H302)&gt;0,0.5,0),0)</f>
        <v/>
      </c>
      <c r="K302" s="5" t="n"/>
      <c r="L302" s="7">
        <f>MIN(J302,10.0)</f>
        <v/>
      </c>
      <c r="M302" s="7">
        <f>MAX(0,MIN(J302,12)-10.0)</f>
        <v/>
      </c>
      <c r="N302" s="7">
        <f>MAX(0,J302-12)</f>
        <v/>
      </c>
      <c r="O302" s="5" t="n"/>
      <c r="P302" s="6">
        <f>E302*(L302+M302*1.5+N302*2+O302*3+N(K302))</f>
        <v/>
      </c>
      <c r="Q302" s="6" t="n">
        <v>357.12</v>
      </c>
      <c r="R302" s="6">
        <f>Q302-P302</f>
        <v/>
      </c>
    </row>
    <row r="303">
      <c r="P303" s="2" t="inlineStr">
        <is>
          <t>BOOMOPERATOR LABOR</t>
        </is>
      </c>
      <c r="R303" s="8">
        <f>SUM(R302:R302)</f>
        <v/>
      </c>
    </row>
    <row r="305">
      <c r="B305" s="2" t="inlineStr">
        <is>
          <t>CABLEPERSON</t>
        </is>
      </c>
    </row>
    <row r="306">
      <c r="A306" s="5" t="inlineStr">
        <is>
          <t>3403</t>
        </is>
      </c>
      <c r="B306" s="5" t="inlineStr"/>
      <c r="C306" s="5" t="inlineStr">
        <is>
          <t>UTILITYSOUND</t>
        </is>
      </c>
      <c r="D306" s="5" t="inlineStr">
        <is>
          <t>Local695</t>
        </is>
      </c>
      <c r="E306" s="6" t="n">
        <v>20.57</v>
      </c>
      <c r="F306" s="5" t="n"/>
      <c r="G306" s="5" t="n"/>
      <c r="H306" s="5" t="n"/>
      <c r="I306" s="5" t="n"/>
      <c r="J306" s="7">
        <f>IF(AND(N(F306)&gt;0,N(I306)&gt;0),I306-F306-IF(N(G306)&gt;0,0.5,0)-IF(N(H306)&gt;0,0.5,0),0)</f>
        <v/>
      </c>
      <c r="K306" s="5" t="n"/>
      <c r="L306" s="7">
        <f>MIN(J306,10.0)</f>
        <v/>
      </c>
      <c r="M306" s="7">
        <f>MAX(0,MIN(J306,12)-10.0)</f>
        <v/>
      </c>
      <c r="N306" s="7">
        <f>MAX(0,J306-12)</f>
        <v/>
      </c>
      <c r="O306" s="5" t="n"/>
      <c r="P306" s="6">
        <f>E306*(L306+M306*1.5+N306*2+O306*3+N(K306))</f>
        <v/>
      </c>
      <c r="Q306" s="6" t="n">
        <v>318.83</v>
      </c>
      <c r="R306" s="6">
        <f>Q306-P306</f>
        <v/>
      </c>
    </row>
    <row r="307">
      <c r="P307" s="2" t="inlineStr">
        <is>
          <t>CABLEPERSON LABOR</t>
        </is>
      </c>
      <c r="R307" s="8">
        <f>SUM(R306:R306)</f>
        <v/>
      </c>
    </row>
    <row r="309">
      <c r="B309" s="2" t="inlineStr">
        <is>
          <t>VIDEOASSIST</t>
        </is>
      </c>
    </row>
    <row r="310">
      <c r="A310" s="5" t="inlineStr">
        <is>
          <t>3404</t>
        </is>
      </c>
      <c r="B310" s="5" t="inlineStr">
        <is>
          <t>Jeff Snyder</t>
        </is>
      </c>
      <c r="C310" s="5" t="inlineStr">
        <is>
          <t>VIDEOASSISTOPERATOR</t>
        </is>
      </c>
      <c r="D310" s="5" t="inlineStr">
        <is>
          <t>Local695</t>
        </is>
      </c>
      <c r="E310" s="6" t="n">
        <v>23.04</v>
      </c>
      <c r="F310" s="5" t="n"/>
      <c r="G310" s="5" t="n"/>
      <c r="H310" s="5" t="n"/>
      <c r="I310" s="5" t="n"/>
      <c r="J310" s="7">
        <f>IF(AND(N(F310)&gt;0,N(I310)&gt;0),I310-F310-IF(N(G310)&gt;0,0.5,0)-IF(N(H310)&gt;0,0.5,0),0)</f>
        <v/>
      </c>
      <c r="K310" s="5" t="n"/>
      <c r="L310" s="7">
        <f>MIN(J310,10.0)</f>
        <v/>
      </c>
      <c r="M310" s="7">
        <f>MAX(0,MIN(J310,12)-10.0)</f>
        <v/>
      </c>
      <c r="N310" s="7">
        <f>MAX(0,J310-12)</f>
        <v/>
      </c>
      <c r="O310" s="5" t="n"/>
      <c r="P310" s="6">
        <f>E310*(L310+M310*1.5+N310*2+O310*3+N(K310))</f>
        <v/>
      </c>
      <c r="Q310" s="6" t="n">
        <v>357.12</v>
      </c>
      <c r="R310" s="6">
        <f>Q310-P310</f>
        <v/>
      </c>
    </row>
    <row r="311">
      <c r="P311" s="2" t="inlineStr">
        <is>
          <t>VIDEOASSIST LABOR</t>
        </is>
      </c>
      <c r="R311" s="8">
        <f>SUM(R310:R310)</f>
        <v/>
      </c>
    </row>
    <row r="313">
      <c r="B313" s="2" t="inlineStr">
        <is>
          <t>CAPTAIN</t>
        </is>
      </c>
    </row>
    <row r="314">
      <c r="A314" s="5" t="inlineStr">
        <is>
          <t>3502</t>
        </is>
      </c>
      <c r="B314" s="5" t="inlineStr">
        <is>
          <t>Kevin Caira</t>
        </is>
      </c>
      <c r="C314" s="5" t="inlineStr">
        <is>
          <t>TRANSPOCAPTAIN(LA)</t>
        </is>
      </c>
      <c r="D314" s="5" t="inlineStr">
        <is>
          <t>Local399</t>
        </is>
      </c>
      <c r="E314" s="6" t="n">
        <v>37.21</v>
      </c>
      <c r="F314" s="5" t="n"/>
      <c r="G314" s="5" t="n"/>
      <c r="H314" s="5" t="n"/>
      <c r="I314" s="5" t="n"/>
      <c r="J314" s="7">
        <f>IF(AND(N(F314)&gt;0,N(I314)&gt;0),I314-F314-IF(N(G314)&gt;0,0.5,0)-IF(N(H314)&gt;0,0.5,0),0)</f>
        <v/>
      </c>
      <c r="K314" s="5" t="n"/>
      <c r="L314" s="7">
        <f>MIN(J314,8.0)</f>
        <v/>
      </c>
      <c r="M314" s="7">
        <f>MAX(0,MIN(J314,12)-8.0)</f>
        <v/>
      </c>
      <c r="N314" s="7">
        <f>MAX(0,J314-12)</f>
        <v/>
      </c>
      <c r="O314" s="5" t="n"/>
      <c r="P314" s="6">
        <f>E314*(L314+M314*1.5+N314*2+O314*3+N(K314))</f>
        <v/>
      </c>
      <c r="Q314" s="6" t="n">
        <v>651.17</v>
      </c>
      <c r="R314" s="6">
        <f>Q314-P314</f>
        <v/>
      </c>
    </row>
    <row r="315">
      <c r="A315" s="5" t="inlineStr">
        <is>
          <t>3502</t>
        </is>
      </c>
      <c r="B315" s="5" t="inlineStr">
        <is>
          <t>Tina Peterson</t>
        </is>
      </c>
      <c r="C315" s="5" t="inlineStr">
        <is>
          <t>CO-CAPTAIN</t>
        </is>
      </c>
      <c r="D315" s="5" t="inlineStr">
        <is>
          <t>Local399</t>
        </is>
      </c>
      <c r="E315" s="6" t="n">
        <v>37.21</v>
      </c>
      <c r="F315" s="5" t="n"/>
      <c r="G315" s="5" t="n"/>
      <c r="H315" s="5" t="n"/>
      <c r="I315" s="5" t="n"/>
      <c r="J315" s="7">
        <f>IF(AND(N(F315)&gt;0,N(I315)&gt;0),I315-F315-IF(N(G315)&gt;0,0.5,0)-IF(N(H315)&gt;0,0.5,0),0)</f>
        <v/>
      </c>
      <c r="K315" s="5" t="n"/>
      <c r="L315" s="7">
        <f>MIN(J315,8.0)</f>
        <v/>
      </c>
      <c r="M315" s="7">
        <f>MAX(0,MIN(J315,12)-8.0)</f>
        <v/>
      </c>
      <c r="N315" s="7">
        <f>MAX(0,J315-12)</f>
        <v/>
      </c>
      <c r="O315" s="5" t="n"/>
      <c r="P315" s="6">
        <f>E315*(L315+M315*1.5+N315*2+O315*3+N(K315))</f>
        <v/>
      </c>
      <c r="Q315" s="6" t="n">
        <v>576.75</v>
      </c>
      <c r="R315" s="6">
        <f>Q315-P315</f>
        <v/>
      </c>
    </row>
    <row r="316">
      <c r="P316" s="2" t="inlineStr">
        <is>
          <t>CAPTAIN LABOR</t>
        </is>
      </c>
      <c r="R316" s="8">
        <f>SUM(R314:R315)</f>
        <v/>
      </c>
    </row>
    <row r="318">
      <c r="B318" s="2" t="inlineStr">
        <is>
          <t>DRIVERS</t>
        </is>
      </c>
    </row>
    <row r="319">
      <c r="A319" s="5" t="inlineStr">
        <is>
          <t>3503</t>
        </is>
      </c>
      <c r="B319" s="5" t="inlineStr"/>
      <c r="C319" s="5" t="inlineStr">
        <is>
          <t>GRIPTRUCK 48'TRACTORTRAILERDRIVER</t>
        </is>
      </c>
      <c r="D319" s="5" t="inlineStr"/>
      <c r="E319" s="6" t="n">
        <v>32.36</v>
      </c>
      <c r="F319" s="5" t="n"/>
      <c r="G319" s="5" t="n"/>
      <c r="H319" s="5" t="n"/>
      <c r="I319" s="5" t="n"/>
      <c r="J319" s="7">
        <f>IF(AND(N(F319)&gt;0,N(I319)&gt;0),I319-F319-IF(N(G319)&gt;0,0.5,0)-IF(N(H319)&gt;0,0.5,0),0)</f>
        <v/>
      </c>
      <c r="K319" s="5" t="n"/>
      <c r="L319" s="7">
        <f>MIN(J319,8.0)</f>
        <v/>
      </c>
      <c r="M319" s="7">
        <f>MAX(0,MIN(J319,12)-8.0)</f>
        <v/>
      </c>
      <c r="N319" s="7">
        <f>MAX(0,J319-12)</f>
        <v/>
      </c>
      <c r="O319" s="5" t="n"/>
      <c r="P319" s="6">
        <f>E319*(L319+M319*1.5+N319*2+O319*3+N(K319))</f>
        <v/>
      </c>
      <c r="Q319" s="6" t="n">
        <v>501.58</v>
      </c>
      <c r="R319" s="6">
        <f>Q319-P319</f>
        <v/>
      </c>
    </row>
    <row r="320">
      <c r="A320" s="5" t="inlineStr">
        <is>
          <t>3503</t>
        </is>
      </c>
      <c r="B320" s="5" t="inlineStr">
        <is>
          <t>Donald Wilson</t>
        </is>
      </c>
      <c r="C320" s="5" t="inlineStr">
        <is>
          <t>PROP 5-TON(ENCLOSED)</t>
        </is>
      </c>
      <c r="D320" s="5" t="inlineStr"/>
      <c r="E320" s="6" t="n">
        <v>32.36</v>
      </c>
      <c r="F320" s="5" t="n"/>
      <c r="G320" s="5" t="n"/>
      <c r="H320" s="5" t="n"/>
      <c r="I320" s="5" t="n"/>
      <c r="J320" s="7">
        <f>IF(AND(N(F320)&gt;0,N(I320)&gt;0),I320-F320-IF(N(G320)&gt;0,0.5,0)-IF(N(H320)&gt;0,0.5,0),0)</f>
        <v/>
      </c>
      <c r="K320" s="5" t="n"/>
      <c r="L320" s="7">
        <f>MIN(J320,8.0)</f>
        <v/>
      </c>
      <c r="M320" s="7">
        <f>MAX(0,MIN(J320,12)-8.0)</f>
        <v/>
      </c>
      <c r="N320" s="7">
        <f>MAX(0,J320-12)</f>
        <v/>
      </c>
      <c r="O320" s="5" t="n"/>
      <c r="P320" s="6">
        <f>E320*(L320+M320*1.5+N320*2+O320*3+N(K320))</f>
        <v/>
      </c>
      <c r="Q320" s="6" t="n">
        <v>501.58</v>
      </c>
      <c r="R320" s="6">
        <f>Q320-P320</f>
        <v/>
      </c>
    </row>
    <row r="321">
      <c r="A321" s="5" t="inlineStr">
        <is>
          <t>3503</t>
        </is>
      </c>
      <c r="B321" s="5" t="inlineStr"/>
      <c r="C321" s="5" t="inlineStr">
        <is>
          <t>WARDROBESTAKEBEDDRIVER#1</t>
        </is>
      </c>
      <c r="D321" s="5" t="inlineStr"/>
      <c r="E321" s="6" t="n">
        <v>37.99</v>
      </c>
      <c r="F321" s="5" t="n"/>
      <c r="G321" s="5" t="n"/>
      <c r="H321" s="5" t="n"/>
      <c r="I321" s="5" t="n"/>
      <c r="J321" s="7">
        <f>IF(AND(N(F321)&gt;0,N(I321)&gt;0),I321-F321-IF(N(G321)&gt;0,0.5,0)-IF(N(H321)&gt;0,0.5,0),0)</f>
        <v/>
      </c>
      <c r="K321" s="5" t="n"/>
      <c r="L321" s="7">
        <f>MIN(J321,8.0)</f>
        <v/>
      </c>
      <c r="M321" s="7">
        <f>MAX(0,MIN(J321,12)-8.0)</f>
        <v/>
      </c>
      <c r="N321" s="7">
        <f>MAX(0,J321-12)</f>
        <v/>
      </c>
      <c r="O321" s="5" t="n"/>
      <c r="P321" s="6">
        <f>E321*(L321+M321*1.5+N321*2+O321*3+N(K321))</f>
        <v/>
      </c>
      <c r="Q321" s="6" t="n">
        <v>588.85</v>
      </c>
      <c r="R321" s="6">
        <f>Q321-P321</f>
        <v/>
      </c>
    </row>
    <row r="322">
      <c r="A322" s="5" t="inlineStr">
        <is>
          <t>3503</t>
        </is>
      </c>
      <c r="B322" s="5" t="inlineStr"/>
      <c r="C322" s="5" t="inlineStr">
        <is>
          <t>MAKEUPHAIRTRAILERDRIVER</t>
        </is>
      </c>
      <c r="D322" s="5" t="inlineStr"/>
      <c r="E322" s="6" t="n">
        <v>32.36</v>
      </c>
      <c r="F322" s="5" t="n"/>
      <c r="G322" s="5" t="n"/>
      <c r="H322" s="5" t="n"/>
      <c r="I322" s="5" t="n"/>
      <c r="J322" s="7">
        <f>IF(AND(N(F322)&gt;0,N(I322)&gt;0),I322-F322-IF(N(G322)&gt;0,0.5,0)-IF(N(H322)&gt;0,0.5,0),0)</f>
        <v/>
      </c>
      <c r="K322" s="5" t="n"/>
      <c r="L322" s="7">
        <f>MIN(J322,8.0)</f>
        <v/>
      </c>
      <c r="M322" s="7">
        <f>MAX(0,MIN(J322,12)-8.0)</f>
        <v/>
      </c>
      <c r="N322" s="7">
        <f>MAX(0,J322-12)</f>
        <v/>
      </c>
      <c r="O322" s="5" t="n"/>
      <c r="P322" s="6">
        <f>E322*(L322+M322*1.5+N322*2+O322*3+N(K322))</f>
        <v/>
      </c>
      <c r="Q322" s="6" t="n">
        <v>501.58</v>
      </c>
      <c r="R322" s="6">
        <f>Q322-P322</f>
        <v/>
      </c>
    </row>
    <row r="323">
      <c r="A323" s="5" t="inlineStr">
        <is>
          <t>3503</t>
        </is>
      </c>
      <c r="B323" s="5" t="inlineStr"/>
      <c r="C323" s="5" t="inlineStr">
        <is>
          <t>ELECTRIC 10TONDRIVER(GENIEOPERATOR)</t>
        </is>
      </c>
      <c r="D323" s="5" t="inlineStr"/>
      <c r="E323" s="6" t="n">
        <v>37.99</v>
      </c>
      <c r="F323" s="5" t="n"/>
      <c r="G323" s="5" t="n"/>
      <c r="H323" s="5" t="n"/>
      <c r="I323" s="5" t="n"/>
      <c r="J323" s="7">
        <f>IF(AND(N(F323)&gt;0,N(I323)&gt;0),I323-F323-IF(N(G323)&gt;0,0.5,0)-IF(N(H323)&gt;0,0.5,0),0)</f>
        <v/>
      </c>
      <c r="K323" s="5" t="n"/>
      <c r="L323" s="7">
        <f>MIN(J323,8.0)</f>
        <v/>
      </c>
      <c r="M323" s="7">
        <f>MAX(0,MIN(J323,12)-8.0)</f>
        <v/>
      </c>
      <c r="N323" s="7">
        <f>MAX(0,J323-12)</f>
        <v/>
      </c>
      <c r="O323" s="5" t="n"/>
      <c r="P323" s="6">
        <f>E323*(L323+M323*1.5+N323*2+O323*3+N(K323))</f>
        <v/>
      </c>
      <c r="Q323" s="6" t="n">
        <v>588.85</v>
      </c>
      <c r="R323" s="6">
        <f>Q323-P323</f>
        <v/>
      </c>
    </row>
    <row r="324">
      <c r="A324" s="5" t="inlineStr">
        <is>
          <t>3503</t>
        </is>
      </c>
      <c r="B324" s="5" t="inlineStr"/>
      <c r="C324" s="5" t="inlineStr">
        <is>
          <t>SOUNDCCSTAKEBEDFUELTRUCKDRIVER</t>
        </is>
      </c>
      <c r="D324" s="5" t="inlineStr"/>
      <c r="E324" s="6" t="n">
        <v>32.36</v>
      </c>
      <c r="F324" s="5" t="n"/>
      <c r="G324" s="5" t="n"/>
      <c r="H324" s="5" t="n"/>
      <c r="I324" s="5" t="n"/>
      <c r="J324" s="7">
        <f>IF(AND(N(F324)&gt;0,N(I324)&gt;0),I324-F324-IF(N(G324)&gt;0,0.5,0)-IF(N(H324)&gt;0,0.5,0),0)</f>
        <v/>
      </c>
      <c r="K324" s="5" t="n"/>
      <c r="L324" s="7">
        <f>MIN(J324,8.0)</f>
        <v/>
      </c>
      <c r="M324" s="7">
        <f>MAX(0,MIN(J324,12)-8.0)</f>
        <v/>
      </c>
      <c r="N324" s="7">
        <f>MAX(0,J324-12)</f>
        <v/>
      </c>
      <c r="O324" s="5" t="n"/>
      <c r="P324" s="6">
        <f>E324*(L324+M324*1.5+N324*2+O324*3+N(K324))</f>
        <v/>
      </c>
      <c r="Q324" s="6" t="n">
        <v>501.58</v>
      </c>
      <c r="R324" s="6">
        <f>Q324-P324</f>
        <v/>
      </c>
    </row>
    <row r="325">
      <c r="A325" s="5" t="inlineStr">
        <is>
          <t>3503</t>
        </is>
      </c>
      <c r="B325" s="5" t="inlineStr"/>
      <c r="C325" s="5" t="inlineStr">
        <is>
          <t>9-ROOMHONEYWAGONTRACTORDRIVER</t>
        </is>
      </c>
      <c r="D325" s="5" t="inlineStr"/>
      <c r="E325" s="6" t="n">
        <v>32.36</v>
      </c>
      <c r="F325" s="5" t="n"/>
      <c r="G325" s="5" t="n"/>
      <c r="H325" s="5" t="n"/>
      <c r="I325" s="5" t="n"/>
      <c r="J325" s="7">
        <f>IF(AND(N(F325)&gt;0,N(I325)&gt;0),I325-F325-IF(N(G325)&gt;0,0.5,0)-IF(N(H325)&gt;0,0.5,0),0)</f>
        <v/>
      </c>
      <c r="K325" s="5" t="n"/>
      <c r="L325" s="7">
        <f>MIN(J325,8.0)</f>
        <v/>
      </c>
      <c r="M325" s="7">
        <f>MAX(0,MIN(J325,12)-8.0)</f>
        <v/>
      </c>
      <c r="N325" s="7">
        <f>MAX(0,J325-12)</f>
        <v/>
      </c>
      <c r="O325" s="5" t="n"/>
      <c r="P325" s="6">
        <f>E325*(L325+M325*1.5+N325*2+O325*3+N(K325))</f>
        <v/>
      </c>
      <c r="Q325" s="6" t="n">
        <v>501.58</v>
      </c>
      <c r="R325" s="6">
        <f>Q325-P325</f>
        <v/>
      </c>
    </row>
    <row r="326">
      <c r="A326" s="5" t="inlineStr">
        <is>
          <t>3503</t>
        </is>
      </c>
      <c r="B326" s="5" t="inlineStr"/>
      <c r="C326" s="5" t="inlineStr">
        <is>
          <t>FORDTRANSITVANDRIVER#1</t>
        </is>
      </c>
      <c r="D326" s="5" t="inlineStr"/>
      <c r="E326" s="6" t="n">
        <v>32.36</v>
      </c>
      <c r="F326" s="5" t="n"/>
      <c r="G326" s="5" t="n"/>
      <c r="H326" s="5" t="n"/>
      <c r="I326" s="5" t="n"/>
      <c r="J326" s="7">
        <f>IF(AND(N(F326)&gt;0,N(I326)&gt;0),I326-F326-IF(N(G326)&gt;0,0.5,0)-IF(N(H326)&gt;0,0.5,0),0)</f>
        <v/>
      </c>
      <c r="K326" s="5" t="n"/>
      <c r="L326" s="7">
        <f>MIN(J326,8.0)</f>
        <v/>
      </c>
      <c r="M326" s="7">
        <f>MAX(0,MIN(J326,12)-8.0)</f>
        <v/>
      </c>
      <c r="N326" s="7">
        <f>MAX(0,J326-12)</f>
        <v/>
      </c>
      <c r="O326" s="5" t="n"/>
      <c r="P326" s="6">
        <f>E326*(L326+M326*1.5+N326*2+O326*3+N(K326))</f>
        <v/>
      </c>
      <c r="Q326" s="6" t="n">
        <v>501.58</v>
      </c>
      <c r="R326" s="6">
        <f>Q326-P326</f>
        <v/>
      </c>
    </row>
    <row r="327">
      <c r="A327" s="5" t="inlineStr">
        <is>
          <t>3503</t>
        </is>
      </c>
      <c r="B327" s="5" t="inlineStr">
        <is>
          <t>Kaiser Clark</t>
        </is>
      </c>
      <c r="C327" s="5" t="inlineStr">
        <is>
          <t>CSETDECTRUCKDRIVER#1</t>
        </is>
      </c>
      <c r="D327" s="5" t="inlineStr"/>
      <c r="E327" s="6" t="n">
        <v>32.36</v>
      </c>
      <c r="F327" s="5" t="n"/>
      <c r="G327" s="5" t="n"/>
      <c r="H327" s="5" t="n"/>
      <c r="I327" s="5" t="n"/>
      <c r="J327" s="7">
        <f>IF(AND(N(F327)&gt;0,N(I327)&gt;0),I327-F327-IF(N(G327)&gt;0,0.5,0)-IF(N(H327)&gt;0,0.5,0),0)</f>
        <v/>
      </c>
      <c r="K327" s="5" t="n"/>
      <c r="L327" s="7">
        <f>MIN(J327,8.0)</f>
        <v/>
      </c>
      <c r="M327" s="7">
        <f>MAX(0,MIN(J327,12)-8.0)</f>
        <v/>
      </c>
      <c r="N327" s="7">
        <f>MAX(0,J327-12)</f>
        <v/>
      </c>
      <c r="O327" s="5" t="n"/>
      <c r="P327" s="6">
        <f>E327*(L327+M327*1.5+N327*2+O327*3+N(K327))</f>
        <v/>
      </c>
      <c r="Q327" s="6" t="n">
        <v>501.58</v>
      </c>
      <c r="R327" s="6">
        <f>Q327-P327</f>
        <v/>
      </c>
    </row>
    <row r="328">
      <c r="A328" s="5" t="inlineStr">
        <is>
          <t>3503</t>
        </is>
      </c>
      <c r="B328" s="5" t="inlineStr"/>
      <c r="C328" s="5" t="inlineStr">
        <is>
          <t>C 5-TONENCLOSEDRIGGINGGRIPDRIVER</t>
        </is>
      </c>
      <c r="D328" s="5" t="inlineStr"/>
      <c r="E328" s="6" t="n">
        <v>32.36</v>
      </c>
      <c r="F328" s="5" t="n"/>
      <c r="G328" s="5" t="n"/>
      <c r="H328" s="5" t="n"/>
      <c r="I328" s="5" t="n"/>
      <c r="J328" s="7">
        <f>IF(AND(N(F328)&gt;0,N(I328)&gt;0),I328-F328-IF(N(G328)&gt;0,0.5,0)-IF(N(H328)&gt;0,0.5,0),0)</f>
        <v/>
      </c>
      <c r="K328" s="5" t="n"/>
      <c r="L328" s="7">
        <f>MIN(J328,8.0)</f>
        <v/>
      </c>
      <c r="M328" s="7">
        <f>MAX(0,MIN(J328,12)-8.0)</f>
        <v/>
      </c>
      <c r="N328" s="7">
        <f>MAX(0,J328-12)</f>
        <v/>
      </c>
      <c r="O328" s="5" t="n"/>
      <c r="P328" s="6">
        <f>E328*(L328+M328*1.5+N328*2+O328*3+N(K328))</f>
        <v/>
      </c>
      <c r="Q328" s="5" t="n"/>
      <c r="R328" s="6">
        <f>Q328-P328</f>
        <v/>
      </c>
    </row>
    <row r="329">
      <c r="A329" s="5" t="inlineStr">
        <is>
          <t>3503</t>
        </is>
      </c>
      <c r="B329" s="5" t="inlineStr"/>
      <c r="C329" s="5" t="inlineStr">
        <is>
          <t>SCOUTBUS</t>
        </is>
      </c>
      <c r="D329" s="5" t="inlineStr"/>
      <c r="E329" s="6" t="n">
        <v>32.36</v>
      </c>
      <c r="F329" s="5" t="n"/>
      <c r="G329" s="5" t="n"/>
      <c r="H329" s="5" t="n"/>
      <c r="I329" s="5" t="n"/>
      <c r="J329" s="7">
        <f>IF(AND(N(F329)&gt;0,N(I329)&gt;0),I329-F329-IF(N(G329)&gt;0,0.5,0)-IF(N(H329)&gt;0,0.5,0),0)</f>
        <v/>
      </c>
      <c r="K329" s="5" t="n"/>
      <c r="L329" s="7">
        <f>MIN(J329,8.0)</f>
        <v/>
      </c>
      <c r="M329" s="7">
        <f>MAX(0,MIN(J329,12)-8.0)</f>
        <v/>
      </c>
      <c r="N329" s="7">
        <f>MAX(0,J329-12)</f>
        <v/>
      </c>
      <c r="O329" s="5" t="n"/>
      <c r="P329" s="6">
        <f>E329*(L329+M329*1.5+N329*2+O329*3+N(K329))</f>
        <v/>
      </c>
      <c r="Q329" s="5" t="n"/>
      <c r="R329" s="6">
        <f>Q329-P329</f>
        <v/>
      </c>
    </row>
    <row r="330">
      <c r="A330" s="5" t="inlineStr">
        <is>
          <t>3503</t>
        </is>
      </c>
      <c r="B330" s="5" t="inlineStr"/>
      <c r="C330" s="5" t="inlineStr">
        <is>
          <t>DRIVERMANDAYS</t>
        </is>
      </c>
      <c r="D330" s="5" t="inlineStr"/>
      <c r="E330" s="6" t="n">
        <v>32.36</v>
      </c>
      <c r="F330" s="5" t="n"/>
      <c r="G330" s="5" t="n"/>
      <c r="H330" s="5" t="n"/>
      <c r="I330" s="5" t="n"/>
      <c r="J330" s="7">
        <f>IF(AND(N(F330)&gt;0,N(I330)&gt;0),I330-F330-IF(N(G330)&gt;0,0.5,0)-IF(N(H330)&gt;0,0.5,0),0)</f>
        <v/>
      </c>
      <c r="K330" s="5" t="n"/>
      <c r="L330" s="7">
        <f>MIN(J330,8.0)</f>
        <v/>
      </c>
      <c r="M330" s="7">
        <f>MAX(0,MIN(J330,12)-8.0)</f>
        <v/>
      </c>
      <c r="N330" s="7">
        <f>MAX(0,J330-12)</f>
        <v/>
      </c>
      <c r="O330" s="5" t="n"/>
      <c r="P330" s="6">
        <f>E330*(L330+M330*1.5+N330*2+O330*3+N(K330))</f>
        <v/>
      </c>
      <c r="Q330" s="5" t="n"/>
      <c r="R330" s="6">
        <f>Q330-P330</f>
        <v/>
      </c>
    </row>
    <row r="331">
      <c r="P331" s="2" t="inlineStr">
        <is>
          <t>DRIVERS LABOR</t>
        </is>
      </c>
      <c r="R331" s="8">
        <f>SUM(R319:R330)</f>
        <v/>
      </c>
    </row>
    <row r="333">
      <c r="B333" s="2" t="inlineStr">
        <is>
          <t>LOCATIONSITEFEES</t>
        </is>
      </c>
    </row>
    <row r="334">
      <c r="A334" s="5" t="inlineStr">
        <is>
          <t>3607</t>
        </is>
      </c>
      <c r="B334" s="5" t="inlineStr"/>
      <c r="C334" s="5" t="inlineStr">
        <is>
          <t>Location#1(Hospital ER, LACountry Childrens Shelter, Shelter Dorm, Dept...</t>
        </is>
      </c>
      <c r="D334" s="5" t="inlineStr">
        <is>
          <t>Local400</t>
        </is>
      </c>
      <c r="E334" s="6" t="n">
        <v>50000</v>
      </c>
      <c r="F334" s="5" t="n"/>
      <c r="G334" s="5" t="n"/>
      <c r="H334" s="5" t="n"/>
      <c r="I334" s="5" t="n"/>
      <c r="J334" s="7">
        <f>IF(AND(N(F334)&gt;0,N(I334)&gt;0),I334-F334-IF(N(G334)&gt;0,0.5,0)-IF(N(H334)&gt;0,0.5,0),0)</f>
        <v/>
      </c>
      <c r="K334" s="5" t="n"/>
      <c r="L334" s="7">
        <f>MIN(J334,8.0)</f>
        <v/>
      </c>
      <c r="M334" s="7">
        <f>MAX(0,MIN(J334,12)-8.0)</f>
        <v/>
      </c>
      <c r="N334" s="7">
        <f>MAX(0,J334-12)</f>
        <v/>
      </c>
      <c r="O334" s="5" t="n"/>
      <c r="P334" s="6">
        <f>E334*(L334+M334*1.5+N334*2+O334*3+N(K334))</f>
        <v/>
      </c>
      <c r="Q334" s="6" t="n">
        <v>50000</v>
      </c>
      <c r="R334" s="6">
        <f>Q334-P334</f>
        <v/>
      </c>
    </row>
    <row r="335">
      <c r="P335" s="2" t="inlineStr">
        <is>
          <t>LOCATIONSITEFEES LABOR</t>
        </is>
      </c>
      <c r="R335" s="8">
        <f>SUM(R334:R334)</f>
        <v/>
      </c>
    </row>
    <row r="337">
      <c r="B337" s="2" t="inlineStr">
        <is>
          <t>CATERINGLABOR</t>
        </is>
      </c>
    </row>
    <row r="338">
      <c r="A338" s="5" t="inlineStr">
        <is>
          <t>3621</t>
        </is>
      </c>
      <c r="B338" s="5" t="inlineStr"/>
      <c r="C338" s="5" t="inlineStr">
        <is>
          <t>COOKDRIVER#1</t>
        </is>
      </c>
      <c r="D338" s="5" t="inlineStr">
        <is>
          <t>Local399</t>
        </is>
      </c>
      <c r="E338" s="6" t="n">
        <v>32.36</v>
      </c>
      <c r="F338" s="5" t="n"/>
      <c r="G338" s="5" t="n"/>
      <c r="H338" s="5" t="n"/>
      <c r="I338" s="5" t="n"/>
      <c r="J338" s="7">
        <f>IF(AND(N(F338)&gt;0,N(I338)&gt;0),I338-F338-IF(N(G338)&gt;0,0.5,0)-IF(N(H338)&gt;0,0.5,0),0)</f>
        <v/>
      </c>
      <c r="K338" s="5" t="n"/>
      <c r="L338" s="7">
        <f>MIN(J338,8.0)</f>
        <v/>
      </c>
      <c r="M338" s="7">
        <f>MAX(0,MIN(J338,12)-8.0)</f>
        <v/>
      </c>
      <c r="N338" s="7">
        <f>MAX(0,J338-12)</f>
        <v/>
      </c>
      <c r="O338" s="5" t="n"/>
      <c r="P338" s="6">
        <f>E338*(L338+M338*1.5+N338*2+O338*3+N(K338))</f>
        <v/>
      </c>
      <c r="Q338" s="6" t="n">
        <v>647.2</v>
      </c>
      <c r="R338" s="6">
        <f>Q338-P338</f>
        <v/>
      </c>
    </row>
    <row r="339">
      <c r="A339" s="5" t="inlineStr">
        <is>
          <t>3621</t>
        </is>
      </c>
      <c r="B339" s="5" t="inlineStr"/>
      <c r="C339" s="5" t="inlineStr">
        <is>
          <t>1STASSTCATERER#1</t>
        </is>
      </c>
      <c r="D339" s="5" t="inlineStr"/>
      <c r="E339" s="6" t="n">
        <v>17</v>
      </c>
      <c r="F339" s="5" t="n"/>
      <c r="G339" s="5" t="n"/>
      <c r="H339" s="5" t="n"/>
      <c r="I339" s="5" t="n"/>
      <c r="J339" s="7">
        <f>IF(AND(N(F339)&gt;0,N(I339)&gt;0),I339-F339-IF(N(G339)&gt;0,0.5,0)-IF(N(H339)&gt;0,0.5,0),0)</f>
        <v/>
      </c>
      <c r="K339" s="5" t="n"/>
      <c r="L339" s="7">
        <f>MIN(J339,8.0)</f>
        <v/>
      </c>
      <c r="M339" s="7">
        <f>MAX(0,MIN(J339,12)-8.0)</f>
        <v/>
      </c>
      <c r="N339" s="7">
        <f>MAX(0,J339-12)</f>
        <v/>
      </c>
      <c r="O339" s="5" t="n"/>
      <c r="P339" s="6">
        <f>E339*(L339+M339*1.5+N339*2+O339*3+N(K339))</f>
        <v/>
      </c>
      <c r="Q339" s="6" t="n">
        <v>340</v>
      </c>
      <c r="R339" s="6">
        <f>Q339-P339</f>
        <v/>
      </c>
    </row>
    <row r="340">
      <c r="A340" s="5" t="inlineStr">
        <is>
          <t>3621</t>
        </is>
      </c>
      <c r="B340" s="5" t="inlineStr"/>
      <c r="C340" s="5" t="inlineStr">
        <is>
          <t>1STASSTCATERER#2</t>
        </is>
      </c>
      <c r="D340" s="5" t="inlineStr"/>
      <c r="E340" s="6" t="n">
        <v>16</v>
      </c>
      <c r="F340" s="5" t="n"/>
      <c r="G340" s="5" t="n"/>
      <c r="H340" s="5" t="n"/>
      <c r="I340" s="5" t="n"/>
      <c r="J340" s="7">
        <f>IF(AND(N(F340)&gt;0,N(I340)&gt;0),I340-F340-IF(N(G340)&gt;0,0.5,0)-IF(N(H340)&gt;0,0.5,0),0)</f>
        <v/>
      </c>
      <c r="K340" s="5" t="n"/>
      <c r="L340" s="7">
        <f>MIN(J340,8.0)</f>
        <v/>
      </c>
      <c r="M340" s="7">
        <f>MAX(0,MIN(J340,12)-8.0)</f>
        <v/>
      </c>
      <c r="N340" s="7">
        <f>MAX(0,J340-12)</f>
        <v/>
      </c>
      <c r="O340" s="5" t="n"/>
      <c r="P340" s="6">
        <f>E340*(L340+M340*1.5+N340*2+O340*3+N(K340))</f>
        <v/>
      </c>
      <c r="Q340" s="6" t="n">
        <v>320</v>
      </c>
      <c r="R340" s="6">
        <f>Q340-P340</f>
        <v/>
      </c>
    </row>
    <row r="341">
      <c r="P341" s="2" t="inlineStr">
        <is>
          <t>CATERINGLABOR LABOR</t>
        </is>
      </c>
      <c r="R341" s="8">
        <f>SUM(R338:R340)</f>
        <v/>
      </c>
    </row>
    <row r="343">
      <c r="K343" s="9" t="inlineStr">
        <is>
          <t>TOTAL</t>
        </is>
      </c>
      <c r="P343" s="9" t="inlineStr">
        <is>
          <t>ACTUAL</t>
        </is>
      </c>
      <c r="Q343" s="9" t="inlineStr">
        <is>
          <t>BUDGET</t>
        </is>
      </c>
      <c r="R343" s="9" t="inlineStr">
        <is>
          <t>TOTAL VAR</t>
        </is>
      </c>
    </row>
    <row r="344">
      <c r="P344" s="9" t="inlineStr">
        <is>
          <t>DAY COST</t>
        </is>
      </c>
      <c r="Q344" s="9" t="inlineStr">
        <is>
          <t>DY COST</t>
        </is>
      </c>
      <c r="R344" s="9" t="inlineStr">
        <is>
          <t>(OVER) / UNDER</t>
        </is>
      </c>
    </row>
    <row r="345">
      <c r="P345" s="10">
        <f>SUM(P6:P6)+SUM(P10:P11)+SUM(P15:P17)+SUM(P21:P22)+SUM(P26:P32)+SUM(P36:P36)+SUM(P40:P41)+SUM(P45:P45)+SUM(P49:P49)+SUM(P53:P54)+SUM(P58:P58)+SUM(P62:P62)+SUM(P66:P67)+SUM(P71:P71)+SUM(P75:P75)+SUM(P79:P80)+SUM(P84:P84)+SUM(P88:P88)+SUM(P92:P93)+SUM(P97:P100)+SUM(P104:P104)+SUM(P108:P109)+SUM(P113:P113)+SUM(P117:P117)+SUM(P121:P121)+SUM(P125:P125)+SUM(P129:P130)+SUM(P134:P134)+SUM(P138:P139)+SUM(P143:P145)+SUM(P149:P149)+SUM(P153:P153)+SUM(P157:P158)+SUM(P162:P163)+SUM(P167:P167)+SUM(P171:P173)+SUM(P177:P177)+SUM(P181:P181)+SUM(P185:P187)+SUM(P191:P191)+SUM(P195:P195)+SUM(P199:P199)+SUM(P203:P203)+SUM(P207:P207)+SUM(P211:P211)+SUM(P215:P216)+SUM(P220:P220)+SUM(P224:P224)+SUM(P228:P228)+SUM(P232:P233)+SUM(P237:P237)+SUM(P241:P241)+SUM(P245:P245)+SUM(P249:P249)+SUM(P253:P254)+SUM(P258:P260)+SUM(P264:P264)+SUM(P268:P268)+SUM(P272:P272)+SUM(P276:P276)+SUM(P280:P281)+SUM(P285:P286)+SUM(P290:P290)+SUM(P294:P294)+SUM(P298:P298)+SUM(P302:P302)+SUM(P306:P306)+SUM(P310:P310)+SUM(P314:P315)+SUM(P319:P330)+SUM(P334:P334)+SUM(P338:P340)</f>
        <v/>
      </c>
      <c r="Q345" s="10">
        <f>SUM(Q6:Q6)+SUM(Q10:Q11)+SUM(Q15:Q17)+SUM(Q21:Q22)+SUM(Q26:Q32)+SUM(Q36:Q36)+SUM(Q40:Q41)+SUM(Q45:Q45)+SUM(Q49:Q49)+SUM(Q53:Q54)+SUM(Q58:Q58)+SUM(Q62:Q62)+SUM(Q66:Q67)+SUM(Q71:Q71)+SUM(Q75:Q75)+SUM(Q79:Q80)+SUM(Q84:Q84)+SUM(Q88:Q88)+SUM(Q92:Q93)+SUM(Q97:Q100)+SUM(Q104:Q104)+SUM(Q108:Q109)+SUM(Q113:Q113)+SUM(Q117:Q117)+SUM(Q121:Q121)+SUM(Q125:Q125)+SUM(Q129:Q130)+SUM(Q134:Q134)+SUM(Q138:Q139)+SUM(Q143:Q145)+SUM(Q149:Q149)+SUM(Q153:Q153)+SUM(Q157:Q158)+SUM(Q162:Q163)+SUM(Q167:Q167)+SUM(Q171:Q173)+SUM(Q177:Q177)+SUM(Q181:Q181)+SUM(Q185:Q187)+SUM(Q191:Q191)+SUM(Q195:Q195)+SUM(Q199:Q199)+SUM(Q203:Q203)+SUM(Q207:Q207)+SUM(Q211:Q211)+SUM(Q215:Q216)+SUM(Q220:Q220)+SUM(Q224:Q224)+SUM(Q228:Q228)+SUM(Q232:Q233)+SUM(Q237:Q237)+SUM(Q241:Q241)+SUM(Q245:Q245)+SUM(Q249:Q249)+SUM(Q253:Q254)+SUM(Q258:Q260)+SUM(Q264:Q264)+SUM(Q268:Q268)+SUM(Q272:Q272)+SUM(Q276:Q276)+SUM(Q280:Q281)+SUM(Q285:Q286)+SUM(Q290:Q290)+SUM(Q294:Q294)+SUM(Q298:Q298)+SUM(Q302:Q302)+SUM(Q306:Q306)+SUM(Q310:Q310)+SUM(Q314:Q315)+SUM(Q319:Q330)+SUM(Q334:Q334)+SUM(Q338:Q340)</f>
        <v/>
      </c>
      <c r="R345" s="10">
        <f>SUM(R6:R6)+SUM(R10:R11)+SUM(R15:R17)+SUM(R21:R22)+SUM(R26:R32)+SUM(R36:R36)+SUM(R40:R41)+SUM(R45:R45)+SUM(R49:R49)+SUM(R53:R54)+SUM(R58:R58)+SUM(R62:R62)+SUM(R66:R67)+SUM(R71:R71)+SUM(R75:R75)+SUM(R79:R80)+SUM(R84:R84)+SUM(R88:R88)+SUM(R92:R93)+SUM(R97:R100)+SUM(R104:R104)+SUM(R108:R109)+SUM(R113:R113)+SUM(R117:R117)+SUM(R121:R121)+SUM(R125:R125)+SUM(R129:R130)+SUM(R134:R134)+SUM(R138:R139)+SUM(R143:R145)+SUM(R149:R149)+SUM(R153:R153)+SUM(R157:R158)+SUM(R162:R163)+SUM(R167:R167)+SUM(R171:R173)+SUM(R177:R177)+SUM(R181:R181)+SUM(R185:R187)+SUM(R191:R191)+SUM(R195:R195)+SUM(R199:R199)+SUM(R203:R203)+SUM(R207:R207)+SUM(R211:R211)+SUM(R215:R216)+SUM(R220:R220)+SUM(R224:R224)+SUM(R228:R228)+SUM(R232:R233)+SUM(R237:R237)+SUM(R241:R241)+SUM(R245:R245)+SUM(R249:R249)+SUM(R253:R254)+SUM(R258:R260)+SUM(R264:R264)+SUM(R268:R268)+SUM(R272:R272)+SUM(R276:R276)+SUM(R280:R281)+SUM(R285:R286)+SUM(R290:R290)+SUM(R294:R294)+SUM(R298:R298)+SUM(R302:R302)+SUM(R306:R306)+SUM(R310:R310)+SUM(R314:R315)+SUM(R319:R330)+SUM(R334:R334)+SUM(R338:R340)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R34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20" customWidth="1" min="3" max="3"/>
    <col width="9" customWidth="1" min="4" max="4"/>
    <col width="9" customWidth="1" min="5" max="5"/>
    <col width="7" customWidth="1" min="6" max="6"/>
    <col width="7" customWidth="1" min="7" max="7"/>
    <col width="8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12" customWidth="1" min="16" max="16"/>
    <col width="13" customWidth="1" min="17" max="17"/>
    <col width="14" customWidth="1" min="18" max="18"/>
  </cols>
  <sheetData>
    <row r="1">
      <c r="A1" s="1" t="inlineStr">
        <is>
          <t>HOT COST</t>
        </is>
      </c>
      <c r="C1" t="inlineStr">
        <is>
          <t>Tuesday 31 Oct 2017</t>
        </is>
      </c>
      <c r="F1" s="2" t="inlineStr">
        <is>
          <t>DAY #12</t>
        </is>
      </c>
    </row>
    <row r="2">
      <c r="A2" s="3" t="inlineStr">
        <is>
          <t>enter CALL, LUNCH, WRAP as decimal hours (e.g. 7.5) — everything right of WRAP computes</t>
        </is>
      </c>
    </row>
    <row r="4">
      <c r="A4" s="4" t="inlineStr">
        <is>
          <t>ACCT</t>
        </is>
      </c>
      <c r="B4" s="4" t="inlineStr">
        <is>
          <t>NAME</t>
        </is>
      </c>
      <c r="C4" s="4" t="inlineStr">
        <is>
          <t>POSITION</t>
        </is>
      </c>
      <c r="D4" s="4" t="inlineStr">
        <is>
          <t>UNION</t>
        </is>
      </c>
      <c r="E4" s="4" t="inlineStr">
        <is>
          <t>RATE</t>
        </is>
      </c>
      <c r="F4" s="4" t="inlineStr">
        <is>
          <t>CALL</t>
        </is>
      </c>
      <c r="G4" s="4" t="inlineStr">
        <is>
          <t>LUNCH</t>
        </is>
      </c>
      <c r="H4" s="4" t="inlineStr">
        <is>
          <t>LUNCH 2</t>
        </is>
      </c>
      <c r="I4" s="4" t="inlineStr">
        <is>
          <t>WRAP</t>
        </is>
      </c>
      <c r="J4" s="4" t="inlineStr">
        <is>
          <t>HRS</t>
        </is>
      </c>
      <c r="K4" s="4" t="inlineStr">
        <is>
          <t>MP'S</t>
        </is>
      </c>
      <c r="L4" s="4" t="inlineStr">
        <is>
          <t>ST</t>
        </is>
      </c>
      <c r="M4" s="4" t="inlineStr">
        <is>
          <t>1.5X</t>
        </is>
      </c>
      <c r="N4" s="4" t="inlineStr">
        <is>
          <t>2X</t>
        </is>
      </c>
      <c r="O4" s="4" t="inlineStr">
        <is>
          <t>3X</t>
        </is>
      </c>
      <c r="P4" s="4" t="inlineStr">
        <is>
          <t>TOTAL / DAY</t>
        </is>
      </c>
      <c r="Q4" s="4" t="inlineStr">
        <is>
          <t>BUDGET / DAY</t>
        </is>
      </c>
      <c r="R4" s="4" t="inlineStr">
        <is>
          <t>(OVER) / UNDER</t>
        </is>
      </c>
    </row>
    <row r="5">
      <c r="B5" s="2" t="inlineStr">
        <is>
          <t>LEAD#</t>
        </is>
      </c>
    </row>
    <row r="6">
      <c r="A6" s="5" t="inlineStr">
        <is>
          <t>1401</t>
        </is>
      </c>
      <c r="B6" s="5" t="inlineStr">
        <is>
          <t>Linda Cardellini</t>
        </is>
      </c>
      <c r="C6" s="5" t="inlineStr">
        <is>
          <t>"ANNA"</t>
        </is>
      </c>
      <c r="D6" s="5" t="inlineStr"/>
      <c r="E6" s="6" t="n">
        <v>1211.8</v>
      </c>
      <c r="F6" s="5" t="n"/>
      <c r="G6" s="5" t="n"/>
      <c r="H6" s="5" t="n"/>
      <c r="I6" s="5" t="n"/>
      <c r="J6" s="7">
        <f>IF(AND(N(F6)&gt;0,N(I6)&gt;0),I6-F6-IF(N(G6)&gt;0,0.5,0)-IF(N(H6)&gt;0,0.5,0),0)</f>
        <v/>
      </c>
      <c r="K6" s="5" t="n"/>
      <c r="L6" s="7">
        <f>MIN(J6,8.0)</f>
        <v/>
      </c>
      <c r="M6" s="7">
        <f>MAX(0,MIN(J6,12)-8.0)</f>
        <v/>
      </c>
      <c r="N6" s="7">
        <f>MAX(0,J6-12)</f>
        <v/>
      </c>
      <c r="O6" s="5" t="n"/>
      <c r="P6" s="6">
        <f>E6*(L6+M6*1.5+N6*2+O6*3+N(K6))</f>
        <v/>
      </c>
      <c r="Q6" s="6" t="n">
        <v>1211.8</v>
      </c>
      <c r="R6" s="6">
        <f>Q6-P6</f>
        <v/>
      </c>
    </row>
    <row r="7">
      <c r="P7" s="2" t="inlineStr">
        <is>
          <t>LEAD# LABOR</t>
        </is>
      </c>
      <c r="R7" s="8">
        <f>SUM(R6:R6)</f>
        <v/>
      </c>
    </row>
    <row r="9">
      <c r="B9" s="2" t="inlineStr">
        <is>
          <t>LEAD#2&amp;#</t>
        </is>
      </c>
    </row>
    <row r="10">
      <c r="A10" s="5" t="inlineStr">
        <is>
          <t>1402</t>
        </is>
      </c>
      <c r="B10" s="5" t="inlineStr">
        <is>
          <t>Roman Christou</t>
        </is>
      </c>
      <c r="C10" s="5" t="inlineStr">
        <is>
          <t>"CHRIS"(Minor)</t>
        </is>
      </c>
      <c r="D10" s="5" t="inlineStr"/>
      <c r="E10" s="6" t="n">
        <v>755.4</v>
      </c>
      <c r="F10" s="5" t="n"/>
      <c r="G10" s="5" t="n"/>
      <c r="H10" s="5" t="n"/>
      <c r="I10" s="5" t="n"/>
      <c r="J10" s="7">
        <f>IF(AND(N(F10)&gt;0,N(I10)&gt;0),I10-F10-IF(N(G10)&gt;0,0.5,0)-IF(N(H10)&gt;0,0.5,0),0)</f>
        <v/>
      </c>
      <c r="K10" s="5" t="n"/>
      <c r="L10" s="7">
        <f>MIN(J10,8.0)</f>
        <v/>
      </c>
      <c r="M10" s="7">
        <f>MAX(0,MIN(J10,12)-8.0)</f>
        <v/>
      </c>
      <c r="N10" s="7">
        <f>MAX(0,J10-12)</f>
        <v/>
      </c>
      <c r="O10" s="5" t="n"/>
      <c r="P10" s="6">
        <f>E10*(L10+M10*1.5+N10*2+O10*3+N(K10))</f>
        <v/>
      </c>
      <c r="Q10" s="6" t="n">
        <v>755.4</v>
      </c>
      <c r="R10" s="6">
        <f>Q10-P10</f>
        <v/>
      </c>
    </row>
    <row r="11">
      <c r="A11" s="5" t="inlineStr">
        <is>
          <t>1402</t>
        </is>
      </c>
      <c r="B11" s="5" t="inlineStr">
        <is>
          <t>Jaynee Lynee Kinchen</t>
        </is>
      </c>
      <c r="C11" s="5" t="inlineStr">
        <is>
          <t>"SAMANTHA"(Minor)</t>
        </is>
      </c>
      <c r="D11" s="5" t="inlineStr"/>
      <c r="E11" s="6" t="n">
        <v>755.4</v>
      </c>
      <c r="F11" s="5" t="n"/>
      <c r="G11" s="5" t="n"/>
      <c r="H11" s="5" t="n"/>
      <c r="I11" s="5" t="n"/>
      <c r="J11" s="7">
        <f>IF(AND(N(F11)&gt;0,N(I11)&gt;0),I11-F11-IF(N(G11)&gt;0,0.5,0)-IF(N(H11)&gt;0,0.5,0),0)</f>
        <v/>
      </c>
      <c r="K11" s="5" t="n"/>
      <c r="L11" s="7">
        <f>MIN(J11,8.0)</f>
        <v/>
      </c>
      <c r="M11" s="7">
        <f>MAX(0,MIN(J11,12)-8.0)</f>
        <v/>
      </c>
      <c r="N11" s="7">
        <f>MAX(0,J11-12)</f>
        <v/>
      </c>
      <c r="O11" s="5" t="n"/>
      <c r="P11" s="6">
        <f>E11*(L11+M11*1.5+N11*2+O11*3+N(K11))</f>
        <v/>
      </c>
      <c r="Q11" s="6" t="n">
        <v>755.4</v>
      </c>
      <c r="R11" s="6">
        <f>Q11-P11</f>
        <v/>
      </c>
    </row>
    <row r="12">
      <c r="P12" s="2" t="inlineStr">
        <is>
          <t>LEAD#2&amp;# LABOR</t>
        </is>
      </c>
      <c r="R12" s="8">
        <f>SUM(R10:R11)</f>
        <v/>
      </c>
    </row>
    <row r="14">
      <c r="B14" s="2" t="inlineStr">
        <is>
          <t>OTHERLEADCAST</t>
        </is>
      </c>
    </row>
    <row r="15">
      <c r="A15" s="5" t="inlineStr">
        <is>
          <t>1403</t>
        </is>
      </c>
      <c r="B15" s="5" t="inlineStr">
        <is>
          <t>Raymond Cruz</t>
        </is>
      </c>
      <c r="C15" s="5" t="inlineStr">
        <is>
          <t>"RAFAELOLVERA"</t>
        </is>
      </c>
      <c r="D15" s="5" t="inlineStr"/>
      <c r="E15" s="6" t="n">
        <v>1211.8</v>
      </c>
      <c r="F15" s="5" t="n"/>
      <c r="G15" s="5" t="n"/>
      <c r="H15" s="5" t="n"/>
      <c r="I15" s="5" t="n"/>
      <c r="J15" s="7">
        <f>IF(AND(N(F15)&gt;0,N(I15)&gt;0),I15-F15-IF(N(G15)&gt;0,0.5,0)-IF(N(H15)&gt;0,0.5,0),0)</f>
        <v/>
      </c>
      <c r="K15" s="5" t="n"/>
      <c r="L15" s="7">
        <f>MIN(J15,8.0)</f>
        <v/>
      </c>
      <c r="M15" s="7">
        <f>MAX(0,MIN(J15,12)-8.0)</f>
        <v/>
      </c>
      <c r="N15" s="7">
        <f>MAX(0,J15-12)</f>
        <v/>
      </c>
      <c r="O15" s="5" t="n"/>
      <c r="P15" s="6">
        <f>E15*(L15+M15*1.5+N15*2+O15*3+N(K15))</f>
        <v/>
      </c>
      <c r="Q15" s="6" t="n">
        <v>1211.8</v>
      </c>
      <c r="R15" s="6">
        <f>Q15-P15</f>
        <v/>
      </c>
    </row>
    <row r="16">
      <c r="A16" s="5" t="inlineStr">
        <is>
          <t>1403</t>
        </is>
      </c>
      <c r="B16" s="5" t="inlineStr">
        <is>
          <t>Marisol Ramirez</t>
        </is>
      </c>
      <c r="C16" s="5" t="inlineStr">
        <is>
          <t>"LALLORONA"</t>
        </is>
      </c>
      <c r="D16" s="5" t="inlineStr"/>
      <c r="E16" s="6" t="n">
        <v>1211.8</v>
      </c>
      <c r="F16" s="5" t="n"/>
      <c r="G16" s="5" t="n"/>
      <c r="H16" s="5" t="n"/>
      <c r="I16" s="5" t="n"/>
      <c r="J16" s="7">
        <f>IF(AND(N(F16)&gt;0,N(I16)&gt;0),I16-F16-IF(N(G16)&gt;0,0.5,0)-IF(N(H16)&gt;0,0.5,0),0)</f>
        <v/>
      </c>
      <c r="K16" s="5" t="n"/>
      <c r="L16" s="7">
        <f>MIN(J16,8.0)</f>
        <v/>
      </c>
      <c r="M16" s="7">
        <f>MAX(0,MIN(J16,12)-8.0)</f>
        <v/>
      </c>
      <c r="N16" s="7">
        <f>MAX(0,J16-12)</f>
        <v/>
      </c>
      <c r="O16" s="5" t="n"/>
      <c r="P16" s="6">
        <f>E16*(L16+M16*1.5+N16*2+O16*3+N(K16))</f>
        <v/>
      </c>
      <c r="Q16" s="6" t="n">
        <v>1211.8</v>
      </c>
      <c r="R16" s="6">
        <f>Q16-P16</f>
        <v/>
      </c>
    </row>
    <row r="17">
      <c r="A17" s="5" t="inlineStr">
        <is>
          <t>1403</t>
        </is>
      </c>
      <c r="B17" s="5" t="inlineStr">
        <is>
          <t>Patrica Velasquez</t>
        </is>
      </c>
      <c r="C17" s="5" t="inlineStr">
        <is>
          <t>"PATRICIA"</t>
        </is>
      </c>
      <c r="D17" s="5" t="inlineStr"/>
      <c r="E17" s="6" t="n">
        <v>1972</v>
      </c>
      <c r="F17" s="5" t="n"/>
      <c r="G17" s="5" t="n"/>
      <c r="H17" s="5" t="n"/>
      <c r="I17" s="5" t="n"/>
      <c r="J17" s="7">
        <f>IF(AND(N(F17)&gt;0,N(I17)&gt;0),I17-F17-IF(N(G17)&gt;0,0.5,0)-IF(N(H17)&gt;0,0.5,0),0)</f>
        <v/>
      </c>
      <c r="K17" s="5" t="n"/>
      <c r="L17" s="7">
        <f>MIN(J17,8.0)</f>
        <v/>
      </c>
      <c r="M17" s="7">
        <f>MAX(0,MIN(J17,12)-8.0)</f>
        <v/>
      </c>
      <c r="N17" s="7">
        <f>MAX(0,J17-12)</f>
        <v/>
      </c>
      <c r="O17" s="5" t="n"/>
      <c r="P17" s="6">
        <f>E17*(L17+M17*1.5+N17*2+O17*3+N(K17))</f>
        <v/>
      </c>
      <c r="Q17" s="6" t="n">
        <v>1972</v>
      </c>
      <c r="R17" s="6">
        <f>Q17-P17</f>
        <v/>
      </c>
    </row>
    <row r="18">
      <c r="P18" s="2" t="inlineStr">
        <is>
          <t>OTHERLEADCAST LABOR</t>
        </is>
      </c>
      <c r="R18" s="8">
        <f>SUM(R15:R17)</f>
        <v/>
      </c>
    </row>
    <row r="20">
      <c r="B20" s="2" t="inlineStr">
        <is>
          <t>SUPPORTINGCAST</t>
        </is>
      </c>
    </row>
    <row r="21">
      <c r="A21" s="5" t="inlineStr">
        <is>
          <t>1404</t>
        </is>
      </c>
      <c r="B21" s="5" t="inlineStr">
        <is>
          <t>Sean Patrick Thomas</t>
        </is>
      </c>
      <c r="C21" s="5" t="inlineStr">
        <is>
          <t>DETCOOPER</t>
        </is>
      </c>
      <c r="D21" s="5" t="inlineStr"/>
      <c r="E21" s="6" t="n">
        <v>1211.8</v>
      </c>
      <c r="F21" s="5" t="n"/>
      <c r="G21" s="5" t="n"/>
      <c r="H21" s="5" t="n"/>
      <c r="I21" s="5" t="n"/>
      <c r="J21" s="7">
        <f>IF(AND(N(F21)&gt;0,N(I21)&gt;0),I21-F21-IF(N(G21)&gt;0,0.5,0)-IF(N(H21)&gt;0,0.5,0),0)</f>
        <v/>
      </c>
      <c r="K21" s="5" t="n"/>
      <c r="L21" s="7">
        <f>MIN(J21,8.0)</f>
        <v/>
      </c>
      <c r="M21" s="7">
        <f>MAX(0,MIN(J21,12)-8.0)</f>
        <v/>
      </c>
      <c r="N21" s="7">
        <f>MAX(0,J21-12)</f>
        <v/>
      </c>
      <c r="O21" s="5" t="n"/>
      <c r="P21" s="6">
        <f>E21*(L21+M21*1.5+N21*2+O21*3+N(K21))</f>
        <v/>
      </c>
      <c r="Q21" s="6" t="n">
        <v>1211.8</v>
      </c>
      <c r="R21" s="6">
        <f>Q21-P21</f>
        <v/>
      </c>
    </row>
    <row r="22">
      <c r="A22" s="5" t="inlineStr">
        <is>
          <t>1404</t>
        </is>
      </c>
      <c r="B22" s="5" t="inlineStr">
        <is>
          <t>Tony Amendola</t>
        </is>
      </c>
      <c r="C22" s="5" t="inlineStr">
        <is>
          <t>"FATHERPEREZ"</t>
        </is>
      </c>
      <c r="D22" s="5" t="inlineStr"/>
      <c r="E22" s="6" t="n">
        <v>1972</v>
      </c>
      <c r="F22" s="5" t="n"/>
      <c r="G22" s="5" t="n"/>
      <c r="H22" s="5" t="n"/>
      <c r="I22" s="5" t="n"/>
      <c r="J22" s="7">
        <f>IF(AND(N(F22)&gt;0,N(I22)&gt;0),I22-F22-IF(N(G22)&gt;0,0.5,0)-IF(N(H22)&gt;0,0.5,0),0)</f>
        <v/>
      </c>
      <c r="K22" s="5" t="n"/>
      <c r="L22" s="7">
        <f>MIN(J22,8.0)</f>
        <v/>
      </c>
      <c r="M22" s="7">
        <f>MAX(0,MIN(J22,12)-8.0)</f>
        <v/>
      </c>
      <c r="N22" s="7">
        <f>MAX(0,J22-12)</f>
        <v/>
      </c>
      <c r="O22" s="5" t="n"/>
      <c r="P22" s="6">
        <f>E22*(L22+M22*1.5+N22*2+O22*3+N(K22))</f>
        <v/>
      </c>
      <c r="Q22" s="6" t="n">
        <v>1972</v>
      </c>
      <c r="R22" s="6">
        <f>Q22-P22</f>
        <v/>
      </c>
    </row>
    <row r="23">
      <c r="P23" s="2" t="inlineStr">
        <is>
          <t>SUPPORTINGCAST LABOR</t>
        </is>
      </c>
      <c r="R23" s="8">
        <f>SUM(R21:R22)</f>
        <v/>
      </c>
    </row>
    <row r="25">
      <c r="B25" s="2" t="inlineStr">
        <is>
          <t>DAYPLAYERS</t>
        </is>
      </c>
    </row>
    <row r="26">
      <c r="A26" s="5" t="inlineStr">
        <is>
          <t>1405</t>
        </is>
      </c>
      <c r="B26" s="5" t="inlineStr">
        <is>
          <t>Kristy Keng(Drop/Pickup)</t>
        </is>
      </c>
      <c r="C26" s="5" t="inlineStr">
        <is>
          <t>"DONNA"</t>
        </is>
      </c>
      <c r="D26" s="5" t="inlineStr"/>
      <c r="E26" s="6" t="n">
        <v>1972</v>
      </c>
      <c r="F26" s="5" t="n"/>
      <c r="G26" s="5" t="n"/>
      <c r="H26" s="5" t="n"/>
      <c r="I26" s="5" t="n"/>
      <c r="J26" s="7">
        <f>IF(AND(N(F26)&gt;0,N(I26)&gt;0),I26-F26-IF(N(G26)&gt;0,0.5,0)-IF(N(H26)&gt;0,0.5,0),0)</f>
        <v/>
      </c>
      <c r="K26" s="5" t="n"/>
      <c r="L26" s="7">
        <f>MIN(J26,8.0)</f>
        <v/>
      </c>
      <c r="M26" s="7">
        <f>MAX(0,MIN(J26,12)-8.0)</f>
        <v/>
      </c>
      <c r="N26" s="7">
        <f>MAX(0,J26-12)</f>
        <v/>
      </c>
      <c r="O26" s="5" t="n"/>
      <c r="P26" s="6">
        <f>E26*(L26+M26*1.5+N26*2+O26*3+N(K26))</f>
        <v/>
      </c>
      <c r="Q26" s="6" t="n">
        <v>1972</v>
      </c>
      <c r="R26" s="6">
        <f>Q26-P26</f>
        <v/>
      </c>
    </row>
    <row r="27">
      <c r="A27" s="5" t="inlineStr">
        <is>
          <t>1405</t>
        </is>
      </c>
      <c r="B27" s="5" t="inlineStr">
        <is>
          <t>Oliver Alexander</t>
        </is>
      </c>
      <c r="C27" s="5" t="inlineStr">
        <is>
          <t>"CARLOS"(Minor)</t>
        </is>
      </c>
      <c r="D27" s="5" t="inlineStr"/>
      <c r="E27" s="6" t="n">
        <v>1249</v>
      </c>
      <c r="F27" s="5" t="n"/>
      <c r="G27" s="5" t="n"/>
      <c r="H27" s="5" t="n"/>
      <c r="I27" s="5" t="n"/>
      <c r="J27" s="7">
        <f>IF(AND(N(F27)&gt;0,N(I27)&gt;0),I27-F27-IF(N(G27)&gt;0,0.5,0)-IF(N(H27)&gt;0,0.5,0),0)</f>
        <v/>
      </c>
      <c r="K27" s="5" t="n"/>
      <c r="L27" s="7">
        <f>MIN(J27,8.0)</f>
        <v/>
      </c>
      <c r="M27" s="7">
        <f>MAX(0,MIN(J27,12)-8.0)</f>
        <v/>
      </c>
      <c r="N27" s="7">
        <f>MAX(0,J27-12)</f>
        <v/>
      </c>
      <c r="O27" s="5" t="n"/>
      <c r="P27" s="6">
        <f>E27*(L27+M27*1.5+N27*2+O27*3+N(K27))</f>
        <v/>
      </c>
      <c r="Q27" s="6" t="n">
        <v>1249</v>
      </c>
      <c r="R27" s="6">
        <f>Q27-P27</f>
        <v/>
      </c>
    </row>
    <row r="28">
      <c r="A28" s="5" t="inlineStr">
        <is>
          <t>1405</t>
        </is>
      </c>
      <c r="B28" s="5" t="inlineStr">
        <is>
          <t>Adam Lewandowski</t>
        </is>
      </c>
      <c r="C28" s="5" t="inlineStr">
        <is>
          <t>"TOMAS"(Minor)</t>
        </is>
      </c>
      <c r="D28" s="5" t="inlineStr"/>
      <c r="E28" s="6" t="n">
        <v>1249</v>
      </c>
      <c r="F28" s="5" t="n"/>
      <c r="G28" s="5" t="n"/>
      <c r="H28" s="5" t="n"/>
      <c r="I28" s="5" t="n"/>
      <c r="J28" s="7">
        <f>IF(AND(N(F28)&gt;0,N(I28)&gt;0),I28-F28-IF(N(G28)&gt;0,0.5,0)-IF(N(H28)&gt;0,0.5,0),0)</f>
        <v/>
      </c>
      <c r="K28" s="5" t="n"/>
      <c r="L28" s="7">
        <f>MIN(J28,8.0)</f>
        <v/>
      </c>
      <c r="M28" s="7">
        <f>MAX(0,MIN(J28,12)-8.0)</f>
        <v/>
      </c>
      <c r="N28" s="7">
        <f>MAX(0,J28-12)</f>
        <v/>
      </c>
      <c r="O28" s="5" t="n"/>
      <c r="P28" s="6">
        <f>E28*(L28+M28*1.5+N28*2+O28*3+N(K28))</f>
        <v/>
      </c>
      <c r="Q28" s="6" t="n">
        <v>1249</v>
      </c>
      <c r="R28" s="6">
        <f>Q28-P28</f>
        <v/>
      </c>
    </row>
    <row r="29">
      <c r="A29" s="5" t="inlineStr">
        <is>
          <t>1405</t>
        </is>
      </c>
      <c r="B29" s="5" t="inlineStr">
        <is>
          <t>Paul Rodriquez Jr.</t>
        </is>
      </c>
      <c r="C29" s="5" t="inlineStr">
        <is>
          <t>"OFFICERCLARO"</t>
        </is>
      </c>
      <c r="D29" s="5" t="inlineStr"/>
      <c r="E29" s="6" t="n">
        <v>1972</v>
      </c>
      <c r="F29" s="5" t="n"/>
      <c r="G29" s="5" t="n"/>
      <c r="H29" s="5" t="n"/>
      <c r="I29" s="5" t="n"/>
      <c r="J29" s="7">
        <f>IF(AND(N(F29)&gt;0,N(I29)&gt;0),I29-F29-IF(N(G29)&gt;0,0.5,0)-IF(N(H29)&gt;0,0.5,0),0)</f>
        <v/>
      </c>
      <c r="K29" s="5" t="n"/>
      <c r="L29" s="7">
        <f>MIN(J29,8.0)</f>
        <v/>
      </c>
      <c r="M29" s="7">
        <f>MAX(0,MIN(J29,12)-8.0)</f>
        <v/>
      </c>
      <c r="N29" s="7">
        <f>MAX(0,J29-12)</f>
        <v/>
      </c>
      <c r="O29" s="5" t="n"/>
      <c r="P29" s="6">
        <f>E29*(L29+M29*1.5+N29*2+O29*3+N(K29))</f>
        <v/>
      </c>
      <c r="Q29" s="6" t="n">
        <v>1972</v>
      </c>
      <c r="R29" s="6">
        <f>Q29-P29</f>
        <v/>
      </c>
    </row>
    <row r="30">
      <c r="A30" s="5" t="inlineStr">
        <is>
          <t>1405</t>
        </is>
      </c>
      <c r="B30" s="5" t="inlineStr">
        <is>
          <t>Sophia Santi</t>
        </is>
      </c>
      <c r="C30" s="5" t="inlineStr">
        <is>
          <t>"FEMALECUSTOMER"</t>
        </is>
      </c>
      <c r="D30" s="5" t="inlineStr"/>
      <c r="E30" s="6" t="n">
        <v>1972</v>
      </c>
      <c r="F30" s="5" t="n"/>
      <c r="G30" s="5" t="n"/>
      <c r="H30" s="5" t="n"/>
      <c r="I30" s="5" t="n"/>
      <c r="J30" s="7">
        <f>IF(AND(N(F30)&gt;0,N(I30)&gt;0),I30-F30-IF(N(G30)&gt;0,0.5,0)-IF(N(H30)&gt;0,0.5,0),0)</f>
        <v/>
      </c>
      <c r="K30" s="5" t="n"/>
      <c r="L30" s="7">
        <f>MIN(J30,8.0)</f>
        <v/>
      </c>
      <c r="M30" s="7">
        <f>MAX(0,MIN(J30,12)-8.0)</f>
        <v/>
      </c>
      <c r="N30" s="7">
        <f>MAX(0,J30-12)</f>
        <v/>
      </c>
      <c r="O30" s="5" t="n"/>
      <c r="P30" s="6">
        <f>E30*(L30+M30*1.5+N30*2+O30*3+N(K30))</f>
        <v/>
      </c>
      <c r="Q30" s="6" t="n">
        <v>1972</v>
      </c>
      <c r="R30" s="6">
        <f>Q30-P30</f>
        <v/>
      </c>
    </row>
    <row r="31">
      <c r="A31" s="5" t="inlineStr">
        <is>
          <t>1405</t>
        </is>
      </c>
      <c r="B31" s="5" t="inlineStr">
        <is>
          <t>John Marshall Jones</t>
        </is>
      </c>
      <c r="C31" s="5" t="inlineStr">
        <is>
          <t>"MRHANKINS"</t>
        </is>
      </c>
      <c r="D31" s="5" t="inlineStr"/>
      <c r="E31" s="6" t="n">
        <v>1972</v>
      </c>
      <c r="F31" s="5" t="n"/>
      <c r="G31" s="5" t="n"/>
      <c r="H31" s="5" t="n"/>
      <c r="I31" s="5" t="n"/>
      <c r="J31" s="7">
        <f>IF(AND(N(F31)&gt;0,N(I31)&gt;0),I31-F31-IF(N(G31)&gt;0,0.5,0)-IF(N(H31)&gt;0,0.5,0),0)</f>
        <v/>
      </c>
      <c r="K31" s="5" t="n"/>
      <c r="L31" s="7">
        <f>MIN(J31,8.0)</f>
        <v/>
      </c>
      <c r="M31" s="7">
        <f>MAX(0,MIN(J31,12)-8.0)</f>
        <v/>
      </c>
      <c r="N31" s="7">
        <f>MAX(0,J31-12)</f>
        <v/>
      </c>
      <c r="O31" s="5" t="n"/>
      <c r="P31" s="6">
        <f>E31*(L31+M31*1.5+N31*2+O31*3+N(K31))</f>
        <v/>
      </c>
      <c r="Q31" s="6" t="n">
        <v>1972</v>
      </c>
      <c r="R31" s="6">
        <f>Q31-P31</f>
        <v/>
      </c>
    </row>
    <row r="32">
      <c r="A32" s="5" t="inlineStr">
        <is>
          <t>1405</t>
        </is>
      </c>
      <c r="B32" s="5" t="inlineStr">
        <is>
          <t>Madeleine Mcgraw</t>
        </is>
      </c>
      <c r="C32" s="5" t="inlineStr">
        <is>
          <t>"APRIL"(Minor)</t>
        </is>
      </c>
      <c r="D32" s="5" t="inlineStr"/>
      <c r="E32" s="6" t="n">
        <v>1249</v>
      </c>
      <c r="F32" s="5" t="n"/>
      <c r="G32" s="5" t="n"/>
      <c r="H32" s="5" t="n"/>
      <c r="I32" s="5" t="n"/>
      <c r="J32" s="7">
        <f>IF(AND(N(F32)&gt;0,N(I32)&gt;0),I32-F32-IF(N(G32)&gt;0,0.5,0)-IF(N(H32)&gt;0,0.5,0),0)</f>
        <v/>
      </c>
      <c r="K32" s="5" t="n"/>
      <c r="L32" s="7">
        <f>MIN(J32,8.0)</f>
        <v/>
      </c>
      <c r="M32" s="7">
        <f>MAX(0,MIN(J32,12)-8.0)</f>
        <v/>
      </c>
      <c r="N32" s="7">
        <f>MAX(0,J32-12)</f>
        <v/>
      </c>
      <c r="O32" s="5" t="n"/>
      <c r="P32" s="6">
        <f>E32*(L32+M32*1.5+N32*2+O32*3+N(K32))</f>
        <v/>
      </c>
      <c r="Q32" s="6" t="n">
        <v>1249</v>
      </c>
      <c r="R32" s="6">
        <f>Q32-P32</f>
        <v/>
      </c>
    </row>
    <row r="33">
      <c r="P33" s="2" t="inlineStr">
        <is>
          <t>DAYPLAYERS LABOR</t>
        </is>
      </c>
      <c r="R33" s="8">
        <f>SUM(R26:R32)</f>
        <v/>
      </c>
    </row>
    <row r="35">
      <c r="B35" s="2" t="inlineStr">
        <is>
          <t>STUNTCOORD</t>
        </is>
      </c>
    </row>
    <row r="36">
      <c r="A36" s="5" t="inlineStr">
        <is>
          <t>1406</t>
        </is>
      </c>
      <c r="B36" s="5" t="inlineStr">
        <is>
          <t>Rob King</t>
        </is>
      </c>
      <c r="C36" s="5" t="inlineStr">
        <is>
          <t>STUNTCOORDINATOR</t>
        </is>
      </c>
      <c r="D36" s="5" t="inlineStr"/>
      <c r="E36" s="6" t="n">
        <v>1173</v>
      </c>
      <c r="F36" s="5" t="n"/>
      <c r="G36" s="5" t="n"/>
      <c r="H36" s="5" t="n"/>
      <c r="I36" s="5" t="n"/>
      <c r="J36" s="7">
        <f>IF(AND(N(F36)&gt;0,N(I36)&gt;0),I36-F36-IF(N(G36)&gt;0,0.5,0)-IF(N(H36)&gt;0,0.5,0),0)</f>
        <v/>
      </c>
      <c r="K36" s="5" t="n"/>
      <c r="L36" s="7">
        <f>MIN(J36,8.0)</f>
        <v/>
      </c>
      <c r="M36" s="7">
        <f>MAX(0,MIN(J36,12)-8.0)</f>
        <v/>
      </c>
      <c r="N36" s="7">
        <f>MAX(0,J36-12)</f>
        <v/>
      </c>
      <c r="O36" s="5" t="n"/>
      <c r="P36" s="6">
        <f>E36*(L36+M36*1.5+N36*2+O36*3+N(K36))</f>
        <v/>
      </c>
      <c r="Q36" s="6" t="n">
        <v>1173</v>
      </c>
      <c r="R36" s="6">
        <f>Q36-P36</f>
        <v/>
      </c>
    </row>
    <row r="37">
      <c r="P37" s="2" t="inlineStr">
        <is>
          <t>STUNTCOORD LABOR</t>
        </is>
      </c>
      <c r="R37" s="8">
        <f>SUM(R36:R36)</f>
        <v/>
      </c>
    </row>
    <row r="39">
      <c r="B39" s="2" t="inlineStr">
        <is>
          <t>TEACHER/WELFAREWORKER</t>
        </is>
      </c>
    </row>
    <row r="40">
      <c r="A40" s="5" t="inlineStr">
        <is>
          <t>1412</t>
        </is>
      </c>
      <c r="B40" s="5" t="inlineStr"/>
      <c r="C40" s="5" t="inlineStr">
        <is>
          <t>WELFAREWORKER</t>
        </is>
      </c>
      <c r="D40" s="5" t="inlineStr">
        <is>
          <t>Local884</t>
        </is>
      </c>
      <c r="E40" s="6" t="n">
        <v>25.5</v>
      </c>
      <c r="F40" s="5" t="n"/>
      <c r="G40" s="5" t="n"/>
      <c r="H40" s="5" t="n"/>
      <c r="I40" s="5" t="n"/>
      <c r="J40" s="7">
        <f>IF(AND(N(F40)&gt;0,N(I40)&gt;0),I40-F40-IF(N(G40)&gt;0,0.5,0)-IF(N(H40)&gt;0,0.5,0),0)</f>
        <v/>
      </c>
      <c r="K40" s="5" t="n"/>
      <c r="L40" s="7">
        <f>MIN(J40,8.0)</f>
        <v/>
      </c>
      <c r="M40" s="7">
        <f>MAX(0,MIN(J40,12)-8.0)</f>
        <v/>
      </c>
      <c r="N40" s="7">
        <f>MAX(0,J40-12)</f>
        <v/>
      </c>
      <c r="O40" s="5" t="n"/>
      <c r="P40" s="6">
        <f>E40*(L40+M40*1.5+N40*2+O40*3+N(K40))</f>
        <v/>
      </c>
      <c r="Q40" s="6" t="n">
        <v>280.5</v>
      </c>
      <c r="R40" s="6">
        <f>Q40-P40</f>
        <v/>
      </c>
    </row>
    <row r="41">
      <c r="A41" s="5" t="inlineStr">
        <is>
          <t>1412</t>
        </is>
      </c>
      <c r="B41" s="5" t="inlineStr"/>
      <c r="C41" s="5" t="inlineStr">
        <is>
          <t>ADDLWELFAREWORKER</t>
        </is>
      </c>
      <c r="D41" s="5" t="inlineStr">
        <is>
          <t>Local884</t>
        </is>
      </c>
      <c r="E41" s="6" t="n">
        <v>25.5</v>
      </c>
      <c r="F41" s="5" t="n"/>
      <c r="G41" s="5" t="n"/>
      <c r="H41" s="5" t="n"/>
      <c r="I41" s="5" t="n"/>
      <c r="J41" s="7">
        <f>IF(AND(N(F41)&gt;0,N(I41)&gt;0),I41-F41-IF(N(G41)&gt;0,0.5,0)-IF(N(H41)&gt;0,0.5,0),0)</f>
        <v/>
      </c>
      <c r="K41" s="5" t="n"/>
      <c r="L41" s="7">
        <f>MIN(J41,8.0)</f>
        <v/>
      </c>
      <c r="M41" s="7">
        <f>MAX(0,MIN(J41,12)-8.0)</f>
        <v/>
      </c>
      <c r="N41" s="7">
        <f>MAX(0,J41-12)</f>
        <v/>
      </c>
      <c r="O41" s="5" t="n"/>
      <c r="P41" s="6">
        <f>E41*(L41+M41*1.5+N41*2+O41*3+N(K41))</f>
        <v/>
      </c>
      <c r="Q41" s="6" t="n">
        <v>280.5</v>
      </c>
      <c r="R41" s="6">
        <f>Q41-P41</f>
        <v/>
      </c>
    </row>
    <row r="42">
      <c r="P42" s="2" t="inlineStr">
        <is>
          <t>TEACHER/WELFAREWORKER LABOR</t>
        </is>
      </c>
      <c r="R42" s="8">
        <f>SUM(R40:R41)</f>
        <v/>
      </c>
    </row>
    <row r="44">
      <c r="B44" s="2" t="inlineStr">
        <is>
          <t>CASTINGDIRECTORS</t>
        </is>
      </c>
    </row>
    <row r="45">
      <c r="A45" s="5" t="inlineStr">
        <is>
          <t>1413</t>
        </is>
      </c>
      <c r="B45" s="5" t="inlineStr">
        <is>
          <t>Rich Delia</t>
        </is>
      </c>
      <c r="C45" s="5" t="inlineStr">
        <is>
          <t>CASTINGDIRECTOR</t>
        </is>
      </c>
      <c r="D45" s="5" t="inlineStr"/>
      <c r="E45" s="6" t="n">
        <v>600</v>
      </c>
      <c r="F45" s="5" t="n"/>
      <c r="G45" s="5" t="n"/>
      <c r="H45" s="5" t="n"/>
      <c r="I45" s="5" t="n"/>
      <c r="J45" s="7">
        <f>IF(AND(N(F45)&gt;0,N(I45)&gt;0),I45-F45-IF(N(G45)&gt;0,0.5,0)-IF(N(H45)&gt;0,0.5,0),0)</f>
        <v/>
      </c>
      <c r="K45" s="5" t="n"/>
      <c r="L45" s="7">
        <f>MIN(J45,8.0)</f>
        <v/>
      </c>
      <c r="M45" s="7">
        <f>MAX(0,MIN(J45,12)-8.0)</f>
        <v/>
      </c>
      <c r="N45" s="7">
        <f>MAX(0,J45-12)</f>
        <v/>
      </c>
      <c r="O45" s="5" t="n"/>
      <c r="P45" s="6">
        <f>E45*(L45+M45*1.5+N45*2+O45*3+N(K45))</f>
        <v/>
      </c>
      <c r="Q45" s="5" t="n"/>
      <c r="R45" s="6">
        <f>Q45-P45</f>
        <v/>
      </c>
    </row>
    <row r="46">
      <c r="P46" s="2" t="inlineStr">
        <is>
          <t>CASTINGDIRECTORS LABOR</t>
        </is>
      </c>
      <c r="R46" s="8">
        <f>SUM(R45:R45)</f>
        <v/>
      </c>
    </row>
    <row r="48">
      <c r="B48" s="2" t="inlineStr">
        <is>
          <t>CASTINGASSOCIATES/ASSISTANTS</t>
        </is>
      </c>
    </row>
    <row r="49">
      <c r="A49" s="5" t="inlineStr">
        <is>
          <t>1414</t>
        </is>
      </c>
      <c r="B49" s="5" t="inlineStr">
        <is>
          <t>Adam Richards</t>
        </is>
      </c>
      <c r="C49" s="5" t="inlineStr">
        <is>
          <t>CASTINGASSOCIATE</t>
        </is>
      </c>
      <c r="D49" s="5" t="inlineStr"/>
      <c r="E49" s="6" t="n">
        <v>200</v>
      </c>
      <c r="F49" s="5" t="n"/>
      <c r="G49" s="5" t="n"/>
      <c r="H49" s="5" t="n"/>
      <c r="I49" s="5" t="n"/>
      <c r="J49" s="7">
        <f>IF(AND(N(F49)&gt;0,N(I49)&gt;0),I49-F49-IF(N(G49)&gt;0,0.5,0)-IF(N(H49)&gt;0,0.5,0),0)</f>
        <v/>
      </c>
      <c r="K49" s="5" t="n"/>
      <c r="L49" s="7">
        <f>MIN(J49,8.0)</f>
        <v/>
      </c>
      <c r="M49" s="7">
        <f>MAX(0,MIN(J49,12)-8.0)</f>
        <v/>
      </c>
      <c r="N49" s="7">
        <f>MAX(0,J49-12)</f>
        <v/>
      </c>
      <c r="O49" s="5" t="n"/>
      <c r="P49" s="6">
        <f>E49*(L49+M49*1.5+N49*2+O49*3+N(K49))</f>
        <v/>
      </c>
      <c r="Q49" s="5" t="n"/>
      <c r="R49" s="6">
        <f>Q49-P49</f>
        <v/>
      </c>
    </row>
    <row r="50">
      <c r="P50" s="2" t="inlineStr">
        <is>
          <t>CASTINGASSOCIATES/ASSISTANTS LABOR</t>
        </is>
      </c>
      <c r="R50" s="8">
        <f>SUM(R49:R49)</f>
        <v/>
      </c>
    </row>
    <row r="52">
      <c r="B52" s="2" t="inlineStr">
        <is>
          <t>CASTDRIVERS/VEHICLES</t>
        </is>
      </c>
    </row>
    <row r="53">
      <c r="A53" s="5" t="inlineStr">
        <is>
          <t>1455</t>
        </is>
      </c>
      <c r="B53" s="5" t="inlineStr"/>
      <c r="C53" s="5" t="inlineStr">
        <is>
          <t>CAST 3-RMDRIVER</t>
        </is>
      </c>
      <c r="D53" s="5" t="inlineStr">
        <is>
          <t>Local399</t>
        </is>
      </c>
      <c r="E53" s="6" t="n">
        <v>32.36</v>
      </c>
      <c r="F53" s="5" t="n"/>
      <c r="G53" s="5" t="n"/>
      <c r="H53" s="5" t="n"/>
      <c r="I53" s="5" t="n"/>
      <c r="J53" s="7">
        <f>IF(AND(N(F53)&gt;0,N(I53)&gt;0),I53-F53-IF(N(G53)&gt;0,0.5,0)-IF(N(H53)&gt;0,0.5,0),0)</f>
        <v/>
      </c>
      <c r="K53" s="5" t="n"/>
      <c r="L53" s="7">
        <f>MIN(J53,8.0)</f>
        <v/>
      </c>
      <c r="M53" s="7">
        <f>MAX(0,MIN(J53,12)-8.0)</f>
        <v/>
      </c>
      <c r="N53" s="7">
        <f>MAX(0,J53-12)</f>
        <v/>
      </c>
      <c r="O53" s="5" t="n"/>
      <c r="P53" s="6">
        <f>E53*(L53+M53*1.5+N53*2+O53*3+N(K53))</f>
        <v/>
      </c>
      <c r="Q53" s="6" t="n">
        <v>501.58</v>
      </c>
      <c r="R53" s="6">
        <f>Q53-P53</f>
        <v/>
      </c>
    </row>
    <row r="54">
      <c r="A54" s="5" t="inlineStr">
        <is>
          <t>1455</t>
        </is>
      </c>
      <c r="B54" s="5" t="inlineStr"/>
      <c r="C54" s="5" t="inlineStr">
        <is>
          <t>CASTMINIVANDRIVER</t>
        </is>
      </c>
      <c r="D54" s="5" t="inlineStr">
        <is>
          <t>Local399</t>
        </is>
      </c>
      <c r="E54" s="6" t="n">
        <v>32.36</v>
      </c>
      <c r="F54" s="5" t="n"/>
      <c r="G54" s="5" t="n"/>
      <c r="H54" s="5" t="n"/>
      <c r="I54" s="5" t="n"/>
      <c r="J54" s="7">
        <f>IF(AND(N(F54)&gt;0,N(I54)&gt;0),I54-F54-IF(N(G54)&gt;0,0.5,0)-IF(N(H54)&gt;0,0.5,0),0)</f>
        <v/>
      </c>
      <c r="K54" s="5" t="n"/>
      <c r="L54" s="7">
        <f>MIN(J54,8.0)</f>
        <v/>
      </c>
      <c r="M54" s="7">
        <f>MAX(0,MIN(J54,12)-8.0)</f>
        <v/>
      </c>
      <c r="N54" s="7">
        <f>MAX(0,J54-12)</f>
        <v/>
      </c>
      <c r="O54" s="5" t="n"/>
      <c r="P54" s="6">
        <f>E54*(L54+M54*1.5+N54*2+O54*3+N(K54))</f>
        <v/>
      </c>
      <c r="Q54" s="6" t="n">
        <v>501.58</v>
      </c>
      <c r="R54" s="6">
        <f>Q54-P54</f>
        <v/>
      </c>
    </row>
    <row r="55">
      <c r="P55" s="2" t="inlineStr">
        <is>
          <t>CASTDRIVERS/VEHICLES LABOR</t>
        </is>
      </c>
      <c r="R55" s="8">
        <f>SUM(R53:R54)</f>
        <v/>
      </c>
    </row>
    <row r="57">
      <c r="B57" s="2" t="inlineStr">
        <is>
          <t>PRODUCTIONMANAGER</t>
        </is>
      </c>
    </row>
    <row r="58">
      <c r="A58" s="5" t="inlineStr">
        <is>
          <t>2001</t>
        </is>
      </c>
      <c r="B58" s="5" t="inlineStr">
        <is>
          <t>Carrie Morrow</t>
        </is>
      </c>
      <c r="C58" s="5" t="inlineStr">
        <is>
          <t>UPM</t>
        </is>
      </c>
      <c r="D58" s="5" t="inlineStr">
        <is>
          <t>DGA</t>
        </is>
      </c>
      <c r="E58" s="6" t="n">
        <v>1063.6</v>
      </c>
      <c r="F58" s="5" t="n"/>
      <c r="G58" s="5" t="n"/>
      <c r="H58" s="5" t="n"/>
      <c r="I58" s="5" t="n"/>
      <c r="J58" s="7">
        <f>IF(AND(N(F58)&gt;0,N(I58)&gt;0),I58-F58-IF(N(G58)&gt;0,0.5,0)-IF(N(H58)&gt;0,0.5,0),0)</f>
        <v/>
      </c>
      <c r="K58" s="5" t="n"/>
      <c r="L58" s="7">
        <f>MIN(J58,8.0)</f>
        <v/>
      </c>
      <c r="M58" s="7">
        <f>MAX(0,MIN(J58,12)-8.0)</f>
        <v/>
      </c>
      <c r="N58" s="7">
        <f>MAX(0,J58-12)</f>
        <v/>
      </c>
      <c r="O58" s="5" t="n"/>
      <c r="P58" s="6">
        <f>E58*(L58+M58*1.5+N58*2+O58*3+N(K58))</f>
        <v/>
      </c>
      <c r="Q58" s="6" t="n">
        <v>1063.6</v>
      </c>
      <c r="R58" s="6">
        <f>Q58-P58</f>
        <v/>
      </c>
    </row>
    <row r="59">
      <c r="P59" s="2" t="inlineStr">
        <is>
          <t>PRODUCTIONMANAGER LABOR</t>
        </is>
      </c>
      <c r="R59" s="8">
        <f>SUM(R58:R58)</f>
        <v/>
      </c>
    </row>
    <row r="61">
      <c r="B61" s="2" t="inlineStr">
        <is>
          <t>1STASSTDIRECTOR</t>
        </is>
      </c>
    </row>
    <row r="62">
      <c r="A62" s="5" t="inlineStr">
        <is>
          <t>2002</t>
        </is>
      </c>
      <c r="B62" s="5" t="inlineStr">
        <is>
          <t>James Moran</t>
        </is>
      </c>
      <c r="C62" s="5" t="inlineStr">
        <is>
          <t>1STASSTDIRECTOR</t>
        </is>
      </c>
      <c r="D62" s="5" t="inlineStr">
        <is>
          <t>DGA</t>
        </is>
      </c>
      <c r="E62" s="6" t="n">
        <v>985.6</v>
      </c>
      <c r="F62" s="5" t="n"/>
      <c r="G62" s="5" t="n"/>
      <c r="H62" s="5" t="n"/>
      <c r="I62" s="5" t="n"/>
      <c r="J62" s="7">
        <f>IF(AND(N(F62)&gt;0,N(I62)&gt;0),I62-F62-IF(N(G62)&gt;0,0.5,0)-IF(N(H62)&gt;0,0.5,0),0)</f>
        <v/>
      </c>
      <c r="K62" s="5" t="n"/>
      <c r="L62" s="7">
        <f>MIN(J62,8.0)</f>
        <v/>
      </c>
      <c r="M62" s="7">
        <f>MAX(0,MIN(J62,12)-8.0)</f>
        <v/>
      </c>
      <c r="N62" s="7">
        <f>MAX(0,J62-12)</f>
        <v/>
      </c>
      <c r="O62" s="5" t="n"/>
      <c r="P62" s="6">
        <f>E62*(L62+M62*1.5+N62*2+O62*3+N(K62))</f>
        <v/>
      </c>
      <c r="Q62" s="6" t="n">
        <v>985.6</v>
      </c>
      <c r="R62" s="6">
        <f>Q62-P62</f>
        <v/>
      </c>
    </row>
    <row r="63">
      <c r="P63" s="2" t="inlineStr">
        <is>
          <t>1STASSTDIRECTOR LABOR</t>
        </is>
      </c>
      <c r="R63" s="8">
        <f>SUM(R62:R62)</f>
        <v/>
      </c>
    </row>
    <row r="65">
      <c r="B65" s="2" t="inlineStr">
        <is>
          <t>2NDASSTDIRECTORS</t>
        </is>
      </c>
    </row>
    <row r="66">
      <c r="A66" s="5" t="inlineStr">
        <is>
          <t>2003</t>
        </is>
      </c>
      <c r="B66" s="5" t="inlineStr">
        <is>
          <t>Mark Newland</t>
        </is>
      </c>
      <c r="C66" s="5" t="inlineStr">
        <is>
          <t>KEY 2NDA. D.</t>
        </is>
      </c>
      <c r="D66" s="5" t="inlineStr">
        <is>
          <t>DGA</t>
        </is>
      </c>
      <c r="E66" s="6" t="n">
        <v>674.6</v>
      </c>
      <c r="F66" s="5" t="n"/>
      <c r="G66" s="5" t="n"/>
      <c r="H66" s="5" t="n"/>
      <c r="I66" s="5" t="n"/>
      <c r="J66" s="7">
        <f>IF(AND(N(F66)&gt;0,N(I66)&gt;0),I66-F66-IF(N(G66)&gt;0,0.5,0)-IF(N(H66)&gt;0,0.5,0),0)</f>
        <v/>
      </c>
      <c r="K66" s="5" t="n"/>
      <c r="L66" s="7">
        <f>MIN(J66,8.0)</f>
        <v/>
      </c>
      <c r="M66" s="7">
        <f>MAX(0,MIN(J66,12)-8.0)</f>
        <v/>
      </c>
      <c r="N66" s="7">
        <f>MAX(0,J66-12)</f>
        <v/>
      </c>
      <c r="O66" s="5" t="n"/>
      <c r="P66" s="6">
        <f>E66*(L66+M66*1.5+N66*2+O66*3+N(K66))</f>
        <v/>
      </c>
      <c r="Q66" s="6" t="n">
        <v>674.6</v>
      </c>
      <c r="R66" s="6">
        <f>Q66-P66</f>
        <v/>
      </c>
    </row>
    <row r="67">
      <c r="A67" s="5" t="inlineStr">
        <is>
          <t>2003</t>
        </is>
      </c>
      <c r="B67" s="5" t="inlineStr"/>
      <c r="C67" s="5" t="inlineStr">
        <is>
          <t>2ND 2NDA. D.</t>
        </is>
      </c>
      <c r="D67" s="5" t="inlineStr">
        <is>
          <t>DGA</t>
        </is>
      </c>
      <c r="E67" s="6" t="n">
        <v>526</v>
      </c>
      <c r="F67" s="5" t="n"/>
      <c r="G67" s="5" t="n"/>
      <c r="H67" s="5" t="n"/>
      <c r="I67" s="5" t="n"/>
      <c r="J67" s="7">
        <f>IF(AND(N(F67)&gt;0,N(I67)&gt;0),I67-F67-IF(N(G67)&gt;0,0.5,0)-IF(N(H67)&gt;0,0.5,0),0)</f>
        <v/>
      </c>
      <c r="K67" s="5" t="n"/>
      <c r="L67" s="7">
        <f>MIN(J67,8.0)</f>
        <v/>
      </c>
      <c r="M67" s="7">
        <f>MAX(0,MIN(J67,12)-8.0)</f>
        <v/>
      </c>
      <c r="N67" s="7">
        <f>MAX(0,J67-12)</f>
        <v/>
      </c>
      <c r="O67" s="5" t="n"/>
      <c r="P67" s="6">
        <f>E67*(L67+M67*1.5+N67*2+O67*3+N(K67))</f>
        <v/>
      </c>
      <c r="Q67" s="6" t="n">
        <v>526</v>
      </c>
      <c r="R67" s="6">
        <f>Q67-P67</f>
        <v/>
      </c>
    </row>
    <row r="68">
      <c r="P68" s="2" t="inlineStr">
        <is>
          <t>2NDASSTDIRECTORS LABOR</t>
        </is>
      </c>
      <c r="R68" s="8">
        <f>SUM(R66:R67)</f>
        <v/>
      </c>
    </row>
    <row r="70">
      <c r="B70" s="2" t="inlineStr">
        <is>
          <t>SCRIPTSUPERVISOR</t>
        </is>
      </c>
    </row>
    <row r="71">
      <c r="A71" s="5" t="inlineStr">
        <is>
          <t>2005</t>
        </is>
      </c>
      <c r="B71" s="5" t="inlineStr">
        <is>
          <t>Renata Amador</t>
        </is>
      </c>
      <c r="C71" s="5" t="inlineStr">
        <is>
          <t>SCRIPTSUPERVISOR</t>
        </is>
      </c>
      <c r="D71" s="5" t="inlineStr">
        <is>
          <t>Local871</t>
        </is>
      </c>
      <c r="E71" s="6" t="n">
        <v>25.5</v>
      </c>
      <c r="F71" s="5" t="n"/>
      <c r="G71" s="5" t="n"/>
      <c r="H71" s="5" t="n"/>
      <c r="I71" s="5" t="n"/>
      <c r="J71" s="7">
        <f>IF(AND(N(F71)&gt;0,N(I71)&gt;0),I71-F71-IF(N(G71)&gt;0,0.5,0)-IF(N(H71)&gt;0,0.5,0),0)</f>
        <v/>
      </c>
      <c r="K71" s="5" t="n"/>
      <c r="L71" s="7">
        <f>MIN(J71,10.0)</f>
        <v/>
      </c>
      <c r="M71" s="7">
        <f>MAX(0,MIN(J71,12)-10.0)</f>
        <v/>
      </c>
      <c r="N71" s="7">
        <f>MAX(0,J71-12)</f>
        <v/>
      </c>
      <c r="O71" s="5" t="n"/>
      <c r="P71" s="6">
        <f>E71*(L71+M71*1.5+N71*2+O71*3+N(K71))</f>
        <v/>
      </c>
      <c r="Q71" s="6" t="n">
        <v>439.87</v>
      </c>
      <c r="R71" s="6">
        <f>Q71-P71</f>
        <v/>
      </c>
    </row>
    <row r="72">
      <c r="P72" s="2" t="inlineStr">
        <is>
          <t>SCRIPTSUPERVISOR LABOR</t>
        </is>
      </c>
      <c r="R72" s="8">
        <f>SUM(R71:R71)</f>
        <v/>
      </c>
    </row>
    <row r="74">
      <c r="B74" s="2" t="inlineStr">
        <is>
          <t>LOCATIONMANAGERS</t>
        </is>
      </c>
    </row>
    <row r="75">
      <c r="A75" s="5" t="inlineStr">
        <is>
          <t>2007</t>
        </is>
      </c>
      <c r="B75" s="5" t="inlineStr">
        <is>
          <t>Stacey Brashear-Rodriquez</t>
        </is>
      </c>
      <c r="C75" s="5" t="inlineStr">
        <is>
          <t>LOCATIONMANAGER</t>
        </is>
      </c>
      <c r="D75" s="5" t="inlineStr">
        <is>
          <t>Local399</t>
        </is>
      </c>
      <c r="E75" s="6" t="n">
        <v>557.6</v>
      </c>
      <c r="F75" s="5" t="n"/>
      <c r="G75" s="5" t="n"/>
      <c r="H75" s="5" t="n"/>
      <c r="I75" s="5" t="n"/>
      <c r="J75" s="7">
        <f>IF(AND(N(F75)&gt;0,N(I75)&gt;0),I75-F75-IF(N(G75)&gt;0,0.5,0)-IF(N(H75)&gt;0,0.5,0),0)</f>
        <v/>
      </c>
      <c r="K75" s="5" t="n"/>
      <c r="L75" s="7">
        <f>MIN(J75,8.0)</f>
        <v/>
      </c>
      <c r="M75" s="7">
        <f>MAX(0,MIN(J75,12)-8.0)</f>
        <v/>
      </c>
      <c r="N75" s="7">
        <f>MAX(0,J75-12)</f>
        <v/>
      </c>
      <c r="O75" s="5" t="n"/>
      <c r="P75" s="6">
        <f>E75*(L75+M75*1.5+N75*2+O75*3+N(K75))</f>
        <v/>
      </c>
      <c r="Q75" s="6" t="n">
        <v>557.6</v>
      </c>
      <c r="R75" s="6">
        <f>Q75-P75</f>
        <v/>
      </c>
    </row>
    <row r="76">
      <c r="P76" s="2" t="inlineStr">
        <is>
          <t>LOCATIONMANAGERS LABOR</t>
        </is>
      </c>
      <c r="R76" s="8">
        <f>SUM(R75:R75)</f>
        <v/>
      </c>
    </row>
    <row r="78">
      <c r="B78" s="2" t="inlineStr">
        <is>
          <t>ASSISTANTLOCATIONMANAGERS</t>
        </is>
      </c>
    </row>
    <row r="79">
      <c r="A79" s="5" t="inlineStr">
        <is>
          <t>2008</t>
        </is>
      </c>
      <c r="B79" s="5" t="inlineStr">
        <is>
          <t>Rich Heichel</t>
        </is>
      </c>
      <c r="C79" s="5" t="inlineStr">
        <is>
          <t>KEYASSTLOCATIONMGR#1</t>
        </is>
      </c>
      <c r="D79" s="5" t="inlineStr">
        <is>
          <t>Local399</t>
        </is>
      </c>
      <c r="E79" s="6" t="n">
        <v>334.2</v>
      </c>
      <c r="F79" s="5" t="n"/>
      <c r="G79" s="5" t="n"/>
      <c r="H79" s="5" t="n"/>
      <c r="I79" s="5" t="n"/>
      <c r="J79" s="7">
        <f>IF(AND(N(F79)&gt;0,N(I79)&gt;0),I79-F79-IF(N(G79)&gt;0,0.5,0)-IF(N(H79)&gt;0,0.5,0),0)</f>
        <v/>
      </c>
      <c r="K79" s="5" t="n"/>
      <c r="L79" s="7">
        <f>MIN(J79,8.0)</f>
        <v/>
      </c>
      <c r="M79" s="7">
        <f>MAX(0,MIN(J79,12)-8.0)</f>
        <v/>
      </c>
      <c r="N79" s="7">
        <f>MAX(0,J79-12)</f>
        <v/>
      </c>
      <c r="O79" s="5" t="n"/>
      <c r="P79" s="6">
        <f>E79*(L79+M79*1.5+N79*2+O79*3+N(K79))</f>
        <v/>
      </c>
      <c r="Q79" s="6" t="n">
        <v>334.2</v>
      </c>
      <c r="R79" s="6">
        <f>Q79-P79</f>
        <v/>
      </c>
    </row>
    <row r="80">
      <c r="A80" s="5" t="inlineStr">
        <is>
          <t>2008</t>
        </is>
      </c>
      <c r="B80" s="5" t="inlineStr">
        <is>
          <t>Jason Mc Cauley</t>
        </is>
      </c>
      <c r="C80" s="5" t="inlineStr">
        <is>
          <t>LOCATIONASST</t>
        </is>
      </c>
      <c r="D80" s="5" t="inlineStr">
        <is>
          <t>Local399</t>
        </is>
      </c>
      <c r="E80" s="6" t="n">
        <v>229</v>
      </c>
      <c r="F80" s="5" t="n"/>
      <c r="G80" s="5" t="n"/>
      <c r="H80" s="5" t="n"/>
      <c r="I80" s="5" t="n"/>
      <c r="J80" s="7">
        <f>IF(AND(N(F80)&gt;0,N(I80)&gt;0),I80-F80-IF(N(G80)&gt;0,0.5,0)-IF(N(H80)&gt;0,0.5,0),0)</f>
        <v/>
      </c>
      <c r="K80" s="5" t="n"/>
      <c r="L80" s="7">
        <f>MIN(J80,8.0)</f>
        <v/>
      </c>
      <c r="M80" s="7">
        <f>MAX(0,MIN(J80,12)-8.0)</f>
        <v/>
      </c>
      <c r="N80" s="7">
        <f>MAX(0,J80-12)</f>
        <v/>
      </c>
      <c r="O80" s="5" t="n"/>
      <c r="P80" s="6">
        <f>E80*(L80+M80*1.5+N80*2+O80*3+N(K80))</f>
        <v/>
      </c>
      <c r="Q80" s="6" t="n">
        <v>229</v>
      </c>
      <c r="R80" s="6">
        <f>Q80-P80</f>
        <v/>
      </c>
    </row>
    <row r="81">
      <c r="P81" s="2" t="inlineStr">
        <is>
          <t>ASSISTANTLOCATIONMANAGERS LABOR</t>
        </is>
      </c>
      <c r="R81" s="8">
        <f>SUM(R79:R80)</f>
        <v/>
      </c>
    </row>
    <row r="83">
      <c r="B83" s="2" t="inlineStr">
        <is>
          <t>PRODUCTIONCOORDINATOR</t>
        </is>
      </c>
    </row>
    <row r="84">
      <c r="A84" s="5" t="inlineStr">
        <is>
          <t>2009</t>
        </is>
      </c>
      <c r="B84" s="5" t="inlineStr">
        <is>
          <t>Ali Griffith</t>
        </is>
      </c>
      <c r="C84" s="5" t="inlineStr">
        <is>
          <t>PRODUCTIONOFCCOORD</t>
        </is>
      </c>
      <c r="D84" s="5" t="inlineStr"/>
      <c r="E84" s="6" t="n">
        <v>360</v>
      </c>
      <c r="F84" s="5" t="n"/>
      <c r="G84" s="5" t="n"/>
      <c r="H84" s="5" t="n"/>
      <c r="I84" s="5" t="n"/>
      <c r="J84" s="7">
        <f>IF(AND(N(F84)&gt;0,N(I84)&gt;0),I84-F84-IF(N(G84)&gt;0,0.5,0)-IF(N(H84)&gt;0,0.5,0),0)</f>
        <v/>
      </c>
      <c r="K84" s="5" t="n"/>
      <c r="L84" s="7">
        <f>MIN(J84,8.0)</f>
        <v/>
      </c>
      <c r="M84" s="7">
        <f>MAX(0,MIN(J84,12)-8.0)</f>
        <v/>
      </c>
      <c r="N84" s="7">
        <f>MAX(0,J84-12)</f>
        <v/>
      </c>
      <c r="O84" s="5" t="n"/>
      <c r="P84" s="6">
        <f>E84*(L84+M84*1.5+N84*2+O84*3+N(K84))</f>
        <v/>
      </c>
      <c r="Q84" s="6" t="n">
        <v>360</v>
      </c>
      <c r="R84" s="6">
        <f>Q84-P84</f>
        <v/>
      </c>
    </row>
    <row r="85">
      <c r="P85" s="2" t="inlineStr">
        <is>
          <t>PRODUCTIONCOORDINATOR LABOR</t>
        </is>
      </c>
      <c r="R85" s="8">
        <f>SUM(R84:R84)</f>
        <v/>
      </c>
    </row>
    <row r="87">
      <c r="B87" s="2" t="inlineStr">
        <is>
          <t>ASSTPRODUCTIONCOORDINATOR</t>
        </is>
      </c>
    </row>
    <row r="88">
      <c r="A88" s="5" t="inlineStr">
        <is>
          <t>2010</t>
        </is>
      </c>
      <c r="B88" s="5" t="inlineStr">
        <is>
          <t>Holly Dellocono</t>
        </is>
      </c>
      <c r="C88" s="5" t="inlineStr">
        <is>
          <t>APOC</t>
        </is>
      </c>
      <c r="D88" s="5" t="inlineStr">
        <is>
          <t>Local871</t>
        </is>
      </c>
      <c r="E88" s="6" t="n">
        <v>20.57</v>
      </c>
      <c r="F88" s="5" t="n"/>
      <c r="G88" s="5" t="n"/>
      <c r="H88" s="5" t="n"/>
      <c r="I88" s="5" t="n"/>
      <c r="J88" s="7">
        <f>IF(AND(N(F88)&gt;0,N(I88)&gt;0),I88-F88-IF(N(G88)&gt;0,0.5,0)-IF(N(H88)&gt;0,0.5,0),0)</f>
        <v/>
      </c>
      <c r="K88" s="5" t="n"/>
      <c r="L88" s="7">
        <f>MIN(J88,10.0)</f>
        <v/>
      </c>
      <c r="M88" s="7">
        <f>MAX(0,MIN(J88,12)-10.0)</f>
        <v/>
      </c>
      <c r="N88" s="7">
        <f>MAX(0,J88-12)</f>
        <v/>
      </c>
      <c r="O88" s="5" t="n"/>
      <c r="P88" s="6">
        <f>E88*(L88+M88*1.5+N88*2+O88*3+N(K88))</f>
        <v/>
      </c>
      <c r="Q88" s="6" t="n">
        <v>287.98</v>
      </c>
      <c r="R88" s="6">
        <f>Q88-P88</f>
        <v/>
      </c>
    </row>
    <row r="89">
      <c r="P89" s="2" t="inlineStr">
        <is>
          <t>ASSTPRODUCTIONCOORDINATOR LABOR</t>
        </is>
      </c>
      <c r="R89" s="8">
        <f>SUM(R88:R88)</f>
        <v/>
      </c>
    </row>
    <row r="91">
      <c r="B91" s="2" t="inlineStr">
        <is>
          <t>OFFICESTAFFASSISTANTS</t>
        </is>
      </c>
    </row>
    <row r="92">
      <c r="A92" s="5" t="inlineStr">
        <is>
          <t>2011</t>
        </is>
      </c>
      <c r="B92" s="5" t="inlineStr">
        <is>
          <t>John Humber</t>
        </is>
      </c>
      <c r="C92" s="5" t="inlineStr">
        <is>
          <t>OFFICEPA#1</t>
        </is>
      </c>
      <c r="D92" s="5" t="inlineStr"/>
      <c r="E92" s="6" t="n">
        <v>22.5</v>
      </c>
      <c r="F92" s="5" t="n"/>
      <c r="G92" s="5" t="n"/>
      <c r="H92" s="5" t="n"/>
      <c r="I92" s="5" t="n"/>
      <c r="J92" s="7">
        <f>IF(AND(N(F92)&gt;0,N(I92)&gt;0),I92-F92-IF(N(G92)&gt;0,0.5,0)-IF(N(H92)&gt;0,0.5,0),0)</f>
        <v/>
      </c>
      <c r="K92" s="5" t="n"/>
      <c r="L92" s="7">
        <f>MIN(J92,8.0)</f>
        <v/>
      </c>
      <c r="M92" s="7">
        <f>MAX(0,MIN(J92,12)-8.0)</f>
        <v/>
      </c>
      <c r="N92" s="7">
        <f>MAX(0,J92-12)</f>
        <v/>
      </c>
      <c r="O92" s="5" t="n"/>
      <c r="P92" s="6">
        <f>E92*(L92+M92*1.5+N92*2+O92*3+N(K92))</f>
        <v/>
      </c>
      <c r="Q92" s="6" t="n">
        <v>168</v>
      </c>
      <c r="R92" s="6">
        <f>Q92-P92</f>
        <v/>
      </c>
    </row>
    <row r="93">
      <c r="A93" s="5" t="inlineStr">
        <is>
          <t>2011</t>
        </is>
      </c>
      <c r="B93" s="5" t="inlineStr">
        <is>
          <t>Sarah Semenas</t>
        </is>
      </c>
      <c r="C93" s="5" t="inlineStr">
        <is>
          <t>OFFICEPA#2</t>
        </is>
      </c>
      <c r="D93" s="5" t="inlineStr"/>
      <c r="E93" s="6" t="n">
        <v>22.5</v>
      </c>
      <c r="F93" s="5" t="n"/>
      <c r="G93" s="5" t="n"/>
      <c r="H93" s="5" t="n"/>
      <c r="I93" s="5" t="n"/>
      <c r="J93" s="7">
        <f>IF(AND(N(F93)&gt;0,N(I93)&gt;0),I93-F93-IF(N(G93)&gt;0,0.5,0)-IF(N(H93)&gt;0,0.5,0),0)</f>
        <v/>
      </c>
      <c r="K93" s="5" t="n"/>
      <c r="L93" s="7">
        <f>MIN(J93,8.0)</f>
        <v/>
      </c>
      <c r="M93" s="7">
        <f>MAX(0,MIN(J93,12)-8.0)</f>
        <v/>
      </c>
      <c r="N93" s="7">
        <f>MAX(0,J93-12)</f>
        <v/>
      </c>
      <c r="O93" s="5" t="n"/>
      <c r="P93" s="6">
        <f>E93*(L93+M93*1.5+N93*2+O93*3+N(K93))</f>
        <v/>
      </c>
      <c r="Q93" s="6" t="n">
        <v>168</v>
      </c>
      <c r="R93" s="6">
        <f>Q93-P93</f>
        <v/>
      </c>
    </row>
    <row r="94">
      <c r="P94" s="2" t="inlineStr">
        <is>
          <t>OFFICESTAFFASSISTANTS LABOR</t>
        </is>
      </c>
      <c r="R94" s="8">
        <f>SUM(R92:R93)</f>
        <v/>
      </c>
    </row>
    <row r="96">
      <c r="B96" s="2" t="inlineStr">
        <is>
          <t>SETSTAFFASSISTANTS</t>
        </is>
      </c>
    </row>
    <row r="97">
      <c r="A97" s="5" t="inlineStr">
        <is>
          <t>2012</t>
        </is>
      </c>
      <c r="B97" s="5" t="inlineStr">
        <is>
          <t>Paula Henry</t>
        </is>
      </c>
      <c r="C97" s="5" t="inlineStr">
        <is>
          <t>KEYSETPA</t>
        </is>
      </c>
      <c r="D97" s="5" t="inlineStr"/>
      <c r="E97" s="6" t="n">
        <v>12</v>
      </c>
      <c r="F97" s="5" t="n"/>
      <c r="G97" s="5" t="n"/>
      <c r="H97" s="5" t="n"/>
      <c r="I97" s="5" t="n"/>
      <c r="J97" s="7">
        <f>IF(AND(N(F97)&gt;0,N(I97)&gt;0),I97-F97-IF(N(G97)&gt;0,0.5,0)-IF(N(H97)&gt;0,0.5,0),0)</f>
        <v/>
      </c>
      <c r="K97" s="5" t="n"/>
      <c r="L97" s="7">
        <f>MIN(J97,8.0)</f>
        <v/>
      </c>
      <c r="M97" s="7">
        <f>MAX(0,MIN(J97,12)-8.0)</f>
        <v/>
      </c>
      <c r="N97" s="7">
        <f>MAX(0,J97-12)</f>
        <v/>
      </c>
      <c r="O97" s="5" t="n"/>
      <c r="P97" s="6">
        <f>E97*(L97+M97*1.5+N97*2+O97*3+N(K97))</f>
        <v/>
      </c>
      <c r="Q97" s="6" t="n">
        <v>216</v>
      </c>
      <c r="R97" s="6">
        <f>Q97-P97</f>
        <v/>
      </c>
    </row>
    <row r="98">
      <c r="A98" s="5" t="inlineStr">
        <is>
          <t>2012</t>
        </is>
      </c>
      <c r="B98" s="5" t="inlineStr"/>
      <c r="C98" s="5" t="inlineStr">
        <is>
          <t>SETPA#2</t>
        </is>
      </c>
      <c r="D98" s="5" t="inlineStr"/>
      <c r="E98" s="6" t="n">
        <v>12</v>
      </c>
      <c r="F98" s="5" t="n"/>
      <c r="G98" s="5" t="n"/>
      <c r="H98" s="5" t="n"/>
      <c r="I98" s="5" t="n"/>
      <c r="J98" s="7">
        <f>IF(AND(N(F98)&gt;0,N(I98)&gt;0),I98-F98-IF(N(G98)&gt;0,0.5,0)-IF(N(H98)&gt;0,0.5,0),0)</f>
        <v/>
      </c>
      <c r="K98" s="5" t="n"/>
      <c r="L98" s="7">
        <f>MIN(J98,8.0)</f>
        <v/>
      </c>
      <c r="M98" s="7">
        <f>MAX(0,MIN(J98,12)-8.0)</f>
        <v/>
      </c>
      <c r="N98" s="7">
        <f>MAX(0,J98-12)</f>
        <v/>
      </c>
      <c r="O98" s="5" t="n"/>
      <c r="P98" s="6">
        <f>E98*(L98+M98*1.5+N98*2+O98*3+N(K98))</f>
        <v/>
      </c>
      <c r="Q98" s="6" t="n">
        <v>216</v>
      </c>
      <c r="R98" s="6">
        <f>Q98-P98</f>
        <v/>
      </c>
    </row>
    <row r="99">
      <c r="A99" s="5" t="inlineStr">
        <is>
          <t>2012</t>
        </is>
      </c>
      <c r="B99" s="5" t="inlineStr"/>
      <c r="C99" s="5" t="inlineStr">
        <is>
          <t>SETPA#3</t>
        </is>
      </c>
      <c r="D99" s="5" t="inlineStr"/>
      <c r="E99" s="6" t="n">
        <v>12</v>
      </c>
      <c r="F99" s="5" t="n"/>
      <c r="G99" s="5" t="n"/>
      <c r="H99" s="5" t="n"/>
      <c r="I99" s="5" t="n"/>
      <c r="J99" s="7">
        <f>IF(AND(N(F99)&gt;0,N(I99)&gt;0),I99-F99-IF(N(G99)&gt;0,0.5,0)-IF(N(H99)&gt;0,0.5,0),0)</f>
        <v/>
      </c>
      <c r="K99" s="5" t="n"/>
      <c r="L99" s="7">
        <f>MIN(J99,8.0)</f>
        <v/>
      </c>
      <c r="M99" s="7">
        <f>MAX(0,MIN(J99,12)-8.0)</f>
        <v/>
      </c>
      <c r="N99" s="7">
        <f>MAX(0,J99-12)</f>
        <v/>
      </c>
      <c r="O99" s="5" t="n"/>
      <c r="P99" s="6">
        <f>E99*(L99+M99*1.5+N99*2+O99*3+N(K99))</f>
        <v/>
      </c>
      <c r="Q99" s="6" t="n">
        <v>216</v>
      </c>
      <c r="R99" s="6">
        <f>Q99-P99</f>
        <v/>
      </c>
    </row>
    <row r="100">
      <c r="A100" s="5" t="inlineStr">
        <is>
          <t>2012</t>
        </is>
      </c>
      <c r="B100" s="5" t="inlineStr"/>
      <c r="C100" s="5" t="inlineStr">
        <is>
          <t>SETPA#4</t>
        </is>
      </c>
      <c r="D100" s="5" t="inlineStr"/>
      <c r="E100" s="6" t="n">
        <v>12</v>
      </c>
      <c r="F100" s="5" t="n"/>
      <c r="G100" s="5" t="n"/>
      <c r="H100" s="5" t="n"/>
      <c r="I100" s="5" t="n"/>
      <c r="J100" s="7">
        <f>IF(AND(N(F100)&gt;0,N(I100)&gt;0),I100-F100-IF(N(G100)&gt;0,0.5,0)-IF(N(H100)&gt;0,0.5,0),0)</f>
        <v/>
      </c>
      <c r="K100" s="5" t="n"/>
      <c r="L100" s="7">
        <f>MIN(J100,8.0)</f>
        <v/>
      </c>
      <c r="M100" s="7">
        <f>MAX(0,MIN(J100,12)-8.0)</f>
        <v/>
      </c>
      <c r="N100" s="7">
        <f>MAX(0,J100-12)</f>
        <v/>
      </c>
      <c r="O100" s="5" t="n"/>
      <c r="P100" s="6">
        <f>E100*(L100+M100*1.5+N100*2+O100*3+N(K100))</f>
        <v/>
      </c>
      <c r="Q100" s="6" t="n">
        <v>216</v>
      </c>
      <c r="R100" s="6">
        <f>Q100-P100</f>
        <v/>
      </c>
    </row>
    <row r="101">
      <c r="P101" s="2" t="inlineStr">
        <is>
          <t>SETSTAFFASSISTANTS LABOR</t>
        </is>
      </c>
      <c r="R101" s="8">
        <f>SUM(R97:R100)</f>
        <v/>
      </c>
    </row>
    <row r="103">
      <c r="B103" s="2" t="inlineStr">
        <is>
          <t>PRODUCTIONACCOUNTANT</t>
        </is>
      </c>
    </row>
    <row r="104">
      <c r="A104" s="5" t="inlineStr">
        <is>
          <t>2013</t>
        </is>
      </c>
      <c r="B104" s="5" t="inlineStr">
        <is>
          <t>Joel Tokarsky</t>
        </is>
      </c>
      <c r="C104" s="5" t="inlineStr">
        <is>
          <t>PRODUCTIONACCOUNTANT</t>
        </is>
      </c>
      <c r="D104" s="5" t="inlineStr">
        <is>
          <t>Local871</t>
        </is>
      </c>
      <c r="E104" s="6" t="n">
        <v>740</v>
      </c>
      <c r="F104" s="5" t="n"/>
      <c r="G104" s="5" t="n"/>
      <c r="H104" s="5" t="n"/>
      <c r="I104" s="5" t="n"/>
      <c r="J104" s="7">
        <f>IF(AND(N(F104)&gt;0,N(I104)&gt;0),I104-F104-IF(N(G104)&gt;0,0.5,0)-IF(N(H104)&gt;0,0.5,0),0)</f>
        <v/>
      </c>
      <c r="K104" s="5" t="n"/>
      <c r="L104" s="7">
        <f>MIN(J104,10.0)</f>
        <v/>
      </c>
      <c r="M104" s="7">
        <f>MAX(0,MIN(J104,12)-10.0)</f>
        <v/>
      </c>
      <c r="N104" s="7">
        <f>MAX(0,J104-12)</f>
        <v/>
      </c>
      <c r="O104" s="5" t="n"/>
      <c r="P104" s="6">
        <f>E104*(L104+M104*1.5+N104*2+O104*3+N(K104))</f>
        <v/>
      </c>
      <c r="Q104" s="6" t="n">
        <v>740</v>
      </c>
      <c r="R104" s="6">
        <f>Q104-P104</f>
        <v/>
      </c>
    </row>
    <row r="105">
      <c r="P105" s="2" t="inlineStr">
        <is>
          <t>PRODUCTIONACCOUNTANT LABOR</t>
        </is>
      </c>
      <c r="R105" s="8">
        <f>SUM(R104:R104)</f>
        <v/>
      </c>
    </row>
    <row r="107">
      <c r="B107" s="2" t="inlineStr">
        <is>
          <t>ASSTPRODUCTIONACCOUNTANTS</t>
        </is>
      </c>
    </row>
    <row r="108">
      <c r="A108" s="5" t="inlineStr">
        <is>
          <t>2014</t>
        </is>
      </c>
      <c r="B108" s="5" t="inlineStr">
        <is>
          <t>Co-Co Aiello</t>
        </is>
      </c>
      <c r="C108" s="5" t="inlineStr">
        <is>
          <t>1STASSTACCT</t>
        </is>
      </c>
      <c r="D108" s="5" t="inlineStr">
        <is>
          <t>Local871</t>
        </is>
      </c>
      <c r="E108" s="6" t="n">
        <v>480</v>
      </c>
      <c r="F108" s="5" t="n"/>
      <c r="G108" s="5" t="n"/>
      <c r="H108" s="5" t="n"/>
      <c r="I108" s="5" t="n"/>
      <c r="J108" s="7">
        <f>IF(AND(N(F108)&gt;0,N(I108)&gt;0),I108-F108-IF(N(G108)&gt;0,0.5,0)-IF(N(H108)&gt;0,0.5,0),0)</f>
        <v/>
      </c>
      <c r="K108" s="5" t="n"/>
      <c r="L108" s="7">
        <f>MIN(J108,10.0)</f>
        <v/>
      </c>
      <c r="M108" s="7">
        <f>MAX(0,MIN(J108,12)-10.0)</f>
        <v/>
      </c>
      <c r="N108" s="7">
        <f>MAX(0,J108-12)</f>
        <v/>
      </c>
      <c r="O108" s="5" t="n"/>
      <c r="P108" s="6">
        <f>E108*(L108+M108*1.5+N108*2+O108*3+N(K108))</f>
        <v/>
      </c>
      <c r="Q108" s="6" t="n">
        <v>480</v>
      </c>
      <c r="R108" s="6">
        <f>Q108-P108</f>
        <v/>
      </c>
    </row>
    <row r="109">
      <c r="A109" s="5" t="inlineStr">
        <is>
          <t>2014</t>
        </is>
      </c>
      <c r="B109" s="5" t="inlineStr">
        <is>
          <t>Steve Goldstein</t>
        </is>
      </c>
      <c r="C109" s="5" t="inlineStr">
        <is>
          <t>PAYROLLACCT</t>
        </is>
      </c>
      <c r="D109" s="5" t="inlineStr">
        <is>
          <t>Local871</t>
        </is>
      </c>
      <c r="E109" s="6" t="n">
        <v>420</v>
      </c>
      <c r="F109" s="5" t="n"/>
      <c r="G109" s="5" t="n"/>
      <c r="H109" s="5" t="n"/>
      <c r="I109" s="5" t="n"/>
      <c r="J109" s="7">
        <f>IF(AND(N(F109)&gt;0,N(I109)&gt;0),I109-F109-IF(N(G109)&gt;0,0.5,0)-IF(N(H109)&gt;0,0.5,0),0)</f>
        <v/>
      </c>
      <c r="K109" s="5" t="n"/>
      <c r="L109" s="7">
        <f>MIN(J109,10.0)</f>
        <v/>
      </c>
      <c r="M109" s="7">
        <f>MAX(0,MIN(J109,12)-10.0)</f>
        <v/>
      </c>
      <c r="N109" s="7">
        <f>MAX(0,J109-12)</f>
        <v/>
      </c>
      <c r="O109" s="5" t="n"/>
      <c r="P109" s="6">
        <f>E109*(L109+M109*1.5+N109*2+O109*3+N(K109))</f>
        <v/>
      </c>
      <c r="Q109" s="6" t="n">
        <v>420</v>
      </c>
      <c r="R109" s="6">
        <f>Q109-P109</f>
        <v/>
      </c>
    </row>
    <row r="110">
      <c r="P110" s="2" t="inlineStr">
        <is>
          <t>ASSTPRODUCTIONACCOUNTANTS LABOR</t>
        </is>
      </c>
      <c r="R110" s="8">
        <f>SUM(R108:R109)</f>
        <v/>
      </c>
    </row>
    <row r="112">
      <c r="B112" s="2" t="inlineStr">
        <is>
          <t>CONSTRUCTIONCOORDINATOR</t>
        </is>
      </c>
    </row>
    <row r="113">
      <c r="A113" s="5" t="inlineStr">
        <is>
          <t>2302</t>
        </is>
      </c>
      <c r="B113" s="5" t="inlineStr">
        <is>
          <t>Drew Rebelin</t>
        </is>
      </c>
      <c r="C113" s="5" t="inlineStr">
        <is>
          <t>CONSTCOORDINATOR</t>
        </is>
      </c>
      <c r="D113" s="5" t="inlineStr">
        <is>
          <t>Local44</t>
        </is>
      </c>
      <c r="E113" s="6" t="n">
        <v>400</v>
      </c>
      <c r="F113" s="5" t="n"/>
      <c r="G113" s="5" t="n"/>
      <c r="H113" s="5" t="n"/>
      <c r="I113" s="5" t="n"/>
      <c r="J113" s="7">
        <f>IF(AND(N(F113)&gt;0,N(I113)&gt;0),I113-F113-IF(N(G113)&gt;0,0.5,0)-IF(N(H113)&gt;0,0.5,0),0)</f>
        <v/>
      </c>
      <c r="K113" s="5" t="n"/>
      <c r="L113" s="7">
        <f>MIN(J113,10.0)</f>
        <v/>
      </c>
      <c r="M113" s="7">
        <f>MAX(0,MIN(J113,12)-10.0)</f>
        <v/>
      </c>
      <c r="N113" s="7">
        <f>MAX(0,J113-12)</f>
        <v/>
      </c>
      <c r="O113" s="5" t="n"/>
      <c r="P113" s="6">
        <f>E113*(L113+M113*1.5+N113*2+O113*3+N(K113))</f>
        <v/>
      </c>
      <c r="Q113" s="5" t="n"/>
      <c r="R113" s="6">
        <f>Q113-P113</f>
        <v/>
      </c>
    </row>
    <row r="114">
      <c r="P114" s="2" t="inlineStr">
        <is>
          <t>CONSTRUCTIONCOORDINATOR LABOR</t>
        </is>
      </c>
      <c r="R114" s="8">
        <f>SUM(R113:R113)</f>
        <v/>
      </c>
    </row>
    <row r="116">
      <c r="B116" s="2" t="inlineStr">
        <is>
          <t>PAINTFOREMAN</t>
        </is>
      </c>
    </row>
    <row r="117">
      <c r="A117" s="5" t="inlineStr">
        <is>
          <t>2304</t>
        </is>
      </c>
      <c r="B117" s="5" t="inlineStr">
        <is>
          <t>Kristeen Reimnitz</t>
        </is>
      </c>
      <c r="C117" s="5" t="inlineStr">
        <is>
          <t>PAINTER</t>
        </is>
      </c>
      <c r="D117" s="5" t="inlineStr">
        <is>
          <t>Local729</t>
        </is>
      </c>
      <c r="E117" s="6" t="n">
        <v>23.04</v>
      </c>
      <c r="F117" s="5" t="n"/>
      <c r="G117" s="5" t="n"/>
      <c r="H117" s="5" t="n"/>
      <c r="I117" s="5" t="n"/>
      <c r="J117" s="7">
        <f>IF(AND(N(F117)&gt;0,N(I117)&gt;0),I117-F117-IF(N(G117)&gt;0,0.5,0)-IF(N(H117)&gt;0,0.5,0),0)</f>
        <v/>
      </c>
      <c r="K117" s="5" t="n"/>
      <c r="L117" s="7">
        <f>MIN(J117,10.0)</f>
        <v/>
      </c>
      <c r="M117" s="7">
        <f>MAX(0,MIN(J117,12)-10.0)</f>
        <v/>
      </c>
      <c r="N117" s="7">
        <f>MAX(0,J117-12)</f>
        <v/>
      </c>
      <c r="O117" s="5" t="n"/>
      <c r="P117" s="6">
        <f>E117*(L117+M117*1.5+N117*2+O117*3+N(K117))</f>
        <v/>
      </c>
      <c r="Q117" s="5" t="n"/>
      <c r="R117" s="6">
        <f>Q117-P117</f>
        <v/>
      </c>
    </row>
    <row r="118">
      <c r="P118" s="2" t="inlineStr">
        <is>
          <t>PAINTFOREMAN LABOR</t>
        </is>
      </c>
      <c r="R118" s="8">
        <f>SUM(R117:R117)</f>
        <v/>
      </c>
    </row>
    <row r="120">
      <c r="B120" s="2" t="inlineStr">
        <is>
          <t>FIRSTAIDLABOR</t>
        </is>
      </c>
    </row>
    <row r="121">
      <c r="A121" s="5" t="inlineStr">
        <is>
          <t>2310</t>
        </is>
      </c>
      <c r="B121" s="5" t="inlineStr"/>
      <c r="C121" s="5" t="inlineStr">
        <is>
          <t>CONSTRUCTIONMEDIC</t>
        </is>
      </c>
      <c r="D121" s="5" t="inlineStr">
        <is>
          <t>Local80</t>
        </is>
      </c>
      <c r="E121" s="6" t="n">
        <v>23.04</v>
      </c>
      <c r="F121" s="5" t="n"/>
      <c r="G121" s="5" t="n"/>
      <c r="H121" s="5" t="n"/>
      <c r="I121" s="5" t="n"/>
      <c r="J121" s="7">
        <f>IF(AND(N(F121)&gt;0,N(I121)&gt;0),I121-F121-IF(N(G121)&gt;0,0.5,0)-IF(N(H121)&gt;0,0.5,0),0)</f>
        <v/>
      </c>
      <c r="K121" s="5" t="n"/>
      <c r="L121" s="7">
        <f>MIN(J121,10.0)</f>
        <v/>
      </c>
      <c r="M121" s="7">
        <f>MAX(0,MIN(J121,12)-10.0)</f>
        <v/>
      </c>
      <c r="N121" s="7">
        <f>MAX(0,J121-12)</f>
        <v/>
      </c>
      <c r="O121" s="5" t="n"/>
      <c r="P121" s="6">
        <f>E121*(L121+M121*1.5+N121*2+O121*3+N(K121))</f>
        <v/>
      </c>
      <c r="Q121" s="5" t="n"/>
      <c r="R121" s="6">
        <f>Q121-P121</f>
        <v/>
      </c>
    </row>
    <row r="122">
      <c r="P122" s="2" t="inlineStr">
        <is>
          <t>FIRSTAIDLABOR LABOR</t>
        </is>
      </c>
      <c r="R122" s="8">
        <f>SUM(R121:R121)</f>
        <v/>
      </c>
    </row>
    <row r="124">
      <c r="B124" s="2" t="inlineStr">
        <is>
          <t>KEYGRIP</t>
        </is>
      </c>
    </row>
    <row r="125">
      <c r="A125" s="5" t="inlineStr">
        <is>
          <t>2501</t>
        </is>
      </c>
      <c r="B125" s="5" t="inlineStr">
        <is>
          <t>Pat O'Mara</t>
        </is>
      </c>
      <c r="C125" s="5" t="inlineStr">
        <is>
          <t>KEYGRIP</t>
        </is>
      </c>
      <c r="D125" s="5" t="inlineStr">
        <is>
          <t>Local80</t>
        </is>
      </c>
      <c r="E125" s="6" t="n">
        <v>25.5</v>
      </c>
      <c r="F125" s="5" t="n"/>
      <c r="G125" s="5" t="n"/>
      <c r="H125" s="5" t="n"/>
      <c r="I125" s="5" t="n"/>
      <c r="J125" s="7">
        <f>IF(AND(N(F125)&gt;0,N(I125)&gt;0),I125-F125-IF(N(G125)&gt;0,0.5,0)-IF(N(H125)&gt;0,0.5,0),0)</f>
        <v/>
      </c>
      <c r="K125" s="5" t="n"/>
      <c r="L125" s="7">
        <f>MIN(J125,10.0)</f>
        <v/>
      </c>
      <c r="M125" s="7">
        <f>MAX(0,MIN(J125,12)-10.0)</f>
        <v/>
      </c>
      <c r="N125" s="7">
        <f>MAX(0,J125-12)</f>
        <v/>
      </c>
      <c r="O125" s="5" t="n"/>
      <c r="P125" s="6">
        <f>E125*(L125+M125*1.5+N125*2+O125*3+N(K125))</f>
        <v/>
      </c>
      <c r="Q125" s="6" t="n">
        <v>395.25</v>
      </c>
      <c r="R125" s="6">
        <f>Q125-P125</f>
        <v/>
      </c>
    </row>
    <row r="126">
      <c r="P126" s="2" t="inlineStr">
        <is>
          <t>KEYGRIP LABOR</t>
        </is>
      </c>
      <c r="R126" s="8">
        <f>SUM(R125:R125)</f>
        <v/>
      </c>
    </row>
    <row r="128">
      <c r="B128" s="2" t="inlineStr">
        <is>
          <t>BESTBOYGRIP</t>
        </is>
      </c>
    </row>
    <row r="129">
      <c r="A129" s="5" t="inlineStr">
        <is>
          <t>2502</t>
        </is>
      </c>
      <c r="B129" s="5" t="inlineStr">
        <is>
          <t>Aaron Fairley</t>
        </is>
      </c>
      <c r="C129" s="5" t="inlineStr">
        <is>
          <t>BESTBOYGRIP</t>
        </is>
      </c>
      <c r="D129" s="5" t="inlineStr">
        <is>
          <t>Local80</t>
        </is>
      </c>
      <c r="E129" s="6" t="n">
        <v>23.04</v>
      </c>
      <c r="F129" s="5" t="n"/>
      <c r="G129" s="5" t="n"/>
      <c r="H129" s="5" t="n"/>
      <c r="I129" s="5" t="n"/>
      <c r="J129" s="7">
        <f>IF(AND(N(F129)&gt;0,N(I129)&gt;0),I129-F129-IF(N(G129)&gt;0,0.5,0)-IF(N(H129)&gt;0,0.5,0),0)</f>
        <v/>
      </c>
      <c r="K129" s="5" t="n"/>
      <c r="L129" s="7">
        <f>MIN(J129,10.0)</f>
        <v/>
      </c>
      <c r="M129" s="7">
        <f>MAX(0,MIN(J129,12)-10.0)</f>
        <v/>
      </c>
      <c r="N129" s="7">
        <f>MAX(0,J129-12)</f>
        <v/>
      </c>
      <c r="O129" s="5" t="n"/>
      <c r="P129" s="6">
        <f>E129*(L129+M129*1.5+N129*2+O129*3+N(K129))</f>
        <v/>
      </c>
      <c r="Q129" s="6" t="n">
        <v>357.12</v>
      </c>
      <c r="R129" s="6">
        <f>Q129-P129</f>
        <v/>
      </c>
    </row>
    <row r="130">
      <c r="A130" s="5" t="inlineStr">
        <is>
          <t>2502</t>
        </is>
      </c>
      <c r="B130" s="5" t="inlineStr"/>
      <c r="C130" s="5" t="inlineStr">
        <is>
          <t>STUDIOBESTBOYGRIP</t>
        </is>
      </c>
      <c r="D130" s="5" t="inlineStr">
        <is>
          <t>Local80</t>
        </is>
      </c>
      <c r="E130" s="6" t="n">
        <v>43.05</v>
      </c>
      <c r="F130" s="5" t="n"/>
      <c r="G130" s="5" t="n"/>
      <c r="H130" s="5" t="n"/>
      <c r="I130" s="5" t="n"/>
      <c r="J130" s="7">
        <f>IF(AND(N(F130)&gt;0,N(I130)&gt;0),I130-F130-IF(N(G130)&gt;0,0.5,0)-IF(N(H130)&gt;0,0.5,0),0)</f>
        <v/>
      </c>
      <c r="K130" s="5" t="n"/>
      <c r="L130" s="7">
        <f>MIN(J130,10.0)</f>
        <v/>
      </c>
      <c r="M130" s="7">
        <f>MAX(0,MIN(J130,12)-10.0)</f>
        <v/>
      </c>
      <c r="N130" s="7">
        <f>MAX(0,J130-12)</f>
        <v/>
      </c>
      <c r="O130" s="5" t="n"/>
      <c r="P130" s="6">
        <f>E130*(L130+M130*1.5+N130*2+O130*3+N(K130))</f>
        <v/>
      </c>
      <c r="Q130" s="6" t="n">
        <v>667.27</v>
      </c>
      <c r="R130" s="6">
        <f>Q130-P130</f>
        <v/>
      </c>
    </row>
    <row r="131">
      <c r="P131" s="2" t="inlineStr">
        <is>
          <t>BESTBOYGRIP LABOR</t>
        </is>
      </c>
      <c r="R131" s="8">
        <f>SUM(R129:R130)</f>
        <v/>
      </c>
    </row>
    <row r="133">
      <c r="B133" s="2" t="inlineStr">
        <is>
          <t>DOLLYGRIP</t>
        </is>
      </c>
    </row>
    <row r="134">
      <c r="A134" s="5" t="inlineStr">
        <is>
          <t>2503</t>
        </is>
      </c>
      <c r="B134" s="5" t="inlineStr">
        <is>
          <t>Peter Weidenfeller</t>
        </is>
      </c>
      <c r="C134" s="5" t="inlineStr">
        <is>
          <t>"A"DOLLYGRIP</t>
        </is>
      </c>
      <c r="D134" s="5" t="inlineStr">
        <is>
          <t>Local80</t>
        </is>
      </c>
      <c r="E134" s="6" t="n">
        <v>23.04</v>
      </c>
      <c r="F134" s="5" t="n"/>
      <c r="G134" s="5" t="n"/>
      <c r="H134" s="5" t="n"/>
      <c r="I134" s="5" t="n"/>
      <c r="J134" s="7">
        <f>IF(AND(N(F134)&gt;0,N(I134)&gt;0),I134-F134-IF(N(G134)&gt;0,0.5,0)-IF(N(H134)&gt;0,0.5,0),0)</f>
        <v/>
      </c>
      <c r="K134" s="5" t="n"/>
      <c r="L134" s="7">
        <f>MIN(J134,10.0)</f>
        <v/>
      </c>
      <c r="M134" s="7">
        <f>MAX(0,MIN(J134,12)-10.0)</f>
        <v/>
      </c>
      <c r="N134" s="7">
        <f>MAX(0,J134-12)</f>
        <v/>
      </c>
      <c r="O134" s="5" t="n"/>
      <c r="P134" s="6">
        <f>E134*(L134+M134*1.5+N134*2+O134*3+N(K134))</f>
        <v/>
      </c>
      <c r="Q134" s="6" t="n">
        <v>357.12</v>
      </c>
      <c r="R134" s="6">
        <f>Q134-P134</f>
        <v/>
      </c>
    </row>
    <row r="135">
      <c r="P135" s="2" t="inlineStr">
        <is>
          <t>DOLLYGRIP LABOR</t>
        </is>
      </c>
      <c r="R135" s="8">
        <f>SUM(R134:R134)</f>
        <v/>
      </c>
    </row>
    <row r="137">
      <c r="B137" s="2" t="inlineStr">
        <is>
          <t>CRANEGRIPS</t>
        </is>
      </c>
    </row>
    <row r="138">
      <c r="A138" s="5" t="inlineStr">
        <is>
          <t>2504</t>
        </is>
      </c>
      <c r="B138" s="5" t="inlineStr"/>
      <c r="C138" s="5" t="inlineStr">
        <is>
          <t>CRANEOPERATOR</t>
        </is>
      </c>
      <c r="D138" s="5" t="inlineStr">
        <is>
          <t>Local80</t>
        </is>
      </c>
      <c r="E138" s="6" t="n">
        <v>792</v>
      </c>
      <c r="F138" s="5" t="n"/>
      <c r="G138" s="5" t="n"/>
      <c r="H138" s="5" t="n"/>
      <c r="I138" s="5" t="n"/>
      <c r="J138" s="7">
        <f>IF(AND(N(F138)&gt;0,N(I138)&gt;0),I138-F138-IF(N(G138)&gt;0,0.5,0)-IF(N(H138)&gt;0,0.5,0),0)</f>
        <v/>
      </c>
      <c r="K138" s="5" t="n"/>
      <c r="L138" s="7">
        <f>MIN(J138,10.0)</f>
        <v/>
      </c>
      <c r="M138" s="7">
        <f>MAX(0,MIN(J138,12)-10.0)</f>
        <v/>
      </c>
      <c r="N138" s="7">
        <f>MAX(0,J138-12)</f>
        <v/>
      </c>
      <c r="O138" s="5" t="n"/>
      <c r="P138" s="6">
        <f>E138*(L138+M138*1.5+N138*2+O138*3+N(K138))</f>
        <v/>
      </c>
      <c r="Q138" s="6" t="n">
        <v>924</v>
      </c>
      <c r="R138" s="6">
        <f>Q138-P138</f>
        <v/>
      </c>
    </row>
    <row r="139">
      <c r="A139" s="5" t="inlineStr">
        <is>
          <t>2504</t>
        </is>
      </c>
      <c r="B139" s="5" t="inlineStr"/>
      <c r="C139" s="5" t="inlineStr">
        <is>
          <t>CRANEASSISTANT</t>
        </is>
      </c>
      <c r="D139" s="5" t="inlineStr">
        <is>
          <t>Local80</t>
        </is>
      </c>
      <c r="E139" s="6" t="n">
        <v>660</v>
      </c>
      <c r="F139" s="5" t="n"/>
      <c r="G139" s="5" t="n"/>
      <c r="H139" s="5" t="n"/>
      <c r="I139" s="5" t="n"/>
      <c r="J139" s="7">
        <f>IF(AND(N(F139)&gt;0,N(I139)&gt;0),I139-F139-IF(N(G139)&gt;0,0.5,0)-IF(N(H139)&gt;0,0.5,0),0)</f>
        <v/>
      </c>
      <c r="K139" s="5" t="n"/>
      <c r="L139" s="7">
        <f>MIN(J139,10.0)</f>
        <v/>
      </c>
      <c r="M139" s="7">
        <f>MAX(0,MIN(J139,12)-10.0)</f>
        <v/>
      </c>
      <c r="N139" s="7">
        <f>MAX(0,J139-12)</f>
        <v/>
      </c>
      <c r="O139" s="5" t="n"/>
      <c r="P139" s="6">
        <f>E139*(L139+M139*1.5+N139*2+O139*3+N(K139))</f>
        <v/>
      </c>
      <c r="Q139" s="6" t="n">
        <v>770</v>
      </c>
      <c r="R139" s="6">
        <f>Q139-P139</f>
        <v/>
      </c>
    </row>
    <row r="140">
      <c r="P140" s="2" t="inlineStr">
        <is>
          <t>CRANEGRIPS LABOR</t>
        </is>
      </c>
      <c r="R140" s="8">
        <f>SUM(R138:R139)</f>
        <v/>
      </c>
    </row>
    <row r="142">
      <c r="B142" s="2" t="inlineStr">
        <is>
          <t>COMPANYGRIPS</t>
        </is>
      </c>
    </row>
    <row r="143">
      <c r="A143" s="5" t="inlineStr">
        <is>
          <t>2505</t>
        </is>
      </c>
      <c r="B143" s="5" t="inlineStr"/>
      <c r="C143" s="5" t="inlineStr">
        <is>
          <t>GRIP#1</t>
        </is>
      </c>
      <c r="D143" s="5" t="inlineStr">
        <is>
          <t>Local80</t>
        </is>
      </c>
      <c r="E143" s="6" t="n">
        <v>20.57</v>
      </c>
      <c r="F143" s="5" t="n"/>
      <c r="G143" s="5" t="n"/>
      <c r="H143" s="5" t="n"/>
      <c r="I143" s="5" t="n"/>
      <c r="J143" s="7">
        <f>IF(AND(N(F143)&gt;0,N(I143)&gt;0),I143-F143-IF(N(G143)&gt;0,0.5,0)-IF(N(H143)&gt;0,0.5,0),0)</f>
        <v/>
      </c>
      <c r="K143" s="5" t="n"/>
      <c r="L143" s="7">
        <f>MIN(J143,10.0)</f>
        <v/>
      </c>
      <c r="M143" s="7">
        <f>MAX(0,MIN(J143,12)-10.0)</f>
        <v/>
      </c>
      <c r="N143" s="7">
        <f>MAX(0,J143-12)</f>
        <v/>
      </c>
      <c r="O143" s="5" t="n"/>
      <c r="P143" s="6">
        <f>E143*(L143+M143*1.5+N143*2+O143*3+N(K143))</f>
        <v/>
      </c>
      <c r="Q143" s="6" t="n">
        <v>318.83</v>
      </c>
      <c r="R143" s="6">
        <f>Q143-P143</f>
        <v/>
      </c>
    </row>
    <row r="144">
      <c r="A144" s="5" t="inlineStr">
        <is>
          <t>2505</t>
        </is>
      </c>
      <c r="B144" s="5" t="inlineStr"/>
      <c r="C144" s="5" t="inlineStr">
        <is>
          <t>GRIP#2</t>
        </is>
      </c>
      <c r="D144" s="5" t="inlineStr">
        <is>
          <t>Local80</t>
        </is>
      </c>
      <c r="E144" s="6" t="n">
        <v>20.57</v>
      </c>
      <c r="F144" s="5" t="n"/>
      <c r="G144" s="5" t="n"/>
      <c r="H144" s="5" t="n"/>
      <c r="I144" s="5" t="n"/>
      <c r="J144" s="7">
        <f>IF(AND(N(F144)&gt;0,N(I144)&gt;0),I144-F144-IF(N(G144)&gt;0,0.5,0)-IF(N(H144)&gt;0,0.5,0),0)</f>
        <v/>
      </c>
      <c r="K144" s="5" t="n"/>
      <c r="L144" s="7">
        <f>MIN(J144,10.0)</f>
        <v/>
      </c>
      <c r="M144" s="7">
        <f>MAX(0,MIN(J144,12)-10.0)</f>
        <v/>
      </c>
      <c r="N144" s="7">
        <f>MAX(0,J144-12)</f>
        <v/>
      </c>
      <c r="O144" s="5" t="n"/>
      <c r="P144" s="6">
        <f>E144*(L144+M144*1.5+N144*2+O144*3+N(K144))</f>
        <v/>
      </c>
      <c r="Q144" s="6" t="n">
        <v>318.83</v>
      </c>
      <c r="R144" s="6">
        <f>Q144-P144</f>
        <v/>
      </c>
    </row>
    <row r="145">
      <c r="A145" s="5" t="inlineStr">
        <is>
          <t>2505</t>
        </is>
      </c>
      <c r="B145" s="5" t="inlineStr"/>
      <c r="C145" s="5" t="inlineStr">
        <is>
          <t>GRIP#3</t>
        </is>
      </c>
      <c r="D145" s="5" t="inlineStr">
        <is>
          <t>Local80</t>
        </is>
      </c>
      <c r="E145" s="6" t="n">
        <v>20.57</v>
      </c>
      <c r="F145" s="5" t="n"/>
      <c r="G145" s="5" t="n"/>
      <c r="H145" s="5" t="n"/>
      <c r="I145" s="5" t="n"/>
      <c r="J145" s="7">
        <f>IF(AND(N(F145)&gt;0,N(I145)&gt;0),I145-F145-IF(N(G145)&gt;0,0.5,0)-IF(N(H145)&gt;0,0.5,0),0)</f>
        <v/>
      </c>
      <c r="K145" s="5" t="n"/>
      <c r="L145" s="7">
        <f>MIN(J145,10.0)</f>
        <v/>
      </c>
      <c r="M145" s="7">
        <f>MAX(0,MIN(J145,12)-10.0)</f>
        <v/>
      </c>
      <c r="N145" s="7">
        <f>MAX(0,J145-12)</f>
        <v/>
      </c>
      <c r="O145" s="5" t="n"/>
      <c r="P145" s="6">
        <f>E145*(L145+M145*1.5+N145*2+O145*3+N(K145))</f>
        <v/>
      </c>
      <c r="Q145" s="6" t="n">
        <v>318.83</v>
      </c>
      <c r="R145" s="6">
        <f>Q145-P145</f>
        <v/>
      </c>
    </row>
    <row r="146">
      <c r="P146" s="2" t="inlineStr">
        <is>
          <t>COMPANYGRIPS LABOR</t>
        </is>
      </c>
      <c r="R146" s="8">
        <f>SUM(R143:R145)</f>
        <v/>
      </c>
    </row>
    <row r="148">
      <c r="B148" s="2" t="inlineStr">
        <is>
          <t>OTHERLABOR</t>
        </is>
      </c>
    </row>
    <row r="149">
      <c r="A149" s="5" t="inlineStr">
        <is>
          <t>2506</t>
        </is>
      </c>
      <c r="B149" s="5" t="inlineStr"/>
      <c r="C149" s="5" t="inlineStr">
        <is>
          <t>GRIPMANDAYS&amp;RIGGINGMANDAYS</t>
        </is>
      </c>
      <c r="D149" s="5" t="inlineStr">
        <is>
          <t>Local80</t>
        </is>
      </c>
      <c r="E149" s="6" t="n">
        <v>20.57</v>
      </c>
      <c r="F149" s="5" t="n"/>
      <c r="G149" s="5" t="n"/>
      <c r="H149" s="5" t="n"/>
      <c r="I149" s="5" t="n"/>
      <c r="J149" s="7">
        <f>IF(AND(N(F149)&gt;0,N(I149)&gt;0),I149-F149-IF(N(G149)&gt;0,0.5,0)-IF(N(H149)&gt;0,0.5,0),0)</f>
        <v/>
      </c>
      <c r="K149" s="5" t="n"/>
      <c r="L149" s="7">
        <f>MIN(J149,10.0)</f>
        <v/>
      </c>
      <c r="M149" s="7">
        <f>MAX(0,MIN(J149,12)-10.0)</f>
        <v/>
      </c>
      <c r="N149" s="7">
        <f>MAX(0,J149-12)</f>
        <v/>
      </c>
      <c r="O149" s="5" t="n"/>
      <c r="P149" s="6">
        <f>E149*(L149+M149*1.5+N149*2+O149*3+N(K149))</f>
        <v/>
      </c>
      <c r="Q149" s="6" t="n">
        <v>318.83</v>
      </c>
      <c r="R149" s="6">
        <f>Q149-P149</f>
        <v/>
      </c>
    </row>
    <row r="150">
      <c r="P150" s="2" t="inlineStr">
        <is>
          <t>OTHERLABOR LABOR</t>
        </is>
      </c>
      <c r="R150" s="8">
        <f>SUM(R149:R149)</f>
        <v/>
      </c>
    </row>
    <row r="152">
      <c r="B152" s="2" t="inlineStr">
        <is>
          <t>STANDBYLABOR</t>
        </is>
      </c>
    </row>
    <row r="153">
      <c r="A153" s="5" t="inlineStr">
        <is>
          <t>2510</t>
        </is>
      </c>
      <c r="B153" s="5" t="inlineStr"/>
      <c r="C153" s="5" t="inlineStr">
        <is>
          <t>LAYOUTBOARD</t>
        </is>
      </c>
      <c r="D153" s="5" t="inlineStr">
        <is>
          <t>Local729</t>
        </is>
      </c>
      <c r="E153" s="6" t="n">
        <v>25.5</v>
      </c>
      <c r="F153" s="5" t="n"/>
      <c r="G153" s="5" t="n"/>
      <c r="H153" s="5" t="n"/>
      <c r="I153" s="5" t="n"/>
      <c r="J153" s="7">
        <f>IF(AND(N(F153)&gt;0,N(I153)&gt;0),I153-F153-IF(N(G153)&gt;0,0.5,0)-IF(N(H153)&gt;0,0.5,0),0)</f>
        <v/>
      </c>
      <c r="K153" s="5" t="n"/>
      <c r="L153" s="7">
        <f>MIN(J153,10.0)</f>
        <v/>
      </c>
      <c r="M153" s="7">
        <f>MAX(0,MIN(J153,12)-10.0)</f>
        <v/>
      </c>
      <c r="N153" s="7">
        <f>MAX(0,J153-12)</f>
        <v/>
      </c>
      <c r="O153" s="5" t="n"/>
      <c r="P153" s="6">
        <f>E153*(L153+M153*1.5+N153*2+O153*3+N(K153))</f>
        <v/>
      </c>
      <c r="Q153" s="6" t="n">
        <v>395.25</v>
      </c>
      <c r="R153" s="6">
        <f>Q153-P153</f>
        <v/>
      </c>
    </row>
    <row r="154">
      <c r="P154" s="2" t="inlineStr">
        <is>
          <t>STANDBYLABOR LABOR</t>
        </is>
      </c>
      <c r="R154" s="8">
        <f>SUM(R153:R153)</f>
        <v/>
      </c>
    </row>
    <row r="156">
      <c r="B156" s="2" t="inlineStr">
        <is>
          <t>SETCRAFTSERVICELABOR</t>
        </is>
      </c>
    </row>
    <row r="157">
      <c r="A157" s="5" t="inlineStr">
        <is>
          <t>2511</t>
        </is>
      </c>
      <c r="B157" s="5" t="inlineStr">
        <is>
          <t>Maurico Solis</t>
        </is>
      </c>
      <c r="C157" s="5" t="inlineStr">
        <is>
          <t>KEYCRAFTSERVICE</t>
        </is>
      </c>
      <c r="D157" s="5" t="inlineStr">
        <is>
          <t>Local80</t>
        </is>
      </c>
      <c r="E157" s="6" t="n">
        <v>25.5</v>
      </c>
      <c r="F157" s="5" t="n"/>
      <c r="G157" s="5" t="n"/>
      <c r="H157" s="5" t="n"/>
      <c r="I157" s="5" t="n"/>
      <c r="J157" s="7">
        <f>IF(AND(N(F157)&gt;0,N(I157)&gt;0),I157-F157-IF(N(G157)&gt;0,0.5,0)-IF(N(H157)&gt;0,0.5,0),0)</f>
        <v/>
      </c>
      <c r="K157" s="5" t="n"/>
      <c r="L157" s="7">
        <f>MIN(J157,10.0)</f>
        <v/>
      </c>
      <c r="M157" s="7">
        <f>MAX(0,MIN(J157,12)-10.0)</f>
        <v/>
      </c>
      <c r="N157" s="7">
        <f>MAX(0,J157-12)</f>
        <v/>
      </c>
      <c r="O157" s="5" t="n"/>
      <c r="P157" s="6">
        <f>E157*(L157+M157*1.5+N157*2+O157*3+N(K157))</f>
        <v/>
      </c>
      <c r="Q157" s="6" t="n">
        <v>439.87</v>
      </c>
      <c r="R157" s="6">
        <f>Q157-P157</f>
        <v/>
      </c>
    </row>
    <row r="158">
      <c r="A158" s="5" t="inlineStr">
        <is>
          <t>2511</t>
        </is>
      </c>
      <c r="B158" s="5" t="inlineStr"/>
      <c r="C158" s="5" t="inlineStr">
        <is>
          <t>ASSTCRAFTSERVICE</t>
        </is>
      </c>
      <c r="D158" s="5" t="inlineStr">
        <is>
          <t>Local80</t>
        </is>
      </c>
      <c r="E158" s="6" t="n">
        <v>23.04</v>
      </c>
      <c r="F158" s="5" t="n"/>
      <c r="G158" s="5" t="n"/>
      <c r="H158" s="5" t="n"/>
      <c r="I158" s="5" t="n"/>
      <c r="J158" s="7">
        <f>IF(AND(N(F158)&gt;0,N(I158)&gt;0),I158-F158-IF(N(G158)&gt;0,0.5,0)-IF(N(H158)&gt;0,0.5,0),0)</f>
        <v/>
      </c>
      <c r="K158" s="5" t="n"/>
      <c r="L158" s="7">
        <f>MIN(J158,10.0)</f>
        <v/>
      </c>
      <c r="M158" s="7">
        <f>MAX(0,MIN(J158,12)-10.0)</f>
        <v/>
      </c>
      <c r="N158" s="7">
        <f>MAX(0,J158-12)</f>
        <v/>
      </c>
      <c r="O158" s="5" t="n"/>
      <c r="P158" s="6">
        <f>E158*(L158+M158*1.5+N158*2+O158*3+N(K158))</f>
        <v/>
      </c>
      <c r="Q158" s="6" t="n">
        <v>397.43</v>
      </c>
      <c r="R158" s="6">
        <f>Q158-P158</f>
        <v/>
      </c>
    </row>
    <row r="159">
      <c r="P159" s="2" t="inlineStr">
        <is>
          <t>SETCRAFTSERVICELABOR LABOR</t>
        </is>
      </c>
      <c r="R159" s="8">
        <f>SUM(R157:R158)</f>
        <v/>
      </c>
    </row>
    <row r="161">
      <c r="B161" s="2" t="inlineStr">
        <is>
          <t>SETFIRSTAIDLABOR</t>
        </is>
      </c>
    </row>
    <row r="162">
      <c r="A162" s="5" t="inlineStr">
        <is>
          <t>2514</t>
        </is>
      </c>
      <c r="B162" s="5" t="inlineStr">
        <is>
          <t>Robert Hill</t>
        </is>
      </c>
      <c r="C162" s="5" t="inlineStr">
        <is>
          <t>SETMEDIC</t>
        </is>
      </c>
      <c r="D162" s="5" t="inlineStr">
        <is>
          <t>Local80</t>
        </is>
      </c>
      <c r="E162" s="6" t="n">
        <v>23.04</v>
      </c>
      <c r="F162" s="5" t="n"/>
      <c r="G162" s="5" t="n"/>
      <c r="H162" s="5" t="n"/>
      <c r="I162" s="5" t="n"/>
      <c r="J162" s="7">
        <f>IF(AND(N(F162)&gt;0,N(I162)&gt;0),I162-F162-IF(N(G162)&gt;0,0.5,0)-IF(N(H162)&gt;0,0.5,0),0)</f>
        <v/>
      </c>
      <c r="K162" s="5" t="n"/>
      <c r="L162" s="7">
        <f>MIN(J162,10.0)</f>
        <v/>
      </c>
      <c r="M162" s="7">
        <f>MAX(0,MIN(J162,12)-10.0)</f>
        <v/>
      </c>
      <c r="N162" s="7">
        <f>MAX(0,J162-12)</f>
        <v/>
      </c>
      <c r="O162" s="5" t="n"/>
      <c r="P162" s="6">
        <f>E162*(L162+M162*1.5+N162*2+O162*3+N(K162))</f>
        <v/>
      </c>
      <c r="Q162" s="6" t="n">
        <v>397.43</v>
      </c>
      <c r="R162" s="6">
        <f>Q162-P162</f>
        <v/>
      </c>
    </row>
    <row r="163">
      <c r="A163" s="5" t="inlineStr">
        <is>
          <t>2514</t>
        </is>
      </c>
      <c r="B163" s="5" t="inlineStr"/>
      <c r="C163" s="5" t="inlineStr">
        <is>
          <t>RIGGINGMEDICMANDAYS</t>
        </is>
      </c>
      <c r="D163" s="5" t="inlineStr">
        <is>
          <t>Local80</t>
        </is>
      </c>
      <c r="E163" s="6" t="n">
        <v>23.04</v>
      </c>
      <c r="F163" s="5" t="n"/>
      <c r="G163" s="5" t="n"/>
      <c r="H163" s="5" t="n"/>
      <c r="I163" s="5" t="n"/>
      <c r="J163" s="7">
        <f>IF(AND(N(F163)&gt;0,N(I163)&gt;0),I163-F163-IF(N(G163)&gt;0,0.5,0)-IF(N(H163)&gt;0,0.5,0),0)</f>
        <v/>
      </c>
      <c r="K163" s="5" t="n"/>
      <c r="L163" s="7">
        <f>MIN(J163,10.0)</f>
        <v/>
      </c>
      <c r="M163" s="7">
        <f>MAX(0,MIN(J163,12)-10.0)</f>
        <v/>
      </c>
      <c r="N163" s="7">
        <f>MAX(0,J163-12)</f>
        <v/>
      </c>
      <c r="O163" s="5" t="n"/>
      <c r="P163" s="6">
        <f>E163*(L163+M163*1.5+N163*2+O163*3+N(K163))</f>
        <v/>
      </c>
      <c r="Q163" s="5" t="n"/>
      <c r="R163" s="6">
        <f>Q163-P163</f>
        <v/>
      </c>
    </row>
    <row r="164">
      <c r="P164" s="2" t="inlineStr">
        <is>
          <t>SETFIRSTAIDLABOR LABOR</t>
        </is>
      </c>
      <c r="R164" s="8">
        <f>SUM(R162:R163)</f>
        <v/>
      </c>
    </row>
    <row r="166">
      <c r="B166" s="2" t="inlineStr">
        <is>
          <t>SFXCOORDINATOR</t>
        </is>
      </c>
    </row>
    <row r="167">
      <c r="A167" s="5" t="inlineStr">
        <is>
          <t>2601</t>
        </is>
      </c>
      <c r="B167" s="5" t="inlineStr">
        <is>
          <t>Zak Knight</t>
        </is>
      </c>
      <c r="C167" s="5" t="inlineStr">
        <is>
          <t>SPFXCOORDINATOR</t>
        </is>
      </c>
      <c r="D167" s="5" t="inlineStr">
        <is>
          <t>Local44</t>
        </is>
      </c>
      <c r="E167" s="6" t="n">
        <v>42</v>
      </c>
      <c r="F167" s="5" t="n"/>
      <c r="G167" s="5" t="n"/>
      <c r="H167" s="5" t="n"/>
      <c r="I167" s="5" t="n"/>
      <c r="J167" s="7">
        <f>IF(AND(N(F167)&gt;0,N(I167)&gt;0),I167-F167-IF(N(G167)&gt;0,0.5,0)-IF(N(H167)&gt;0,0.5,0),0)</f>
        <v/>
      </c>
      <c r="K167" s="5" t="n"/>
      <c r="L167" s="7">
        <f>MIN(J167,10.0)</f>
        <v/>
      </c>
      <c r="M167" s="7">
        <f>MAX(0,MIN(J167,12)-10.0)</f>
        <v/>
      </c>
      <c r="N167" s="7">
        <f>MAX(0,J167-12)</f>
        <v/>
      </c>
      <c r="O167" s="5" t="n"/>
      <c r="P167" s="6">
        <f>E167*(L167+M167*1.5+N167*2+O167*3+N(K167))</f>
        <v/>
      </c>
      <c r="Q167" s="6" t="n">
        <v>651</v>
      </c>
      <c r="R167" s="6">
        <f>Q167-P167</f>
        <v/>
      </c>
    </row>
    <row r="168">
      <c r="P168" s="2" t="inlineStr">
        <is>
          <t>SFXCOORDINATOR LABOR</t>
        </is>
      </c>
      <c r="R168" s="8">
        <f>SUM(R167:R167)</f>
        <v/>
      </c>
    </row>
    <row r="170">
      <c r="B170" s="2" t="inlineStr">
        <is>
          <t>SFXTECHMANDAYS</t>
        </is>
      </c>
    </row>
    <row r="171">
      <c r="A171" s="5" t="inlineStr">
        <is>
          <t>2609</t>
        </is>
      </c>
      <c r="B171" s="5" t="inlineStr"/>
      <c r="C171" s="5" t="inlineStr">
        <is>
          <t>SPFXTECHMANDAYS</t>
        </is>
      </c>
      <c r="D171" s="5" t="inlineStr">
        <is>
          <t>Local44</t>
        </is>
      </c>
      <c r="E171" s="6" t="n">
        <v>40</v>
      </c>
      <c r="F171" s="5" t="n"/>
      <c r="G171" s="5" t="n"/>
      <c r="H171" s="5" t="n"/>
      <c r="I171" s="5" t="n"/>
      <c r="J171" s="7">
        <f>IF(AND(N(F171)&gt;0,N(I171)&gt;0),I171-F171-IF(N(G171)&gt;0,0.5,0)-IF(N(H171)&gt;0,0.5,0),0)</f>
        <v/>
      </c>
      <c r="K171" s="5" t="n"/>
      <c r="L171" s="7">
        <f>MIN(J171,10.0)</f>
        <v/>
      </c>
      <c r="M171" s="7">
        <f>MAX(0,MIN(J171,12)-10.0)</f>
        <v/>
      </c>
      <c r="N171" s="7">
        <f>MAX(0,J171-12)</f>
        <v/>
      </c>
      <c r="O171" s="5" t="n"/>
      <c r="P171" s="6">
        <f>E171*(L171+M171*1.5+N171*2+O171*3+N(K171))</f>
        <v/>
      </c>
      <c r="Q171" s="6" t="n">
        <v>620</v>
      </c>
      <c r="R171" s="6">
        <f>Q171-P171</f>
        <v/>
      </c>
    </row>
    <row r="172">
      <c r="A172" s="5" t="inlineStr">
        <is>
          <t>2609</t>
        </is>
      </c>
      <c r="B172" s="5" t="inlineStr"/>
      <c r="C172" s="5" t="inlineStr">
        <is>
          <t>SPFXASSISTANTMANDAYS</t>
        </is>
      </c>
      <c r="D172" s="5" t="inlineStr">
        <is>
          <t>Local44</t>
        </is>
      </c>
      <c r="E172" s="6" t="n">
        <v>25.5</v>
      </c>
      <c r="F172" s="5" t="n"/>
      <c r="G172" s="5" t="n"/>
      <c r="H172" s="5" t="n"/>
      <c r="I172" s="5" t="n"/>
      <c r="J172" s="7">
        <f>IF(AND(N(F172)&gt;0,N(I172)&gt;0),I172-F172-IF(N(G172)&gt;0,0.5,0)-IF(N(H172)&gt;0,0.5,0),0)</f>
        <v/>
      </c>
      <c r="K172" s="5" t="n"/>
      <c r="L172" s="7">
        <f>MIN(J172,10.0)</f>
        <v/>
      </c>
      <c r="M172" s="7">
        <f>MAX(0,MIN(J172,12)-10.0)</f>
        <v/>
      </c>
      <c r="N172" s="7">
        <f>MAX(0,J172-12)</f>
        <v/>
      </c>
      <c r="O172" s="5" t="n"/>
      <c r="P172" s="6">
        <f>E172*(L172+M172*1.5+N172*2+O172*3+N(K172))</f>
        <v/>
      </c>
      <c r="Q172" s="6" t="n">
        <v>395.25</v>
      </c>
      <c r="R172" s="6">
        <f>Q172-P172</f>
        <v/>
      </c>
    </row>
    <row r="173">
      <c r="A173" s="5" t="inlineStr">
        <is>
          <t>2609</t>
        </is>
      </c>
      <c r="B173" s="5" t="inlineStr"/>
      <c r="C173" s="5" t="inlineStr">
        <is>
          <t>PYROMANDAYS</t>
        </is>
      </c>
      <c r="D173" s="5" t="inlineStr">
        <is>
          <t>Local44</t>
        </is>
      </c>
      <c r="E173" s="6" t="n">
        <v>68.18000000000001</v>
      </c>
      <c r="F173" s="5" t="n"/>
      <c r="G173" s="5" t="n"/>
      <c r="H173" s="5" t="n"/>
      <c r="I173" s="5" t="n"/>
      <c r="J173" s="7">
        <f>IF(AND(N(F173)&gt;0,N(I173)&gt;0),I173-F173-IF(N(G173)&gt;0,0.5,0)-IF(N(H173)&gt;0,0.5,0),0)</f>
        <v/>
      </c>
      <c r="K173" s="5" t="n"/>
      <c r="L173" s="7">
        <f>MIN(J173,10.0)</f>
        <v/>
      </c>
      <c r="M173" s="7">
        <f>MAX(0,MIN(J173,12)-10.0)</f>
        <v/>
      </c>
      <c r="N173" s="7">
        <f>MAX(0,J173-12)</f>
        <v/>
      </c>
      <c r="O173" s="5" t="n"/>
      <c r="P173" s="6">
        <f>E173*(L173+M173*1.5+N173*2+O173*3+N(K173))</f>
        <v/>
      </c>
      <c r="Q173" s="6" t="n">
        <v>749.98</v>
      </c>
      <c r="R173" s="6">
        <f>Q173-P173</f>
        <v/>
      </c>
    </row>
    <row r="174">
      <c r="P174" s="2" t="inlineStr">
        <is>
          <t>SFXTECHMANDAYS LABOR</t>
        </is>
      </c>
      <c r="R174" s="8">
        <f>SUM(R171:R173)</f>
        <v/>
      </c>
    </row>
    <row r="176">
      <c r="B176" s="2" t="inlineStr">
        <is>
          <t>SETDECORATOR</t>
        </is>
      </c>
    </row>
    <row r="177">
      <c r="A177" s="5" t="inlineStr">
        <is>
          <t>2701</t>
        </is>
      </c>
      <c r="B177" s="5" t="inlineStr">
        <is>
          <t>Sandy Skora</t>
        </is>
      </c>
      <c r="C177" s="5" t="inlineStr">
        <is>
          <t>SETDECORATOR</t>
        </is>
      </c>
      <c r="D177" s="5" t="inlineStr">
        <is>
          <t>Local44</t>
        </is>
      </c>
      <c r="E177" s="6" t="n">
        <v>400</v>
      </c>
      <c r="F177" s="5" t="n"/>
      <c r="G177" s="5" t="n"/>
      <c r="H177" s="5" t="n"/>
      <c r="I177" s="5" t="n"/>
      <c r="J177" s="7">
        <f>IF(AND(N(F177)&gt;0,N(I177)&gt;0),I177-F177-IF(N(G177)&gt;0,0.5,0)-IF(N(H177)&gt;0,0.5,0),0)</f>
        <v/>
      </c>
      <c r="K177" s="5" t="n"/>
      <c r="L177" s="7">
        <f>MIN(J177,10.0)</f>
        <v/>
      </c>
      <c r="M177" s="7">
        <f>MAX(0,MIN(J177,12)-10.0)</f>
        <v/>
      </c>
      <c r="N177" s="7">
        <f>MAX(0,J177-12)</f>
        <v/>
      </c>
      <c r="O177" s="5" t="n"/>
      <c r="P177" s="6">
        <f>E177*(L177+M177*1.5+N177*2+O177*3+N(K177))</f>
        <v/>
      </c>
      <c r="Q177" s="6" t="n">
        <v>400</v>
      </c>
      <c r="R177" s="6">
        <f>Q177-P177</f>
        <v/>
      </c>
    </row>
    <row r="178">
      <c r="P178" s="2" t="inlineStr">
        <is>
          <t>SETDECORATOR LABOR</t>
        </is>
      </c>
      <c r="R178" s="8">
        <f>SUM(R177:R177)</f>
        <v/>
      </c>
    </row>
    <row r="180">
      <c r="B180" s="2" t="inlineStr">
        <is>
          <t>LEADPERSON</t>
        </is>
      </c>
    </row>
    <row r="181">
      <c r="A181" s="5" t="inlineStr">
        <is>
          <t>2702</t>
        </is>
      </c>
      <c r="B181" s="5" t="inlineStr">
        <is>
          <t>Josh Richmond</t>
        </is>
      </c>
      <c r="C181" s="5" t="inlineStr">
        <is>
          <t>LEADPERSON</t>
        </is>
      </c>
      <c r="D181" s="5" t="inlineStr">
        <is>
          <t>Local44</t>
        </is>
      </c>
      <c r="E181" s="6" t="n">
        <v>23.04</v>
      </c>
      <c r="F181" s="5" t="n"/>
      <c r="G181" s="5" t="n"/>
      <c r="H181" s="5" t="n"/>
      <c r="I181" s="5" t="n"/>
      <c r="J181" s="7">
        <f>IF(AND(N(F181)&gt;0,N(I181)&gt;0),I181-F181-IF(N(G181)&gt;0,0.5,0)-IF(N(H181)&gt;0,0.5,0),0)</f>
        <v/>
      </c>
      <c r="K181" s="5" t="n"/>
      <c r="L181" s="7">
        <f>MIN(J181,10.0)</f>
        <v/>
      </c>
      <c r="M181" s="7">
        <f>MAX(0,MIN(J181,12)-10.0)</f>
        <v/>
      </c>
      <c r="N181" s="7">
        <f>MAX(0,J181-12)</f>
        <v/>
      </c>
      <c r="O181" s="5" t="n"/>
      <c r="P181" s="6">
        <f>E181*(L181+M181*1.5+N181*2+O181*3+N(K181))</f>
        <v/>
      </c>
      <c r="Q181" s="6" t="n">
        <v>322.56</v>
      </c>
      <c r="R181" s="6">
        <f>Q181-P181</f>
        <v/>
      </c>
    </row>
    <row r="182">
      <c r="P182" s="2" t="inlineStr">
        <is>
          <t>LEADPERSON LABOR</t>
        </is>
      </c>
      <c r="R182" s="8">
        <f>SUM(R181:R181)</f>
        <v/>
      </c>
    </row>
    <row r="184">
      <c r="B184" s="2" t="inlineStr">
        <is>
          <t>SWINGLABOR</t>
        </is>
      </c>
    </row>
    <row r="185">
      <c r="A185" s="5" t="inlineStr">
        <is>
          <t>2703</t>
        </is>
      </c>
      <c r="B185" s="5" t="inlineStr">
        <is>
          <t>Tim Dodge</t>
        </is>
      </c>
      <c r="C185" s="5" t="inlineStr">
        <is>
          <t>SWING#1</t>
        </is>
      </c>
      <c r="D185" s="5" t="inlineStr">
        <is>
          <t>Local44</t>
        </is>
      </c>
      <c r="E185" s="6" t="n">
        <v>20.57</v>
      </c>
      <c r="F185" s="5" t="n"/>
      <c r="G185" s="5" t="n"/>
      <c r="H185" s="5" t="n"/>
      <c r="I185" s="5" t="n"/>
      <c r="J185" s="7">
        <f>IF(AND(N(F185)&gt;0,N(I185)&gt;0),I185-F185-IF(N(G185)&gt;0,0.5,0)-IF(N(H185)&gt;0,0.5,0),0)</f>
        <v/>
      </c>
      <c r="K185" s="5" t="n"/>
      <c r="L185" s="7">
        <f>MIN(J185,10.0)</f>
        <v/>
      </c>
      <c r="M185" s="7">
        <f>MAX(0,MIN(J185,12)-10.0)</f>
        <v/>
      </c>
      <c r="N185" s="7">
        <f>MAX(0,J185-12)</f>
        <v/>
      </c>
      <c r="O185" s="5" t="n"/>
      <c r="P185" s="6">
        <f>E185*(L185+M185*1.5+N185*2+O185*3+N(K185))</f>
        <v/>
      </c>
      <c r="Q185" s="6" t="n">
        <v>287.98</v>
      </c>
      <c r="R185" s="6">
        <f>Q185-P185</f>
        <v/>
      </c>
    </row>
    <row r="186">
      <c r="A186" s="5" t="inlineStr">
        <is>
          <t>2703</t>
        </is>
      </c>
      <c r="B186" s="5" t="inlineStr"/>
      <c r="C186" s="5" t="inlineStr">
        <is>
          <t>SWING#2</t>
        </is>
      </c>
      <c r="D186" s="5" t="inlineStr">
        <is>
          <t>Local44</t>
        </is>
      </c>
      <c r="E186" s="6" t="n">
        <v>20.57</v>
      </c>
      <c r="F186" s="5" t="n"/>
      <c r="G186" s="5" t="n"/>
      <c r="H186" s="5" t="n"/>
      <c r="I186" s="5" t="n"/>
      <c r="J186" s="7">
        <f>IF(AND(N(F186)&gt;0,N(I186)&gt;0),I186-F186-IF(N(G186)&gt;0,0.5,0)-IF(N(H186)&gt;0,0.5,0),0)</f>
        <v/>
      </c>
      <c r="K186" s="5" t="n"/>
      <c r="L186" s="7">
        <f>MIN(J186,10.0)</f>
        <v/>
      </c>
      <c r="M186" s="7">
        <f>MAX(0,MIN(J186,12)-10.0)</f>
        <v/>
      </c>
      <c r="N186" s="7">
        <f>MAX(0,J186-12)</f>
        <v/>
      </c>
      <c r="O186" s="5" t="n"/>
      <c r="P186" s="6">
        <f>E186*(L186+M186*1.5+N186*2+O186*3+N(K186))</f>
        <v/>
      </c>
      <c r="Q186" s="6" t="n">
        <v>287.98</v>
      </c>
      <c r="R186" s="6">
        <f>Q186-P186</f>
        <v/>
      </c>
    </row>
    <row r="187">
      <c r="A187" s="5" t="inlineStr">
        <is>
          <t>2703</t>
        </is>
      </c>
      <c r="B187" s="5" t="inlineStr"/>
      <c r="C187" s="5" t="inlineStr">
        <is>
          <t>ADDITIONALSWINGMANDAYS</t>
        </is>
      </c>
      <c r="D187" s="5" t="inlineStr">
        <is>
          <t>Local44</t>
        </is>
      </c>
      <c r="E187" s="6" t="n">
        <v>20.57</v>
      </c>
      <c r="F187" s="5" t="n"/>
      <c r="G187" s="5" t="n"/>
      <c r="H187" s="5" t="n"/>
      <c r="I187" s="5" t="n"/>
      <c r="J187" s="7">
        <f>IF(AND(N(F187)&gt;0,N(I187)&gt;0),I187-F187-IF(N(G187)&gt;0,0.5,0)-IF(N(H187)&gt;0,0.5,0),0)</f>
        <v/>
      </c>
      <c r="K187" s="5" t="n"/>
      <c r="L187" s="7">
        <f>MIN(J187,10.0)</f>
        <v/>
      </c>
      <c r="M187" s="7">
        <f>MAX(0,MIN(J187,12)-10.0)</f>
        <v/>
      </c>
      <c r="N187" s="7">
        <f>MAX(0,J187-12)</f>
        <v/>
      </c>
      <c r="O187" s="5" t="n"/>
      <c r="P187" s="6">
        <f>E187*(L187+M187*1.5+N187*2+O187*3+N(K187))</f>
        <v/>
      </c>
      <c r="Q187" s="6" t="n">
        <v>287.98</v>
      </c>
      <c r="R187" s="6">
        <f>Q187-P187</f>
        <v/>
      </c>
    </row>
    <row r="188">
      <c r="P188" s="2" t="inlineStr">
        <is>
          <t>SWINGLABOR LABOR</t>
        </is>
      </c>
      <c r="R188" s="8">
        <f>SUM(R185:R187)</f>
        <v/>
      </c>
    </row>
    <row r="190">
      <c r="B190" s="2" t="inlineStr">
        <is>
          <t>ON-SETDRESSER</t>
        </is>
      </c>
    </row>
    <row r="191">
      <c r="A191" s="5" t="inlineStr">
        <is>
          <t>2705</t>
        </is>
      </c>
      <c r="B191" s="5" t="inlineStr">
        <is>
          <t>Khamisi Thurman</t>
        </is>
      </c>
      <c r="C191" s="5" t="inlineStr">
        <is>
          <t>ON-SETDRESSER</t>
        </is>
      </c>
      <c r="D191" s="5" t="inlineStr">
        <is>
          <t>Local44</t>
        </is>
      </c>
      <c r="E191" s="6" t="n">
        <v>20.57</v>
      </c>
      <c r="F191" s="5" t="n"/>
      <c r="G191" s="5" t="n"/>
      <c r="H191" s="5" t="n"/>
      <c r="I191" s="5" t="n"/>
      <c r="J191" s="7">
        <f>IF(AND(N(F191)&gt;0,N(I191)&gt;0),I191-F191-IF(N(G191)&gt;0,0.5,0)-IF(N(H191)&gt;0,0.5,0),0)</f>
        <v/>
      </c>
      <c r="K191" s="5" t="n"/>
      <c r="L191" s="7">
        <f>MIN(J191,10.0)</f>
        <v/>
      </c>
      <c r="M191" s="7">
        <f>MAX(0,MIN(J191,12)-10.0)</f>
        <v/>
      </c>
      <c r="N191" s="7">
        <f>MAX(0,J191-12)</f>
        <v/>
      </c>
      <c r="O191" s="5" t="n"/>
      <c r="P191" s="6">
        <f>E191*(L191+M191*1.5+N191*2+O191*3+N(K191))</f>
        <v/>
      </c>
      <c r="Q191" s="6" t="n">
        <v>318.83</v>
      </c>
      <c r="R191" s="6">
        <f>Q191-P191</f>
        <v/>
      </c>
    </row>
    <row r="192">
      <c r="P192" s="2" t="inlineStr">
        <is>
          <t>ON-SETDRESSER LABOR</t>
        </is>
      </c>
      <c r="R192" s="8">
        <f>SUM(R191:R191)</f>
        <v/>
      </c>
    </row>
    <row r="194">
      <c r="B194" s="2" t="inlineStr">
        <is>
          <t>BUYERS</t>
        </is>
      </c>
    </row>
    <row r="195">
      <c r="A195" s="5" t="inlineStr">
        <is>
          <t>2706</t>
        </is>
      </c>
      <c r="B195" s="5" t="inlineStr">
        <is>
          <t>Sarah Hickman</t>
        </is>
      </c>
      <c r="C195" s="5" t="inlineStr">
        <is>
          <t>BUYER</t>
        </is>
      </c>
      <c r="D195" s="5" t="inlineStr">
        <is>
          <t>Local44</t>
        </is>
      </c>
      <c r="E195" s="6" t="n">
        <v>23.04</v>
      </c>
      <c r="F195" s="5" t="n"/>
      <c r="G195" s="5" t="n"/>
      <c r="H195" s="5" t="n"/>
      <c r="I195" s="5" t="n"/>
      <c r="J195" s="7">
        <f>IF(AND(N(F195)&gt;0,N(I195)&gt;0),I195-F195-IF(N(G195)&gt;0,0.5,0)-IF(N(H195)&gt;0,0.5,0),0)</f>
        <v/>
      </c>
      <c r="K195" s="5" t="n"/>
      <c r="L195" s="7">
        <f>MIN(J195,10.0)</f>
        <v/>
      </c>
      <c r="M195" s="7">
        <f>MAX(0,MIN(J195,12)-10.0)</f>
        <v/>
      </c>
      <c r="N195" s="7">
        <f>MAX(0,J195-12)</f>
        <v/>
      </c>
      <c r="O195" s="5" t="n"/>
      <c r="P195" s="6">
        <f>E195*(L195+M195*1.5+N195*2+O195*3+N(K195))</f>
        <v/>
      </c>
      <c r="Q195" s="5" t="n"/>
      <c r="R195" s="6">
        <f>Q195-P195</f>
        <v/>
      </c>
    </row>
    <row r="196">
      <c r="P196" s="2" t="inlineStr">
        <is>
          <t>BUYERS LABOR</t>
        </is>
      </c>
      <c r="R196" s="8">
        <f>SUM(R195:R195)</f>
        <v/>
      </c>
    </row>
    <row r="198">
      <c r="B198" s="2" t="inlineStr">
        <is>
          <t>PROPMASTER</t>
        </is>
      </c>
    </row>
    <row r="199">
      <c r="A199" s="5" t="inlineStr">
        <is>
          <t>2801</t>
        </is>
      </c>
      <c r="B199" s="5" t="inlineStr">
        <is>
          <t>Annie Brandt</t>
        </is>
      </c>
      <c r="C199" s="5" t="inlineStr">
        <is>
          <t>PROPMASTER</t>
        </is>
      </c>
      <c r="D199" s="5" t="inlineStr">
        <is>
          <t>Local44</t>
        </is>
      </c>
      <c r="E199" s="6" t="n">
        <v>25.5</v>
      </c>
      <c r="F199" s="5" t="n"/>
      <c r="G199" s="5" t="n"/>
      <c r="H199" s="5" t="n"/>
      <c r="I199" s="5" t="n"/>
      <c r="J199" s="7">
        <f>IF(AND(N(F199)&gt;0,N(I199)&gt;0),I199-F199-IF(N(G199)&gt;0,0.5,0)-IF(N(H199)&gt;0,0.5,0),0)</f>
        <v/>
      </c>
      <c r="K199" s="5" t="n"/>
      <c r="L199" s="7">
        <f>MIN(J199,10.0)</f>
        <v/>
      </c>
      <c r="M199" s="7">
        <f>MAX(0,MIN(J199,12)-10.0)</f>
        <v/>
      </c>
      <c r="N199" s="7">
        <f>MAX(0,J199-12)</f>
        <v/>
      </c>
      <c r="O199" s="5" t="n"/>
      <c r="P199" s="6">
        <f>E199*(L199+M199*1.5+N199*2+O199*3+N(K199))</f>
        <v/>
      </c>
      <c r="Q199" s="6" t="n">
        <v>395.25</v>
      </c>
      <c r="R199" s="6">
        <f>Q199-P199</f>
        <v/>
      </c>
    </row>
    <row r="200">
      <c r="P200" s="2" t="inlineStr">
        <is>
          <t>PROPMASTER LABOR</t>
        </is>
      </c>
      <c r="R200" s="8">
        <f>SUM(R199:R199)</f>
        <v/>
      </c>
    </row>
    <row r="202">
      <c r="B202" s="2" t="inlineStr">
        <is>
          <t>ASSTPROPMASTER</t>
        </is>
      </c>
    </row>
    <row r="203">
      <c r="A203" s="5" t="inlineStr">
        <is>
          <t>2802</t>
        </is>
      </c>
      <c r="B203" s="5" t="inlineStr">
        <is>
          <t>Nate Bakes</t>
        </is>
      </c>
      <c r="C203" s="5" t="inlineStr">
        <is>
          <t>ASSTPROPMASTER</t>
        </is>
      </c>
      <c r="D203" s="5" t="inlineStr">
        <is>
          <t>Local44</t>
        </is>
      </c>
      <c r="E203" s="6" t="n">
        <v>23.04</v>
      </c>
      <c r="F203" s="5" t="n"/>
      <c r="G203" s="5" t="n"/>
      <c r="H203" s="5" t="n"/>
      <c r="I203" s="5" t="n"/>
      <c r="J203" s="7">
        <f>IF(AND(N(F203)&gt;0,N(I203)&gt;0),I203-F203-IF(N(G203)&gt;0,0.5,0)-IF(N(H203)&gt;0,0.5,0),0)</f>
        <v/>
      </c>
      <c r="K203" s="5" t="n"/>
      <c r="L203" s="7">
        <f>MIN(J203,10.0)</f>
        <v/>
      </c>
      <c r="M203" s="7">
        <f>MAX(0,MIN(J203,12)-10.0)</f>
        <v/>
      </c>
      <c r="N203" s="7">
        <f>MAX(0,J203-12)</f>
        <v/>
      </c>
      <c r="O203" s="5" t="n"/>
      <c r="P203" s="6">
        <f>E203*(L203+M203*1.5+N203*2+O203*3+N(K203))</f>
        <v/>
      </c>
      <c r="Q203" s="6" t="n">
        <v>357.12</v>
      </c>
      <c r="R203" s="6">
        <f>Q203-P203</f>
        <v/>
      </c>
    </row>
    <row r="204">
      <c r="P204" s="2" t="inlineStr">
        <is>
          <t>ASSTPROPMASTER LABOR</t>
        </is>
      </c>
      <c r="R204" s="8">
        <f>SUM(R203:R203)</f>
        <v/>
      </c>
    </row>
    <row r="206">
      <c r="B206" s="2" t="inlineStr">
        <is>
          <t>COSTUMEDESIGNER</t>
        </is>
      </c>
    </row>
    <row r="207">
      <c r="A207" s="5" t="inlineStr">
        <is>
          <t>2901</t>
        </is>
      </c>
      <c r="B207" s="5" t="inlineStr">
        <is>
          <t>Megan Spatz</t>
        </is>
      </c>
      <c r="C207" s="5" t="inlineStr">
        <is>
          <t>COSTUMEDESIGNER</t>
        </is>
      </c>
      <c r="D207" s="5" t="inlineStr">
        <is>
          <t>Local892</t>
        </is>
      </c>
      <c r="E207" s="6" t="n">
        <v>540</v>
      </c>
      <c r="F207" s="5" t="n"/>
      <c r="G207" s="5" t="n"/>
      <c r="H207" s="5" t="n"/>
      <c r="I207" s="5" t="n"/>
      <c r="J207" s="7">
        <f>IF(AND(N(F207)&gt;0,N(I207)&gt;0),I207-F207-IF(N(G207)&gt;0,0.5,0)-IF(N(H207)&gt;0,0.5,0),0)</f>
        <v/>
      </c>
      <c r="K207" s="5" t="n"/>
      <c r="L207" s="7">
        <f>MIN(J207,8.0)</f>
        <v/>
      </c>
      <c r="M207" s="7">
        <f>MAX(0,MIN(J207,12)-8.0)</f>
        <v/>
      </c>
      <c r="N207" s="7">
        <f>MAX(0,J207-12)</f>
        <v/>
      </c>
      <c r="O207" s="5" t="n"/>
      <c r="P207" s="6">
        <f>E207*(L207+M207*1.5+N207*2+O207*3+N(K207))</f>
        <v/>
      </c>
      <c r="Q207" s="6" t="n">
        <v>540</v>
      </c>
      <c r="R207" s="6">
        <f>Q207-P207</f>
        <v/>
      </c>
    </row>
    <row r="208">
      <c r="P208" s="2" t="inlineStr">
        <is>
          <t>COSTUMEDESIGNER LABOR</t>
        </is>
      </c>
      <c r="R208" s="8">
        <f>SUM(R207:R207)</f>
        <v/>
      </c>
    </row>
    <row r="210">
      <c r="B210" s="2" t="inlineStr">
        <is>
          <t>COSTUMESUPERVISOR</t>
        </is>
      </c>
    </row>
    <row r="211">
      <c r="A211" s="5" t="inlineStr">
        <is>
          <t>2903</t>
        </is>
      </c>
      <c r="B211" s="5" t="inlineStr">
        <is>
          <t>Danielle Schuck</t>
        </is>
      </c>
      <c r="C211" s="5" t="inlineStr">
        <is>
          <t>COSTUMESUPERVISOR</t>
        </is>
      </c>
      <c r="D211" s="5" t="inlineStr">
        <is>
          <t>Local705</t>
        </is>
      </c>
      <c r="E211" s="6" t="n">
        <v>25.5</v>
      </c>
      <c r="F211" s="5" t="n"/>
      <c r="G211" s="5" t="n"/>
      <c r="H211" s="5" t="n"/>
      <c r="I211" s="5" t="n"/>
      <c r="J211" s="7">
        <f>IF(AND(N(F211)&gt;0,N(I211)&gt;0),I211-F211-IF(N(G211)&gt;0,0.5,0)-IF(N(H211)&gt;0,0.5,0),0)</f>
        <v/>
      </c>
      <c r="K211" s="5" t="n"/>
      <c r="L211" s="7">
        <f>MIN(J211,8.0)</f>
        <v/>
      </c>
      <c r="M211" s="7">
        <f>MAX(0,MIN(J211,12)-8.0)</f>
        <v/>
      </c>
      <c r="N211" s="7">
        <f>MAX(0,J211-12)</f>
        <v/>
      </c>
      <c r="O211" s="5" t="n"/>
      <c r="P211" s="6">
        <f>E211*(L211+M211*1.5+N211*2+O211*3+N(K211))</f>
        <v/>
      </c>
      <c r="Q211" s="6" t="n">
        <v>395.25</v>
      </c>
      <c r="R211" s="6">
        <f>Q211-P211</f>
        <v/>
      </c>
    </row>
    <row r="212">
      <c r="P212" s="2" t="inlineStr">
        <is>
          <t>COSTUMESUPERVISOR LABOR</t>
        </is>
      </c>
      <c r="R212" s="8">
        <f>SUM(R211:R211)</f>
        <v/>
      </c>
    </row>
    <row r="214">
      <c r="B214" s="2" t="inlineStr">
        <is>
          <t>SETCOSTUMERS</t>
        </is>
      </c>
    </row>
    <row r="215">
      <c r="A215" s="5" t="inlineStr">
        <is>
          <t>2905</t>
        </is>
      </c>
      <c r="B215" s="5" t="inlineStr">
        <is>
          <t>Monavie Tutop</t>
        </is>
      </c>
      <c r="C215" s="5" t="inlineStr">
        <is>
          <t>COSTUMER#1</t>
        </is>
      </c>
      <c r="D215" s="5" t="inlineStr">
        <is>
          <t>Local705</t>
        </is>
      </c>
      <c r="E215" s="6" t="n">
        <v>23.04</v>
      </c>
      <c r="F215" s="5" t="n"/>
      <c r="G215" s="5" t="n"/>
      <c r="H215" s="5" t="n"/>
      <c r="I215" s="5" t="n"/>
      <c r="J215" s="7">
        <f>IF(AND(N(F215)&gt;0,N(I215)&gt;0),I215-F215-IF(N(G215)&gt;0,0.5,0)-IF(N(H215)&gt;0,0.5,0),0)</f>
        <v/>
      </c>
      <c r="K215" s="5" t="n"/>
      <c r="L215" s="7">
        <f>MIN(J215,8.0)</f>
        <v/>
      </c>
      <c r="M215" s="7">
        <f>MAX(0,MIN(J215,12)-8.0)</f>
        <v/>
      </c>
      <c r="N215" s="7">
        <f>MAX(0,J215-12)</f>
        <v/>
      </c>
      <c r="O215" s="5" t="n"/>
      <c r="P215" s="6">
        <f>E215*(L215+M215*1.5+N215*2+O215*3+N(K215))</f>
        <v/>
      </c>
      <c r="Q215" s="6" t="n">
        <v>397.43</v>
      </c>
      <c r="R215" s="6">
        <f>Q215-P215</f>
        <v/>
      </c>
    </row>
    <row r="216">
      <c r="A216" s="5" t="inlineStr">
        <is>
          <t>2905</t>
        </is>
      </c>
      <c r="B216" s="5" t="inlineStr"/>
      <c r="C216" s="5" t="inlineStr">
        <is>
          <t>COSTUMER#2</t>
        </is>
      </c>
      <c r="D216" s="5" t="inlineStr">
        <is>
          <t>Local705</t>
        </is>
      </c>
      <c r="E216" s="6" t="n">
        <v>20.57</v>
      </c>
      <c r="F216" s="5" t="n"/>
      <c r="G216" s="5" t="n"/>
      <c r="H216" s="5" t="n"/>
      <c r="I216" s="5" t="n"/>
      <c r="J216" s="7">
        <f>IF(AND(N(F216)&gt;0,N(I216)&gt;0),I216-F216-IF(N(G216)&gt;0,0.5,0)-IF(N(H216)&gt;0,0.5,0),0)</f>
        <v/>
      </c>
      <c r="K216" s="5" t="n"/>
      <c r="L216" s="7">
        <f>MIN(J216,8.0)</f>
        <v/>
      </c>
      <c r="M216" s="7">
        <f>MAX(0,MIN(J216,12)-8.0)</f>
        <v/>
      </c>
      <c r="N216" s="7">
        <f>MAX(0,J216-12)</f>
        <v/>
      </c>
      <c r="O216" s="5" t="n"/>
      <c r="P216" s="6">
        <f>E216*(L216+M216*1.5+N216*2+O216*3+N(K216))</f>
        <v/>
      </c>
      <c r="Q216" s="6" t="n">
        <v>354.83</v>
      </c>
      <c r="R216" s="6">
        <f>Q216-P216</f>
        <v/>
      </c>
    </row>
    <row r="217">
      <c r="P217" s="2" t="inlineStr">
        <is>
          <t>SETCOSTUMERS LABOR</t>
        </is>
      </c>
      <c r="R217" s="8">
        <f>SUM(R215:R216)</f>
        <v/>
      </c>
    </row>
    <row r="219">
      <c r="B219" s="2" t="inlineStr">
        <is>
          <t>KEYMAKE-UP</t>
        </is>
      </c>
    </row>
    <row r="220">
      <c r="A220" s="5" t="inlineStr">
        <is>
          <t>3101</t>
        </is>
      </c>
      <c r="B220" s="5" t="inlineStr">
        <is>
          <t>Eleanor Sabaduquia</t>
        </is>
      </c>
      <c r="C220" s="5" t="inlineStr">
        <is>
          <t>KEYMAKEUPARTIST</t>
        </is>
      </c>
      <c r="D220" s="5" t="inlineStr">
        <is>
          <t>Local706</t>
        </is>
      </c>
      <c r="E220" s="6" t="n">
        <v>25.5</v>
      </c>
      <c r="F220" s="5" t="n"/>
      <c r="G220" s="5" t="n"/>
      <c r="H220" s="5" t="n"/>
      <c r="I220" s="5" t="n"/>
      <c r="J220" s="7">
        <f>IF(AND(N(F220)&gt;0,N(I220)&gt;0),I220-F220-IF(N(G220)&gt;0,0.5,0)-IF(N(H220)&gt;0,0.5,0),0)</f>
        <v/>
      </c>
      <c r="K220" s="5" t="n"/>
      <c r="L220" s="7">
        <f>MIN(J220,10.0)</f>
        <v/>
      </c>
      <c r="M220" s="7">
        <f>MAX(0,MIN(J220,12)-10.0)</f>
        <v/>
      </c>
      <c r="N220" s="7">
        <f>MAX(0,J220-12)</f>
        <v/>
      </c>
      <c r="O220" s="5" t="n"/>
      <c r="P220" s="6">
        <f>E220*(L220+M220*1.5+N220*2+O220*3+N(K220))</f>
        <v/>
      </c>
      <c r="Q220" s="6" t="n">
        <v>439.87</v>
      </c>
      <c r="R220" s="6">
        <f>Q220-P220</f>
        <v/>
      </c>
    </row>
    <row r="221">
      <c r="P221" s="2" t="inlineStr">
        <is>
          <t>KEYMAKE-UP LABOR</t>
        </is>
      </c>
      <c r="R221" s="8">
        <f>SUM(R220:R220)</f>
        <v/>
      </c>
    </row>
    <row r="223">
      <c r="B223" s="2" t="inlineStr">
        <is>
          <t>ASSTMAKE-UP</t>
        </is>
      </c>
    </row>
    <row r="224">
      <c r="A224" s="5" t="inlineStr">
        <is>
          <t>3102</t>
        </is>
      </c>
      <c r="B224" s="5" t="inlineStr">
        <is>
          <t>Yoko Nobushi</t>
        </is>
      </c>
      <c r="C224" s="5" t="inlineStr">
        <is>
          <t>ASSTMAKEUPARTIST#1</t>
        </is>
      </c>
      <c r="D224" s="5" t="inlineStr">
        <is>
          <t>Local706</t>
        </is>
      </c>
      <c r="E224" s="6" t="n">
        <v>23.04</v>
      </c>
      <c r="F224" s="5" t="n"/>
      <c r="G224" s="5" t="n"/>
      <c r="H224" s="5" t="n"/>
      <c r="I224" s="5" t="n"/>
      <c r="J224" s="7">
        <f>IF(AND(N(F224)&gt;0,N(I224)&gt;0),I224-F224-IF(N(G224)&gt;0,0.5,0)-IF(N(H224)&gt;0,0.5,0),0)</f>
        <v/>
      </c>
      <c r="K224" s="5" t="n"/>
      <c r="L224" s="7">
        <f>MIN(J224,10.0)</f>
        <v/>
      </c>
      <c r="M224" s="7">
        <f>MAX(0,MIN(J224,12)-10.0)</f>
        <v/>
      </c>
      <c r="N224" s="7">
        <f>MAX(0,J224-12)</f>
        <v/>
      </c>
      <c r="O224" s="5" t="n"/>
      <c r="P224" s="6">
        <f>E224*(L224+M224*1.5+N224*2+O224*3+N(K224))</f>
        <v/>
      </c>
      <c r="Q224" s="6" t="n">
        <v>397.43</v>
      </c>
      <c r="R224" s="6">
        <f>Q224-P224</f>
        <v/>
      </c>
    </row>
    <row r="225">
      <c r="P225" s="2" t="inlineStr">
        <is>
          <t>ASSTMAKE-UP LABOR</t>
        </is>
      </c>
      <c r="R225" s="8">
        <f>SUM(R224:R224)</f>
        <v/>
      </c>
    </row>
    <row r="227">
      <c r="B227" s="2" t="inlineStr">
        <is>
          <t>ADDITIONALMAKE-UPLABOR</t>
        </is>
      </c>
    </row>
    <row r="228">
      <c r="A228" s="5" t="inlineStr">
        <is>
          <t>3103</t>
        </is>
      </c>
      <c r="B228" s="5" t="inlineStr"/>
      <c r="C228" s="5" t="inlineStr">
        <is>
          <t>ADDLMAKEUPARTISTDAYS</t>
        </is>
      </c>
      <c r="D228" s="5" t="inlineStr">
        <is>
          <t>Local706</t>
        </is>
      </c>
      <c r="E228" s="6" t="n">
        <v>23.04</v>
      </c>
      <c r="F228" s="5" t="n"/>
      <c r="G228" s="5" t="n"/>
      <c r="H228" s="5" t="n"/>
      <c r="I228" s="5" t="n"/>
      <c r="J228" s="7">
        <f>IF(AND(N(F228)&gt;0,N(I228)&gt;0),I228-F228-IF(N(G228)&gt;0,0.5,0)-IF(N(H228)&gt;0,0.5,0),0)</f>
        <v/>
      </c>
      <c r="K228" s="5" t="n"/>
      <c r="L228" s="7">
        <f>MIN(J228,10.0)</f>
        <v/>
      </c>
      <c r="M228" s="7">
        <f>MAX(0,MIN(J228,12)-10.0)</f>
        <v/>
      </c>
      <c r="N228" s="7">
        <f>MAX(0,J228-12)</f>
        <v/>
      </c>
      <c r="O228" s="5" t="n"/>
      <c r="P228" s="6">
        <f>E228*(L228+M228*1.5+N228*2+O228*3+N(K228))</f>
        <v/>
      </c>
      <c r="Q228" s="6" t="n">
        <v>397.43</v>
      </c>
      <c r="R228" s="6">
        <f>Q228-P228</f>
        <v/>
      </c>
    </row>
    <row r="229">
      <c r="P229" s="2" t="inlineStr">
        <is>
          <t>ADDITIONALMAKE-UPLABOR LABOR</t>
        </is>
      </c>
      <c r="R229" s="8">
        <f>SUM(R228:R228)</f>
        <v/>
      </c>
    </row>
    <row r="231">
      <c r="B231" s="2" t="inlineStr">
        <is>
          <t>PROSTHETICS</t>
        </is>
      </c>
    </row>
    <row r="232">
      <c r="A232" s="5" t="inlineStr">
        <is>
          <t>3105</t>
        </is>
      </c>
      <c r="B232" s="5" t="inlineStr"/>
      <c r="C232" s="5" t="inlineStr">
        <is>
          <t>PROSTHETICMAKEUPARTIST</t>
        </is>
      </c>
      <c r="D232" s="5" t="inlineStr">
        <is>
          <t>Local706</t>
        </is>
      </c>
      <c r="E232" s="6" t="n">
        <v>25.5</v>
      </c>
      <c r="F232" s="5" t="n"/>
      <c r="G232" s="5" t="n"/>
      <c r="H232" s="5" t="n"/>
      <c r="I232" s="5" t="n"/>
      <c r="J232" s="7">
        <f>IF(AND(N(F232)&gt;0,N(I232)&gt;0),I232-F232-IF(N(G232)&gt;0,0.5,0)-IF(N(H232)&gt;0,0.5,0),0)</f>
        <v/>
      </c>
      <c r="K232" s="5" t="n"/>
      <c r="L232" s="7">
        <f>MIN(J232,10.0)</f>
        <v/>
      </c>
      <c r="M232" s="7">
        <f>MAX(0,MIN(J232,12)-10.0)</f>
        <v/>
      </c>
      <c r="N232" s="7">
        <f>MAX(0,J232-12)</f>
        <v/>
      </c>
      <c r="O232" s="5" t="n"/>
      <c r="P232" s="6">
        <f>E232*(L232+M232*1.5+N232*2+O232*3+N(K232))</f>
        <v/>
      </c>
      <c r="Q232" s="6" t="n">
        <v>439.87</v>
      </c>
      <c r="R232" s="6">
        <f>Q232-P232</f>
        <v/>
      </c>
    </row>
    <row r="233">
      <c r="A233" s="5" t="inlineStr">
        <is>
          <t>3105</t>
        </is>
      </c>
      <c r="B233" s="5" t="inlineStr"/>
      <c r="C233" s="5" t="inlineStr">
        <is>
          <t>LENSCONSULTANT</t>
        </is>
      </c>
      <c r="D233" s="5" t="inlineStr"/>
      <c r="E233" s="6" t="n">
        <v>50</v>
      </c>
      <c r="F233" s="5" t="n"/>
      <c r="G233" s="5" t="n"/>
      <c r="H233" s="5" t="n"/>
      <c r="I233" s="5" t="n"/>
      <c r="J233" s="7">
        <f>IF(AND(N(F233)&gt;0,N(I233)&gt;0),I233-F233-IF(N(G233)&gt;0,0.5,0)-IF(N(H233)&gt;0,0.5,0),0)</f>
        <v/>
      </c>
      <c r="K233" s="5" t="n"/>
      <c r="L233" s="7">
        <f>MIN(J233,8.0)</f>
        <v/>
      </c>
      <c r="M233" s="7">
        <f>MAX(0,MIN(J233,12)-8.0)</f>
        <v/>
      </c>
      <c r="N233" s="7">
        <f>MAX(0,J233-12)</f>
        <v/>
      </c>
      <c r="O233" s="5" t="n"/>
      <c r="P233" s="6">
        <f>E233*(L233+M233*1.5+N233*2+O233*3+N(K233))</f>
        <v/>
      </c>
      <c r="Q233" s="6" t="n">
        <v>862.53</v>
      </c>
      <c r="R233" s="6">
        <f>Q233-P233</f>
        <v/>
      </c>
    </row>
    <row r="234">
      <c r="P234" s="2" t="inlineStr">
        <is>
          <t>PROSTHETICS LABOR</t>
        </is>
      </c>
      <c r="R234" s="8">
        <f>SUM(R232:R233)</f>
        <v/>
      </c>
    </row>
    <row r="236">
      <c r="B236" s="2" t="inlineStr">
        <is>
          <t>KEYHAIR</t>
        </is>
      </c>
    </row>
    <row r="237">
      <c r="A237" s="5" t="inlineStr">
        <is>
          <t>3111</t>
        </is>
      </c>
      <c r="B237" s="5" t="inlineStr">
        <is>
          <t>Traci Smithe</t>
        </is>
      </c>
      <c r="C237" s="5" t="inlineStr">
        <is>
          <t>KEYHAIR</t>
        </is>
      </c>
      <c r="D237" s="5" t="inlineStr">
        <is>
          <t>Local706</t>
        </is>
      </c>
      <c r="E237" s="6" t="n">
        <v>25.5</v>
      </c>
      <c r="F237" s="5" t="n"/>
      <c r="G237" s="5" t="n"/>
      <c r="H237" s="5" t="n"/>
      <c r="I237" s="5" t="n"/>
      <c r="J237" s="7">
        <f>IF(AND(N(F237)&gt;0,N(I237)&gt;0),I237-F237-IF(N(G237)&gt;0,0.5,0)-IF(N(H237)&gt;0,0.5,0),0)</f>
        <v/>
      </c>
      <c r="K237" s="5" t="n"/>
      <c r="L237" s="7">
        <f>MIN(J237,10.0)</f>
        <v/>
      </c>
      <c r="M237" s="7">
        <f>MAX(0,MIN(J237,12)-10.0)</f>
        <v/>
      </c>
      <c r="N237" s="7">
        <f>MAX(0,J237-12)</f>
        <v/>
      </c>
      <c r="O237" s="5" t="n"/>
      <c r="P237" s="6">
        <f>E237*(L237+M237*1.5+N237*2+O237*3+N(K237))</f>
        <v/>
      </c>
      <c r="Q237" s="6" t="n">
        <v>439.87</v>
      </c>
      <c r="R237" s="6">
        <f>Q237-P237</f>
        <v/>
      </c>
    </row>
    <row r="238">
      <c r="P238" s="2" t="inlineStr">
        <is>
          <t>KEYHAIR LABOR</t>
        </is>
      </c>
      <c r="R238" s="8">
        <f>SUM(R237:R237)</f>
        <v/>
      </c>
    </row>
    <row r="240">
      <c r="B240" s="2" t="inlineStr">
        <is>
          <t>ASSTHAIR</t>
        </is>
      </c>
    </row>
    <row r="241">
      <c r="A241" s="5" t="inlineStr">
        <is>
          <t>3112</t>
        </is>
      </c>
      <c r="B241" s="5" t="inlineStr">
        <is>
          <t>Yunea Cruz</t>
        </is>
      </c>
      <c r="C241" s="5" t="inlineStr">
        <is>
          <t>ASSTHAIRSTYLIST#1</t>
        </is>
      </c>
      <c r="D241" s="5" t="inlineStr">
        <is>
          <t>Local706</t>
        </is>
      </c>
      <c r="E241" s="6" t="n">
        <v>23.04</v>
      </c>
      <c r="F241" s="5" t="n"/>
      <c r="G241" s="5" t="n"/>
      <c r="H241" s="5" t="n"/>
      <c r="I241" s="5" t="n"/>
      <c r="J241" s="7">
        <f>IF(AND(N(F241)&gt;0,N(I241)&gt;0),I241-F241-IF(N(G241)&gt;0,0.5,0)-IF(N(H241)&gt;0,0.5,0),0)</f>
        <v/>
      </c>
      <c r="K241" s="5" t="n"/>
      <c r="L241" s="7">
        <f>MIN(J241,10.0)</f>
        <v/>
      </c>
      <c r="M241" s="7">
        <f>MAX(0,MIN(J241,12)-10.0)</f>
        <v/>
      </c>
      <c r="N241" s="7">
        <f>MAX(0,J241-12)</f>
        <v/>
      </c>
      <c r="O241" s="5" t="n"/>
      <c r="P241" s="6">
        <f>E241*(L241+M241*1.5+N241*2+O241*3+N(K241))</f>
        <v/>
      </c>
      <c r="Q241" s="6" t="n">
        <v>397.43</v>
      </c>
      <c r="R241" s="6">
        <f>Q241-P241</f>
        <v/>
      </c>
    </row>
    <row r="242">
      <c r="P242" s="2" t="inlineStr">
        <is>
          <t>ASSTHAIR LABOR</t>
        </is>
      </c>
      <c r="R242" s="8">
        <f>SUM(R241:R241)</f>
        <v/>
      </c>
    </row>
    <row r="244">
      <c r="B244" s="2" t="inlineStr">
        <is>
          <t>ADDITIONALHAIRLABOR</t>
        </is>
      </c>
    </row>
    <row r="245">
      <c r="A245" s="5" t="inlineStr">
        <is>
          <t>3113</t>
        </is>
      </c>
      <c r="B245" s="5" t="inlineStr"/>
      <c r="C245" s="5" t="inlineStr">
        <is>
          <t>ADDLHAIRSTYLISTDAYS</t>
        </is>
      </c>
      <c r="D245" s="5" t="inlineStr">
        <is>
          <t>Local706</t>
        </is>
      </c>
      <c r="E245" s="6" t="n">
        <v>23.04</v>
      </c>
      <c r="F245" s="5" t="n"/>
      <c r="G245" s="5" t="n"/>
      <c r="H245" s="5" t="n"/>
      <c r="I245" s="5" t="n"/>
      <c r="J245" s="7">
        <f>IF(AND(N(F245)&gt;0,N(I245)&gt;0),I245-F245-IF(N(G245)&gt;0,0.5,0)-IF(N(H245)&gt;0,0.5,0),0)</f>
        <v/>
      </c>
      <c r="K245" s="5" t="n"/>
      <c r="L245" s="7">
        <f>MIN(J245,10.0)</f>
        <v/>
      </c>
      <c r="M245" s="7">
        <f>MAX(0,MIN(J245,12)-10.0)</f>
        <v/>
      </c>
      <c r="N245" s="7">
        <f>MAX(0,J245-12)</f>
        <v/>
      </c>
      <c r="O245" s="5" t="n"/>
      <c r="P245" s="6">
        <f>E245*(L245+M245*1.5+N245*2+O245*3+N(K245))</f>
        <v/>
      </c>
      <c r="Q245" s="6" t="n">
        <v>397.43</v>
      </c>
      <c r="R245" s="6">
        <f>Q245-P245</f>
        <v/>
      </c>
    </row>
    <row r="246">
      <c r="P246" s="2" t="inlineStr">
        <is>
          <t>ADDITIONALHAIRLABOR LABOR</t>
        </is>
      </c>
      <c r="R246" s="8">
        <f>SUM(R245:R245)</f>
        <v/>
      </c>
    </row>
    <row r="248">
      <c r="B248" s="2" t="inlineStr">
        <is>
          <t>GAFFER</t>
        </is>
      </c>
    </row>
    <row r="249">
      <c r="A249" s="5" t="inlineStr">
        <is>
          <t>3201</t>
        </is>
      </c>
      <c r="B249" s="5" t="inlineStr">
        <is>
          <t>Nicholas Kaat</t>
        </is>
      </c>
      <c r="C249" s="5" t="inlineStr">
        <is>
          <t>GAFFER</t>
        </is>
      </c>
      <c r="D249" s="5" t="inlineStr">
        <is>
          <t>Local728</t>
        </is>
      </c>
      <c r="E249" s="6" t="n">
        <v>25.5</v>
      </c>
      <c r="F249" s="5" t="n"/>
      <c r="G249" s="5" t="n"/>
      <c r="H249" s="5" t="n"/>
      <c r="I249" s="5" t="n"/>
      <c r="J249" s="7">
        <f>IF(AND(N(F249)&gt;0,N(I249)&gt;0),I249-F249-IF(N(G249)&gt;0,0.5,0)-IF(N(H249)&gt;0,0.5,0),0)</f>
        <v/>
      </c>
      <c r="K249" s="5" t="n"/>
      <c r="L249" s="7">
        <f>MIN(J249,10.0)</f>
        <v/>
      </c>
      <c r="M249" s="7">
        <f>MAX(0,MIN(J249,12)-10.0)</f>
        <v/>
      </c>
      <c r="N249" s="7">
        <f>MAX(0,J249-12)</f>
        <v/>
      </c>
      <c r="O249" s="5" t="n"/>
      <c r="P249" s="6">
        <f>E249*(L249+M249*1.5+N249*2+O249*3+N(K249))</f>
        <v/>
      </c>
      <c r="Q249" s="6" t="n">
        <v>395.25</v>
      </c>
      <c r="R249" s="6">
        <f>Q249-P249</f>
        <v/>
      </c>
    </row>
    <row r="250">
      <c r="P250" s="2" t="inlineStr">
        <is>
          <t>GAFFER LABOR</t>
        </is>
      </c>
      <c r="R250" s="8">
        <f>SUM(R249:R249)</f>
        <v/>
      </c>
    </row>
    <row r="252">
      <c r="B252" s="2" t="inlineStr">
        <is>
          <t>BESTBOYELECTRIC</t>
        </is>
      </c>
    </row>
    <row r="253">
      <c r="A253" s="5" t="inlineStr">
        <is>
          <t>3202</t>
        </is>
      </c>
      <c r="B253" s="5" t="inlineStr">
        <is>
          <t>Nathan Fetzer</t>
        </is>
      </c>
      <c r="C253" s="5" t="inlineStr">
        <is>
          <t>BESTBOYELECTRIC</t>
        </is>
      </c>
      <c r="D253" s="5" t="inlineStr">
        <is>
          <t>Local728</t>
        </is>
      </c>
      <c r="E253" s="6" t="n">
        <v>23.04</v>
      </c>
      <c r="F253" s="5" t="n"/>
      <c r="G253" s="5" t="n"/>
      <c r="H253" s="5" t="n"/>
      <c r="I253" s="5" t="n"/>
      <c r="J253" s="7">
        <f>IF(AND(N(F253)&gt;0,N(I253)&gt;0),I253-F253-IF(N(G253)&gt;0,0.5,0)-IF(N(H253)&gt;0,0.5,0),0)</f>
        <v/>
      </c>
      <c r="K253" s="5" t="n"/>
      <c r="L253" s="7">
        <f>MIN(J253,10.0)</f>
        <v/>
      </c>
      <c r="M253" s="7">
        <f>MAX(0,MIN(J253,12)-10.0)</f>
        <v/>
      </c>
      <c r="N253" s="7">
        <f>MAX(0,J253-12)</f>
        <v/>
      </c>
      <c r="O253" s="5" t="n"/>
      <c r="P253" s="6">
        <f>E253*(L253+M253*1.5+N253*2+O253*3+N(K253))</f>
        <v/>
      </c>
      <c r="Q253" s="6" t="n">
        <v>357.12</v>
      </c>
      <c r="R253" s="6">
        <f>Q253-P253</f>
        <v/>
      </c>
    </row>
    <row r="254">
      <c r="A254" s="5" t="inlineStr">
        <is>
          <t>3202</t>
        </is>
      </c>
      <c r="B254" s="5" t="inlineStr"/>
      <c r="C254" s="5" t="inlineStr">
        <is>
          <t>STUDIOBESTBOYELECTRIC</t>
        </is>
      </c>
      <c r="D254" s="5" t="inlineStr">
        <is>
          <t>Local728</t>
        </is>
      </c>
      <c r="E254" s="6" t="n">
        <v>43.05</v>
      </c>
      <c r="F254" s="5" t="n"/>
      <c r="G254" s="5" t="n"/>
      <c r="H254" s="5" t="n"/>
      <c r="I254" s="5" t="n"/>
      <c r="J254" s="7">
        <f>IF(AND(N(F254)&gt;0,N(I254)&gt;0),I254-F254-IF(N(G254)&gt;0,0.5,0)-IF(N(H254)&gt;0,0.5,0),0)</f>
        <v/>
      </c>
      <c r="K254" s="5" t="n"/>
      <c r="L254" s="7">
        <f>MIN(J254,10.0)</f>
        <v/>
      </c>
      <c r="M254" s="7">
        <f>MAX(0,MIN(J254,12)-10.0)</f>
        <v/>
      </c>
      <c r="N254" s="7">
        <f>MAX(0,J254-12)</f>
        <v/>
      </c>
      <c r="O254" s="5" t="n"/>
      <c r="P254" s="6">
        <f>E254*(L254+M254*1.5+N254*2+O254*3+N(K254))</f>
        <v/>
      </c>
      <c r="Q254" s="6" t="n">
        <v>667.27</v>
      </c>
      <c r="R254" s="6">
        <f>Q254-P254</f>
        <v/>
      </c>
    </row>
    <row r="255">
      <c r="P255" s="2" t="inlineStr">
        <is>
          <t>BESTBOYELECTRIC LABOR</t>
        </is>
      </c>
      <c r="R255" s="8">
        <f>SUM(R253:R254)</f>
        <v/>
      </c>
    </row>
    <row r="257">
      <c r="B257" s="2" t="inlineStr">
        <is>
          <t>ELECTRICIANS</t>
        </is>
      </c>
    </row>
    <row r="258">
      <c r="A258" s="5" t="inlineStr">
        <is>
          <t>3204</t>
        </is>
      </c>
      <c r="B258" s="5" t="inlineStr"/>
      <c r="C258" s="5" t="inlineStr">
        <is>
          <t>ELECTRICIAN#1</t>
        </is>
      </c>
      <c r="D258" s="5" t="inlineStr">
        <is>
          <t>Local728</t>
        </is>
      </c>
      <c r="E258" s="6" t="n">
        <v>20.57</v>
      </c>
      <c r="F258" s="5" t="n"/>
      <c r="G258" s="5" t="n"/>
      <c r="H258" s="5" t="n"/>
      <c r="I258" s="5" t="n"/>
      <c r="J258" s="7">
        <f>IF(AND(N(F258)&gt;0,N(I258)&gt;0),I258-F258-IF(N(G258)&gt;0,0.5,0)-IF(N(H258)&gt;0,0.5,0),0)</f>
        <v/>
      </c>
      <c r="K258" s="5" t="n"/>
      <c r="L258" s="7">
        <f>MIN(J258,10.0)</f>
        <v/>
      </c>
      <c r="M258" s="7">
        <f>MAX(0,MIN(J258,12)-10.0)</f>
        <v/>
      </c>
      <c r="N258" s="7">
        <f>MAX(0,J258-12)</f>
        <v/>
      </c>
      <c r="O258" s="5" t="n"/>
      <c r="P258" s="6">
        <f>E258*(L258+M258*1.5+N258*2+O258*3+N(K258))</f>
        <v/>
      </c>
      <c r="Q258" s="6" t="n">
        <v>318.83</v>
      </c>
      <c r="R258" s="6">
        <f>Q258-P258</f>
        <v/>
      </c>
    </row>
    <row r="259">
      <c r="A259" s="5" t="inlineStr">
        <is>
          <t>3204</t>
        </is>
      </c>
      <c r="B259" s="5" t="inlineStr"/>
      <c r="C259" s="5" t="inlineStr">
        <is>
          <t>ELECTRICIAN#2</t>
        </is>
      </c>
      <c r="D259" s="5" t="inlineStr">
        <is>
          <t>Local728</t>
        </is>
      </c>
      <c r="E259" s="6" t="n">
        <v>20.57</v>
      </c>
      <c r="F259" s="5" t="n"/>
      <c r="G259" s="5" t="n"/>
      <c r="H259" s="5" t="n"/>
      <c r="I259" s="5" t="n"/>
      <c r="J259" s="7">
        <f>IF(AND(N(F259)&gt;0,N(I259)&gt;0),I259-F259-IF(N(G259)&gt;0,0.5,0)-IF(N(H259)&gt;0,0.5,0),0)</f>
        <v/>
      </c>
      <c r="K259" s="5" t="n"/>
      <c r="L259" s="7">
        <f>MIN(J259,10.0)</f>
        <v/>
      </c>
      <c r="M259" s="7">
        <f>MAX(0,MIN(J259,12)-10.0)</f>
        <v/>
      </c>
      <c r="N259" s="7">
        <f>MAX(0,J259-12)</f>
        <v/>
      </c>
      <c r="O259" s="5" t="n"/>
      <c r="P259" s="6">
        <f>E259*(L259+M259*1.5+N259*2+O259*3+N(K259))</f>
        <v/>
      </c>
      <c r="Q259" s="6" t="n">
        <v>318.83</v>
      </c>
      <c r="R259" s="6">
        <f>Q259-P259</f>
        <v/>
      </c>
    </row>
    <row r="260">
      <c r="A260" s="5" t="inlineStr">
        <is>
          <t>3204</t>
        </is>
      </c>
      <c r="B260" s="5" t="inlineStr"/>
      <c r="C260" s="5" t="inlineStr">
        <is>
          <t>ELECTRICIAN#3</t>
        </is>
      </c>
      <c r="D260" s="5" t="inlineStr">
        <is>
          <t>Local728</t>
        </is>
      </c>
      <c r="E260" s="6" t="n">
        <v>20.57</v>
      </c>
      <c r="F260" s="5" t="n"/>
      <c r="G260" s="5" t="n"/>
      <c r="H260" s="5" t="n"/>
      <c r="I260" s="5" t="n"/>
      <c r="J260" s="7">
        <f>IF(AND(N(F260)&gt;0,N(I260)&gt;0),I260-F260-IF(N(G260)&gt;0,0.5,0)-IF(N(H260)&gt;0,0.5,0),0)</f>
        <v/>
      </c>
      <c r="K260" s="5" t="n"/>
      <c r="L260" s="7">
        <f>MIN(J260,10.0)</f>
        <v/>
      </c>
      <c r="M260" s="7">
        <f>MAX(0,MIN(J260,12)-10.0)</f>
        <v/>
      </c>
      <c r="N260" s="7">
        <f>MAX(0,J260-12)</f>
        <v/>
      </c>
      <c r="O260" s="5" t="n"/>
      <c r="P260" s="6">
        <f>E260*(L260+M260*1.5+N260*2+O260*3+N(K260))</f>
        <v/>
      </c>
      <c r="Q260" s="6" t="n">
        <v>318.83</v>
      </c>
      <c r="R260" s="6">
        <f>Q260-P260</f>
        <v/>
      </c>
    </row>
    <row r="261">
      <c r="P261" s="2" t="inlineStr">
        <is>
          <t>ELECTRICIANS LABOR</t>
        </is>
      </c>
      <c r="R261" s="8">
        <f>SUM(R258:R260)</f>
        <v/>
      </c>
    </row>
    <row r="263">
      <c r="B263" s="2" t="inlineStr">
        <is>
          <t>ADDITIONALELECTRICLABOR</t>
        </is>
      </c>
    </row>
    <row r="264">
      <c r="A264" s="5" t="inlineStr">
        <is>
          <t>3206</t>
        </is>
      </c>
      <c r="B264" s="5" t="inlineStr"/>
      <c r="C264" s="5" t="inlineStr">
        <is>
          <t>ELECTRICMANDAYS&amp;RIGGINGMANDAYS</t>
        </is>
      </c>
      <c r="D264" s="5" t="inlineStr">
        <is>
          <t>Local728</t>
        </is>
      </c>
      <c r="E264" s="6" t="n">
        <v>20.57</v>
      </c>
      <c r="F264" s="5" t="n"/>
      <c r="G264" s="5" t="n"/>
      <c r="H264" s="5" t="n"/>
      <c r="I264" s="5" t="n"/>
      <c r="J264" s="7">
        <f>IF(AND(N(F264)&gt;0,N(I264)&gt;0),I264-F264-IF(N(G264)&gt;0,0.5,0)-IF(N(H264)&gt;0,0.5,0),0)</f>
        <v/>
      </c>
      <c r="K264" s="5" t="n"/>
      <c r="L264" s="7">
        <f>MIN(J264,10.0)</f>
        <v/>
      </c>
      <c r="M264" s="7">
        <f>MAX(0,MIN(J264,12)-10.0)</f>
        <v/>
      </c>
      <c r="N264" s="7">
        <f>MAX(0,J264-12)</f>
        <v/>
      </c>
      <c r="O264" s="5" t="n"/>
      <c r="P264" s="6">
        <f>E264*(L264+M264*1.5+N264*2+O264*3+N(K264))</f>
        <v/>
      </c>
      <c r="Q264" s="6" t="n">
        <v>318.83</v>
      </c>
      <c r="R264" s="6">
        <f>Q264-P264</f>
        <v/>
      </c>
    </row>
    <row r="265">
      <c r="P265" s="2" t="inlineStr">
        <is>
          <t>ADDITIONALELECTRICLABOR LABOR</t>
        </is>
      </c>
      <c r="R265" s="8">
        <f>SUM(R264:R264)</f>
        <v/>
      </c>
    </row>
    <row r="267">
      <c r="B267" s="2" t="inlineStr">
        <is>
          <t>DIRECTOROFPHOTOGRAPHY</t>
        </is>
      </c>
    </row>
    <row r="268">
      <c r="A268" s="5" t="inlineStr">
        <is>
          <t>3301</t>
        </is>
      </c>
      <c r="B268" s="5" t="inlineStr">
        <is>
          <t>Michael Burgess</t>
        </is>
      </c>
      <c r="C268" s="5" t="inlineStr">
        <is>
          <t>DIRECTOROFPHOTOGRAPHY</t>
        </is>
      </c>
      <c r="D268" s="5" t="inlineStr">
        <is>
          <t>Local600</t>
        </is>
      </c>
      <c r="E268" s="6" t="n">
        <v>700</v>
      </c>
      <c r="F268" s="5" t="n"/>
      <c r="G268" s="5" t="n"/>
      <c r="H268" s="5" t="n"/>
      <c r="I268" s="5" t="n"/>
      <c r="J268" s="7">
        <f>IF(AND(N(F268)&gt;0,N(I268)&gt;0),I268-F268-IF(N(G268)&gt;0,0.5,0)-IF(N(H268)&gt;0,0.5,0),0)</f>
        <v/>
      </c>
      <c r="K268" s="5" t="n"/>
      <c r="L268" s="7">
        <f>MIN(J268,8.0)</f>
        <v/>
      </c>
      <c r="M268" s="7">
        <f>MAX(0,MIN(J268,12)-8.0)</f>
        <v/>
      </c>
      <c r="N268" s="7">
        <f>MAX(0,J268-12)</f>
        <v/>
      </c>
      <c r="O268" s="5" t="n"/>
      <c r="P268" s="6">
        <f>E268*(L268+M268*1.5+N268*2+O268*3+N(K268))</f>
        <v/>
      </c>
      <c r="Q268" s="6" t="n">
        <v>700</v>
      </c>
      <c r="R268" s="6">
        <f>Q268-P268</f>
        <v/>
      </c>
    </row>
    <row r="269">
      <c r="P269" s="2" t="inlineStr">
        <is>
          <t>DIRECTOROFPHOTOGRAPHY LABOR</t>
        </is>
      </c>
      <c r="R269" s="8">
        <f>SUM(R268:R268)</f>
        <v/>
      </c>
    </row>
    <row r="271">
      <c r="B271" s="2" t="inlineStr">
        <is>
          <t>CAMERAOPERATORS</t>
        </is>
      </c>
    </row>
    <row r="272">
      <c r="A272" s="5" t="inlineStr">
        <is>
          <t>3302</t>
        </is>
      </c>
      <c r="B272" s="5" t="inlineStr">
        <is>
          <t>Craig Bauer</t>
        </is>
      </c>
      <c r="C272" s="5" t="inlineStr">
        <is>
          <t>"B"CAMERAOP</t>
        </is>
      </c>
      <c r="D272" s="5" t="inlineStr">
        <is>
          <t>Local600</t>
        </is>
      </c>
      <c r="E272" s="6" t="n">
        <v>45</v>
      </c>
      <c r="F272" s="5" t="n"/>
      <c r="G272" s="5" t="n"/>
      <c r="H272" s="5" t="n"/>
      <c r="I272" s="5" t="n"/>
      <c r="J272" s="7">
        <f>IF(AND(N(F272)&gt;0,N(I272)&gt;0),I272-F272-IF(N(G272)&gt;0,0.5,0)-IF(N(H272)&gt;0,0.5,0),0)</f>
        <v/>
      </c>
      <c r="K272" s="5" t="n"/>
      <c r="L272" s="7">
        <f>MIN(J272,8.0)</f>
        <v/>
      </c>
      <c r="M272" s="7">
        <f>MAX(0,MIN(J272,12)-8.0)</f>
        <v/>
      </c>
      <c r="N272" s="7">
        <f>MAX(0,J272-12)</f>
        <v/>
      </c>
      <c r="O272" s="5" t="n"/>
      <c r="P272" s="6">
        <f>E272*(L272+M272*1.5+N272*2+O272*3+N(K272))</f>
        <v/>
      </c>
      <c r="Q272" s="6" t="n">
        <v>630</v>
      </c>
      <c r="R272" s="6">
        <f>Q272-P272</f>
        <v/>
      </c>
    </row>
    <row r="273">
      <c r="P273" s="2" t="inlineStr">
        <is>
          <t>CAMERAOPERATORS LABOR</t>
        </is>
      </c>
      <c r="R273" s="8">
        <f>SUM(R272:R272)</f>
        <v/>
      </c>
    </row>
    <row r="275">
      <c r="B275" s="2" t="inlineStr">
        <is>
          <t>DIGITALIMAGINGTECHS</t>
        </is>
      </c>
    </row>
    <row r="276">
      <c r="A276" s="5" t="inlineStr">
        <is>
          <t>3304</t>
        </is>
      </c>
      <c r="B276" s="5" t="inlineStr">
        <is>
          <t>Oliver Mancebo</t>
        </is>
      </c>
      <c r="C276" s="5" t="inlineStr">
        <is>
          <t>DIT</t>
        </is>
      </c>
      <c r="D276" s="5" t="inlineStr">
        <is>
          <t>Local600</t>
        </is>
      </c>
      <c r="E276" s="6" t="n">
        <v>35</v>
      </c>
      <c r="F276" s="5" t="n"/>
      <c r="G276" s="5" t="n"/>
      <c r="H276" s="5" t="n"/>
      <c r="I276" s="5" t="n"/>
      <c r="J276" s="7">
        <f>IF(AND(N(F276)&gt;0,N(I276)&gt;0),I276-F276-IF(N(G276)&gt;0,0.5,0)-IF(N(H276)&gt;0,0.5,0),0)</f>
        <v/>
      </c>
      <c r="K276" s="5" t="n"/>
      <c r="L276" s="7">
        <f>MIN(J276,8.0)</f>
        <v/>
      </c>
      <c r="M276" s="7">
        <f>MAX(0,MIN(J276,12)-8.0)</f>
        <v/>
      </c>
      <c r="N276" s="7">
        <f>MAX(0,J276-12)</f>
        <v/>
      </c>
      <c r="O276" s="5" t="n"/>
      <c r="P276" s="6">
        <f>E276*(L276+M276*1.5+N276*2+O276*3+N(K276))</f>
        <v/>
      </c>
      <c r="Q276" s="6" t="n">
        <v>542.5</v>
      </c>
      <c r="R276" s="6">
        <f>Q276-P276</f>
        <v/>
      </c>
    </row>
    <row r="277">
      <c r="P277" s="2" t="inlineStr">
        <is>
          <t>DIGITALIMAGINGTECHS LABOR</t>
        </is>
      </c>
      <c r="R277" s="8">
        <f>SUM(R276:R276)</f>
        <v/>
      </c>
    </row>
    <row r="279">
      <c r="B279" s="2" t="inlineStr">
        <is>
          <t>1STASSTCAMERA</t>
        </is>
      </c>
    </row>
    <row r="280">
      <c r="A280" s="5" t="inlineStr">
        <is>
          <t>3305</t>
        </is>
      </c>
      <c r="B280" s="5" t="inlineStr">
        <is>
          <t>Steve Cueva</t>
        </is>
      </c>
      <c r="C280" s="5" t="inlineStr">
        <is>
          <t>"A"CAMERA 1STAC</t>
        </is>
      </c>
      <c r="D280" s="5" t="inlineStr">
        <is>
          <t>Local600</t>
        </is>
      </c>
      <c r="E280" s="6" t="n">
        <v>25.5</v>
      </c>
      <c r="F280" s="5" t="n"/>
      <c r="G280" s="5" t="n"/>
      <c r="H280" s="5" t="n"/>
      <c r="I280" s="5" t="n"/>
      <c r="J280" s="7">
        <f>IF(AND(N(F280)&gt;0,N(I280)&gt;0),I280-F280-IF(N(G280)&gt;0,0.5,0)-IF(N(H280)&gt;0,0.5,0),0)</f>
        <v/>
      </c>
      <c r="K280" s="5" t="n"/>
      <c r="L280" s="7">
        <f>MIN(J280,8.0)</f>
        <v/>
      </c>
      <c r="M280" s="7">
        <f>MAX(0,MIN(J280,12)-8.0)</f>
        <v/>
      </c>
      <c r="N280" s="7">
        <f>MAX(0,J280-12)</f>
        <v/>
      </c>
      <c r="O280" s="5" t="n"/>
      <c r="P280" s="6">
        <f>E280*(L280+M280*1.5+N280*2+O280*3+N(K280))</f>
        <v/>
      </c>
      <c r="Q280" s="6" t="n">
        <v>395.25</v>
      </c>
      <c r="R280" s="6">
        <f>Q280-P280</f>
        <v/>
      </c>
    </row>
    <row r="281">
      <c r="A281" s="5" t="inlineStr">
        <is>
          <t>3305</t>
        </is>
      </c>
      <c r="B281" s="5" t="inlineStr">
        <is>
          <t>Chris Garcia</t>
        </is>
      </c>
      <c r="C281" s="5" t="inlineStr">
        <is>
          <t>"B"CAMERA 1STAC</t>
        </is>
      </c>
      <c r="D281" s="5" t="inlineStr">
        <is>
          <t>Local600</t>
        </is>
      </c>
      <c r="E281" s="6" t="n">
        <v>25.5</v>
      </c>
      <c r="F281" s="5" t="n"/>
      <c r="G281" s="5" t="n"/>
      <c r="H281" s="5" t="n"/>
      <c r="I281" s="5" t="n"/>
      <c r="J281" s="7">
        <f>IF(AND(N(F281)&gt;0,N(I281)&gt;0),I281-F281-IF(N(G281)&gt;0,0.5,0)-IF(N(H281)&gt;0,0.5,0),0)</f>
        <v/>
      </c>
      <c r="K281" s="5" t="n"/>
      <c r="L281" s="7">
        <f>MIN(J281,8.0)</f>
        <v/>
      </c>
      <c r="M281" s="7">
        <f>MAX(0,MIN(J281,12)-8.0)</f>
        <v/>
      </c>
      <c r="N281" s="7">
        <f>MAX(0,J281-12)</f>
        <v/>
      </c>
      <c r="O281" s="5" t="n"/>
      <c r="P281" s="6">
        <f>E281*(L281+M281*1.5+N281*2+O281*3+N(K281))</f>
        <v/>
      </c>
      <c r="Q281" s="6" t="n">
        <v>395.25</v>
      </c>
      <c r="R281" s="6">
        <f>Q281-P281</f>
        <v/>
      </c>
    </row>
    <row r="282">
      <c r="P282" s="2" t="inlineStr">
        <is>
          <t>1STASSTCAMERA LABOR</t>
        </is>
      </c>
      <c r="R282" s="8">
        <f>SUM(R280:R281)</f>
        <v/>
      </c>
    </row>
    <row r="284">
      <c r="B284" s="2" t="inlineStr">
        <is>
          <t>2NDASSTCAMERA</t>
        </is>
      </c>
    </row>
    <row r="285">
      <c r="A285" s="5" t="inlineStr">
        <is>
          <t>3306</t>
        </is>
      </c>
      <c r="B285" s="5" t="inlineStr">
        <is>
          <t>Manny Serrano</t>
        </is>
      </c>
      <c r="C285" s="5" t="inlineStr">
        <is>
          <t>"A"CAMERA 2NDAC</t>
        </is>
      </c>
      <c r="D285" s="5" t="inlineStr">
        <is>
          <t>Local600</t>
        </is>
      </c>
      <c r="E285" s="6" t="n">
        <v>23.04</v>
      </c>
      <c r="F285" s="5" t="n"/>
      <c r="G285" s="5" t="n"/>
      <c r="H285" s="5" t="n"/>
      <c r="I285" s="5" t="n"/>
      <c r="J285" s="7">
        <f>IF(AND(N(F285)&gt;0,N(I285)&gt;0),I285-F285-IF(N(G285)&gt;0,0.5,0)-IF(N(H285)&gt;0,0.5,0),0)</f>
        <v/>
      </c>
      <c r="K285" s="5" t="n"/>
      <c r="L285" s="7">
        <f>MIN(J285,8.0)</f>
        <v/>
      </c>
      <c r="M285" s="7">
        <f>MAX(0,MIN(J285,12)-8.0)</f>
        <v/>
      </c>
      <c r="N285" s="7">
        <f>MAX(0,J285-12)</f>
        <v/>
      </c>
      <c r="O285" s="5" t="n"/>
      <c r="P285" s="6">
        <f>E285*(L285+M285*1.5+N285*2+O285*3+N(K285))</f>
        <v/>
      </c>
      <c r="Q285" s="6" t="n">
        <v>357.12</v>
      </c>
      <c r="R285" s="6">
        <f>Q285-P285</f>
        <v/>
      </c>
    </row>
    <row r="286">
      <c r="A286" s="5" t="inlineStr">
        <is>
          <t>3306</t>
        </is>
      </c>
      <c r="B286" s="5" t="inlineStr"/>
      <c r="C286" s="5" t="inlineStr">
        <is>
          <t>"B"CAMERA 2NDAC</t>
        </is>
      </c>
      <c r="D286" s="5" t="inlineStr">
        <is>
          <t>Local600</t>
        </is>
      </c>
      <c r="E286" s="6" t="n">
        <v>23.04</v>
      </c>
      <c r="F286" s="5" t="n"/>
      <c r="G286" s="5" t="n"/>
      <c r="H286" s="5" t="n"/>
      <c r="I286" s="5" t="n"/>
      <c r="J286" s="7">
        <f>IF(AND(N(F286)&gt;0,N(I286)&gt;0),I286-F286-IF(N(G286)&gt;0,0.5,0)-IF(N(H286)&gt;0,0.5,0),0)</f>
        <v/>
      </c>
      <c r="K286" s="5" t="n"/>
      <c r="L286" s="7">
        <f>MIN(J286,8.0)</f>
        <v/>
      </c>
      <c r="M286" s="7">
        <f>MAX(0,MIN(J286,12)-8.0)</f>
        <v/>
      </c>
      <c r="N286" s="7">
        <f>MAX(0,J286-12)</f>
        <v/>
      </c>
      <c r="O286" s="5" t="n"/>
      <c r="P286" s="6">
        <f>E286*(L286+M286*1.5+N286*2+O286*3+N(K286))</f>
        <v/>
      </c>
      <c r="Q286" s="6" t="n">
        <v>357.12</v>
      </c>
      <c r="R286" s="6">
        <f>Q286-P286</f>
        <v/>
      </c>
    </row>
    <row r="287">
      <c r="P287" s="2" t="inlineStr">
        <is>
          <t>2NDASSTCAMERA LABOR</t>
        </is>
      </c>
      <c r="R287" s="8">
        <f>SUM(R285:R286)</f>
        <v/>
      </c>
    </row>
    <row r="289">
      <c r="B289" s="2" t="inlineStr">
        <is>
          <t>STILLPHOTOGRAPHER</t>
        </is>
      </c>
    </row>
    <row r="290">
      <c r="A290" s="5" t="inlineStr">
        <is>
          <t>3308</t>
        </is>
      </c>
      <c r="B290" s="5" t="inlineStr">
        <is>
          <t>Scott Patrick Green</t>
        </is>
      </c>
      <c r="C290" s="5" t="inlineStr">
        <is>
          <t>STILLPHOTOGRAPHER</t>
        </is>
      </c>
      <c r="D290" s="5" t="inlineStr">
        <is>
          <t>Local600</t>
        </is>
      </c>
      <c r="E290" s="6" t="n">
        <v>26.5</v>
      </c>
      <c r="F290" s="5" t="n"/>
      <c r="G290" s="5" t="n"/>
      <c r="H290" s="5" t="n"/>
      <c r="I290" s="5" t="n"/>
      <c r="J290" s="7">
        <f>IF(AND(N(F290)&gt;0,N(I290)&gt;0),I290-F290-IF(N(G290)&gt;0,0.5,0)-IF(N(H290)&gt;0,0.5,0),0)</f>
        <v/>
      </c>
      <c r="K290" s="5" t="n"/>
      <c r="L290" s="7">
        <f>MIN(J290,8.0)</f>
        <v/>
      </c>
      <c r="M290" s="7">
        <f>MAX(0,MIN(J290,12)-8.0)</f>
        <v/>
      </c>
      <c r="N290" s="7">
        <f>MAX(0,J290-12)</f>
        <v/>
      </c>
      <c r="O290" s="5" t="n"/>
      <c r="P290" s="6">
        <f>E290*(L290+M290*1.5+N290*2+O290*3+N(K290))</f>
        <v/>
      </c>
      <c r="Q290" s="6" t="n">
        <v>291.5</v>
      </c>
      <c r="R290" s="6">
        <f>Q290-P290</f>
        <v/>
      </c>
    </row>
    <row r="291">
      <c r="P291" s="2" t="inlineStr">
        <is>
          <t>STILLPHOTOGRAPHER LABOR</t>
        </is>
      </c>
      <c r="R291" s="8">
        <f>SUM(R290:R290)</f>
        <v/>
      </c>
    </row>
    <row r="293">
      <c r="B293" s="2" t="inlineStr">
        <is>
          <t>AERIAL/UNDERWATERPHOTOGRAPHY</t>
        </is>
      </c>
    </row>
    <row r="294">
      <c r="A294" s="5" t="inlineStr">
        <is>
          <t>3385</t>
        </is>
      </c>
      <c r="B294" s="5" t="inlineStr"/>
      <c r="C294" s="5" t="inlineStr">
        <is>
          <t>UNDERWATEROPERATOR</t>
        </is>
      </c>
      <c r="D294" s="5" t="inlineStr">
        <is>
          <t>Local600</t>
        </is>
      </c>
      <c r="E294" s="6" t="n">
        <v>65</v>
      </c>
      <c r="F294" s="5" t="n"/>
      <c r="G294" s="5" t="n"/>
      <c r="H294" s="5" t="n"/>
      <c r="I294" s="5" t="n"/>
      <c r="J294" s="7">
        <f>IF(AND(N(F294)&gt;0,N(I294)&gt;0),I294-F294-IF(N(G294)&gt;0,0.5,0)-IF(N(H294)&gt;0,0.5,0),0)</f>
        <v/>
      </c>
      <c r="K294" s="5" t="n"/>
      <c r="L294" s="7">
        <f>MIN(J294,8.0)</f>
        <v/>
      </c>
      <c r="M294" s="7">
        <f>MAX(0,MIN(J294,12)-8.0)</f>
        <v/>
      </c>
      <c r="N294" s="7">
        <f>MAX(0,J294-12)</f>
        <v/>
      </c>
      <c r="O294" s="5" t="n"/>
      <c r="P294" s="6">
        <f>E294*(L294+M294*1.5+N294*2+O294*3+N(K294))</f>
        <v/>
      </c>
      <c r="Q294" s="6" t="n">
        <v>910</v>
      </c>
      <c r="R294" s="6">
        <f>Q294-P294</f>
        <v/>
      </c>
    </row>
    <row r="295">
      <c r="P295" s="2" t="inlineStr">
        <is>
          <t>AERIAL/UNDERWATERPHOTOGRAPHY LABOR</t>
        </is>
      </c>
      <c r="R295" s="8">
        <f>SUM(R294:R294)</f>
        <v/>
      </c>
    </row>
    <row r="297">
      <c r="B297" s="2" t="inlineStr">
        <is>
          <t>SOUNDMIXER</t>
        </is>
      </c>
    </row>
    <row r="298">
      <c r="A298" s="5" t="inlineStr">
        <is>
          <t>3401</t>
        </is>
      </c>
      <c r="B298" s="5" t="inlineStr">
        <is>
          <t>Julian Howarth</t>
        </is>
      </c>
      <c r="C298" s="5" t="inlineStr">
        <is>
          <t>SOUNDMIXER</t>
        </is>
      </c>
      <c r="D298" s="5" t="inlineStr">
        <is>
          <t>Local695</t>
        </is>
      </c>
      <c r="E298" s="6" t="n">
        <v>26.5</v>
      </c>
      <c r="F298" s="5" t="n"/>
      <c r="G298" s="5" t="n"/>
      <c r="H298" s="5" t="n"/>
      <c r="I298" s="5" t="n"/>
      <c r="J298" s="7">
        <f>IF(AND(N(F298)&gt;0,N(I298)&gt;0),I298-F298-IF(N(G298)&gt;0,0.5,0)-IF(N(H298)&gt;0,0.5,0),0)</f>
        <v/>
      </c>
      <c r="K298" s="5" t="n"/>
      <c r="L298" s="7">
        <f>MIN(J298,10.0)</f>
        <v/>
      </c>
      <c r="M298" s="7">
        <f>MAX(0,MIN(J298,12)-10.0)</f>
        <v/>
      </c>
      <c r="N298" s="7">
        <f>MAX(0,J298-12)</f>
        <v/>
      </c>
      <c r="O298" s="5" t="n"/>
      <c r="P298" s="6">
        <f>E298*(L298+M298*1.5+N298*2+O298*3+N(K298))</f>
        <v/>
      </c>
      <c r="Q298" s="6" t="n">
        <v>410.75</v>
      </c>
      <c r="R298" s="6">
        <f>Q298-P298</f>
        <v/>
      </c>
    </row>
    <row r="299">
      <c r="P299" s="2" t="inlineStr">
        <is>
          <t>SOUNDMIXER LABOR</t>
        </is>
      </c>
      <c r="R299" s="8">
        <f>SUM(R298:R298)</f>
        <v/>
      </c>
    </row>
    <row r="301">
      <c r="B301" s="2" t="inlineStr">
        <is>
          <t>BOOMOPERATOR</t>
        </is>
      </c>
    </row>
    <row r="302">
      <c r="A302" s="5" t="inlineStr">
        <is>
          <t>3402</t>
        </is>
      </c>
      <c r="B302" s="5" t="inlineStr">
        <is>
          <t>Tim Song Jones</t>
        </is>
      </c>
      <c r="C302" s="5" t="inlineStr">
        <is>
          <t>BOOMOPERATOR</t>
        </is>
      </c>
      <c r="D302" s="5" t="inlineStr">
        <is>
          <t>Local695</t>
        </is>
      </c>
      <c r="E302" s="6" t="n">
        <v>23.04</v>
      </c>
      <c r="F302" s="5" t="n"/>
      <c r="G302" s="5" t="n"/>
      <c r="H302" s="5" t="n"/>
      <c r="I302" s="5" t="n"/>
      <c r="J302" s="7">
        <f>IF(AND(N(F302)&gt;0,N(I302)&gt;0),I302-F302-IF(N(G302)&gt;0,0.5,0)-IF(N(H302)&gt;0,0.5,0),0)</f>
        <v/>
      </c>
      <c r="K302" s="5" t="n"/>
      <c r="L302" s="7">
        <f>MIN(J302,10.0)</f>
        <v/>
      </c>
      <c r="M302" s="7">
        <f>MAX(0,MIN(J302,12)-10.0)</f>
        <v/>
      </c>
      <c r="N302" s="7">
        <f>MAX(0,J302-12)</f>
        <v/>
      </c>
      <c r="O302" s="5" t="n"/>
      <c r="P302" s="6">
        <f>E302*(L302+M302*1.5+N302*2+O302*3+N(K302))</f>
        <v/>
      </c>
      <c r="Q302" s="6" t="n">
        <v>357.12</v>
      </c>
      <c r="R302" s="6">
        <f>Q302-P302</f>
        <v/>
      </c>
    </row>
    <row r="303">
      <c r="P303" s="2" t="inlineStr">
        <is>
          <t>BOOMOPERATOR LABOR</t>
        </is>
      </c>
      <c r="R303" s="8">
        <f>SUM(R302:R302)</f>
        <v/>
      </c>
    </row>
    <row r="305">
      <c r="B305" s="2" t="inlineStr">
        <is>
          <t>CABLEPERSON</t>
        </is>
      </c>
    </row>
    <row r="306">
      <c r="A306" s="5" t="inlineStr">
        <is>
          <t>3403</t>
        </is>
      </c>
      <c r="B306" s="5" t="inlineStr"/>
      <c r="C306" s="5" t="inlineStr">
        <is>
          <t>UTILITYSOUND</t>
        </is>
      </c>
      <c r="D306" s="5" t="inlineStr">
        <is>
          <t>Local695</t>
        </is>
      </c>
      <c r="E306" s="6" t="n">
        <v>20.57</v>
      </c>
      <c r="F306" s="5" t="n"/>
      <c r="G306" s="5" t="n"/>
      <c r="H306" s="5" t="n"/>
      <c r="I306" s="5" t="n"/>
      <c r="J306" s="7">
        <f>IF(AND(N(F306)&gt;0,N(I306)&gt;0),I306-F306-IF(N(G306)&gt;0,0.5,0)-IF(N(H306)&gt;0,0.5,0),0)</f>
        <v/>
      </c>
      <c r="K306" s="5" t="n"/>
      <c r="L306" s="7">
        <f>MIN(J306,10.0)</f>
        <v/>
      </c>
      <c r="M306" s="7">
        <f>MAX(0,MIN(J306,12)-10.0)</f>
        <v/>
      </c>
      <c r="N306" s="7">
        <f>MAX(0,J306-12)</f>
        <v/>
      </c>
      <c r="O306" s="5" t="n"/>
      <c r="P306" s="6">
        <f>E306*(L306+M306*1.5+N306*2+O306*3+N(K306))</f>
        <v/>
      </c>
      <c r="Q306" s="6" t="n">
        <v>318.83</v>
      </c>
      <c r="R306" s="6">
        <f>Q306-P306</f>
        <v/>
      </c>
    </row>
    <row r="307">
      <c r="P307" s="2" t="inlineStr">
        <is>
          <t>CABLEPERSON LABOR</t>
        </is>
      </c>
      <c r="R307" s="8">
        <f>SUM(R306:R306)</f>
        <v/>
      </c>
    </row>
    <row r="309">
      <c r="B309" s="2" t="inlineStr">
        <is>
          <t>VIDEOASSIST</t>
        </is>
      </c>
    </row>
    <row r="310">
      <c r="A310" s="5" t="inlineStr">
        <is>
          <t>3404</t>
        </is>
      </c>
      <c r="B310" s="5" t="inlineStr">
        <is>
          <t>Jeff Snyder</t>
        </is>
      </c>
      <c r="C310" s="5" t="inlineStr">
        <is>
          <t>VIDEOASSISTOPERATOR</t>
        </is>
      </c>
      <c r="D310" s="5" t="inlineStr">
        <is>
          <t>Local695</t>
        </is>
      </c>
      <c r="E310" s="6" t="n">
        <v>23.04</v>
      </c>
      <c r="F310" s="5" t="n"/>
      <c r="G310" s="5" t="n"/>
      <c r="H310" s="5" t="n"/>
      <c r="I310" s="5" t="n"/>
      <c r="J310" s="7">
        <f>IF(AND(N(F310)&gt;0,N(I310)&gt;0),I310-F310-IF(N(G310)&gt;0,0.5,0)-IF(N(H310)&gt;0,0.5,0),0)</f>
        <v/>
      </c>
      <c r="K310" s="5" t="n"/>
      <c r="L310" s="7">
        <f>MIN(J310,10.0)</f>
        <v/>
      </c>
      <c r="M310" s="7">
        <f>MAX(0,MIN(J310,12)-10.0)</f>
        <v/>
      </c>
      <c r="N310" s="7">
        <f>MAX(0,J310-12)</f>
        <v/>
      </c>
      <c r="O310" s="5" t="n"/>
      <c r="P310" s="6">
        <f>E310*(L310+M310*1.5+N310*2+O310*3+N(K310))</f>
        <v/>
      </c>
      <c r="Q310" s="6" t="n">
        <v>357.12</v>
      </c>
      <c r="R310" s="6">
        <f>Q310-P310</f>
        <v/>
      </c>
    </row>
    <row r="311">
      <c r="P311" s="2" t="inlineStr">
        <is>
          <t>VIDEOASSIST LABOR</t>
        </is>
      </c>
      <c r="R311" s="8">
        <f>SUM(R310:R310)</f>
        <v/>
      </c>
    </row>
    <row r="313">
      <c r="B313" s="2" t="inlineStr">
        <is>
          <t>CAPTAIN</t>
        </is>
      </c>
    </row>
    <row r="314">
      <c r="A314" s="5" t="inlineStr">
        <is>
          <t>3502</t>
        </is>
      </c>
      <c r="B314" s="5" t="inlineStr">
        <is>
          <t>Kevin Caira</t>
        </is>
      </c>
      <c r="C314" s="5" t="inlineStr">
        <is>
          <t>TRANSPOCAPTAIN(LA)</t>
        </is>
      </c>
      <c r="D314" s="5" t="inlineStr">
        <is>
          <t>Local399</t>
        </is>
      </c>
      <c r="E314" s="6" t="n">
        <v>37.21</v>
      </c>
      <c r="F314" s="5" t="n"/>
      <c r="G314" s="5" t="n"/>
      <c r="H314" s="5" t="n"/>
      <c r="I314" s="5" t="n"/>
      <c r="J314" s="7">
        <f>IF(AND(N(F314)&gt;0,N(I314)&gt;0),I314-F314-IF(N(G314)&gt;0,0.5,0)-IF(N(H314)&gt;0,0.5,0),0)</f>
        <v/>
      </c>
      <c r="K314" s="5" t="n"/>
      <c r="L314" s="7">
        <f>MIN(J314,8.0)</f>
        <v/>
      </c>
      <c r="M314" s="7">
        <f>MAX(0,MIN(J314,12)-8.0)</f>
        <v/>
      </c>
      <c r="N314" s="7">
        <f>MAX(0,J314-12)</f>
        <v/>
      </c>
      <c r="O314" s="5" t="n"/>
      <c r="P314" s="6">
        <f>E314*(L314+M314*1.5+N314*2+O314*3+N(K314))</f>
        <v/>
      </c>
      <c r="Q314" s="6" t="n">
        <v>651.17</v>
      </c>
      <c r="R314" s="6">
        <f>Q314-P314</f>
        <v/>
      </c>
    </row>
    <row r="315">
      <c r="A315" s="5" t="inlineStr">
        <is>
          <t>3502</t>
        </is>
      </c>
      <c r="B315" s="5" t="inlineStr">
        <is>
          <t>Tina Peterson</t>
        </is>
      </c>
      <c r="C315" s="5" t="inlineStr">
        <is>
          <t>CO-CAPTAIN</t>
        </is>
      </c>
      <c r="D315" s="5" t="inlineStr">
        <is>
          <t>Local399</t>
        </is>
      </c>
      <c r="E315" s="6" t="n">
        <v>37.21</v>
      </c>
      <c r="F315" s="5" t="n"/>
      <c r="G315" s="5" t="n"/>
      <c r="H315" s="5" t="n"/>
      <c r="I315" s="5" t="n"/>
      <c r="J315" s="7">
        <f>IF(AND(N(F315)&gt;0,N(I315)&gt;0),I315-F315-IF(N(G315)&gt;0,0.5,0)-IF(N(H315)&gt;0,0.5,0),0)</f>
        <v/>
      </c>
      <c r="K315" s="5" t="n"/>
      <c r="L315" s="7">
        <f>MIN(J315,8.0)</f>
        <v/>
      </c>
      <c r="M315" s="7">
        <f>MAX(0,MIN(J315,12)-8.0)</f>
        <v/>
      </c>
      <c r="N315" s="7">
        <f>MAX(0,J315-12)</f>
        <v/>
      </c>
      <c r="O315" s="5" t="n"/>
      <c r="P315" s="6">
        <f>E315*(L315+M315*1.5+N315*2+O315*3+N(K315))</f>
        <v/>
      </c>
      <c r="Q315" s="6" t="n">
        <v>576.75</v>
      </c>
      <c r="R315" s="6">
        <f>Q315-P315</f>
        <v/>
      </c>
    </row>
    <row r="316">
      <c r="P316" s="2" t="inlineStr">
        <is>
          <t>CAPTAIN LABOR</t>
        </is>
      </c>
      <c r="R316" s="8">
        <f>SUM(R314:R315)</f>
        <v/>
      </c>
    </row>
    <row r="318">
      <c r="B318" s="2" t="inlineStr">
        <is>
          <t>DRIVERS</t>
        </is>
      </c>
    </row>
    <row r="319">
      <c r="A319" s="5" t="inlineStr">
        <is>
          <t>3503</t>
        </is>
      </c>
      <c r="B319" s="5" t="inlineStr"/>
      <c r="C319" s="5" t="inlineStr">
        <is>
          <t>GRIPTRUCK 48'TRACTORTRAILERDRIVER</t>
        </is>
      </c>
      <c r="D319" s="5" t="inlineStr"/>
      <c r="E319" s="6" t="n">
        <v>32.36</v>
      </c>
      <c r="F319" s="5" t="n"/>
      <c r="G319" s="5" t="n"/>
      <c r="H319" s="5" t="n"/>
      <c r="I319" s="5" t="n"/>
      <c r="J319" s="7">
        <f>IF(AND(N(F319)&gt;0,N(I319)&gt;0),I319-F319-IF(N(G319)&gt;0,0.5,0)-IF(N(H319)&gt;0,0.5,0),0)</f>
        <v/>
      </c>
      <c r="K319" s="5" t="n"/>
      <c r="L319" s="7">
        <f>MIN(J319,8.0)</f>
        <v/>
      </c>
      <c r="M319" s="7">
        <f>MAX(0,MIN(J319,12)-8.0)</f>
        <v/>
      </c>
      <c r="N319" s="7">
        <f>MAX(0,J319-12)</f>
        <v/>
      </c>
      <c r="O319" s="5" t="n"/>
      <c r="P319" s="6">
        <f>E319*(L319+M319*1.5+N319*2+O319*3+N(K319))</f>
        <v/>
      </c>
      <c r="Q319" s="6" t="n">
        <v>501.58</v>
      </c>
      <c r="R319" s="6">
        <f>Q319-P319</f>
        <v/>
      </c>
    </row>
    <row r="320">
      <c r="A320" s="5" t="inlineStr">
        <is>
          <t>3503</t>
        </is>
      </c>
      <c r="B320" s="5" t="inlineStr">
        <is>
          <t>Donald Wilson</t>
        </is>
      </c>
      <c r="C320" s="5" t="inlineStr">
        <is>
          <t>PROP 5-TON(ENCLOSED)</t>
        </is>
      </c>
      <c r="D320" s="5" t="inlineStr"/>
      <c r="E320" s="6" t="n">
        <v>32.36</v>
      </c>
      <c r="F320" s="5" t="n"/>
      <c r="G320" s="5" t="n"/>
      <c r="H320" s="5" t="n"/>
      <c r="I320" s="5" t="n"/>
      <c r="J320" s="7">
        <f>IF(AND(N(F320)&gt;0,N(I320)&gt;0),I320-F320-IF(N(G320)&gt;0,0.5,0)-IF(N(H320)&gt;0,0.5,0),0)</f>
        <v/>
      </c>
      <c r="K320" s="5" t="n"/>
      <c r="L320" s="7">
        <f>MIN(J320,8.0)</f>
        <v/>
      </c>
      <c r="M320" s="7">
        <f>MAX(0,MIN(J320,12)-8.0)</f>
        <v/>
      </c>
      <c r="N320" s="7">
        <f>MAX(0,J320-12)</f>
        <v/>
      </c>
      <c r="O320" s="5" t="n"/>
      <c r="P320" s="6">
        <f>E320*(L320+M320*1.5+N320*2+O320*3+N(K320))</f>
        <v/>
      </c>
      <c r="Q320" s="6" t="n">
        <v>501.58</v>
      </c>
      <c r="R320" s="6">
        <f>Q320-P320</f>
        <v/>
      </c>
    </row>
    <row r="321">
      <c r="A321" s="5" t="inlineStr">
        <is>
          <t>3503</t>
        </is>
      </c>
      <c r="B321" s="5" t="inlineStr"/>
      <c r="C321" s="5" t="inlineStr">
        <is>
          <t>WARDROBESTAKEBEDDRIVER#1</t>
        </is>
      </c>
      <c r="D321" s="5" t="inlineStr"/>
      <c r="E321" s="6" t="n">
        <v>37.99</v>
      </c>
      <c r="F321" s="5" t="n"/>
      <c r="G321" s="5" t="n"/>
      <c r="H321" s="5" t="n"/>
      <c r="I321" s="5" t="n"/>
      <c r="J321" s="7">
        <f>IF(AND(N(F321)&gt;0,N(I321)&gt;0),I321-F321-IF(N(G321)&gt;0,0.5,0)-IF(N(H321)&gt;0,0.5,0),0)</f>
        <v/>
      </c>
      <c r="K321" s="5" t="n"/>
      <c r="L321" s="7">
        <f>MIN(J321,8.0)</f>
        <v/>
      </c>
      <c r="M321" s="7">
        <f>MAX(0,MIN(J321,12)-8.0)</f>
        <v/>
      </c>
      <c r="N321" s="7">
        <f>MAX(0,J321-12)</f>
        <v/>
      </c>
      <c r="O321" s="5" t="n"/>
      <c r="P321" s="6">
        <f>E321*(L321+M321*1.5+N321*2+O321*3+N(K321))</f>
        <v/>
      </c>
      <c r="Q321" s="6" t="n">
        <v>588.85</v>
      </c>
      <c r="R321" s="6">
        <f>Q321-P321</f>
        <v/>
      </c>
    </row>
    <row r="322">
      <c r="A322" s="5" t="inlineStr">
        <is>
          <t>3503</t>
        </is>
      </c>
      <c r="B322" s="5" t="inlineStr"/>
      <c r="C322" s="5" t="inlineStr">
        <is>
          <t>MAKEUPHAIRTRAILERDRIVER</t>
        </is>
      </c>
      <c r="D322" s="5" t="inlineStr"/>
      <c r="E322" s="6" t="n">
        <v>32.36</v>
      </c>
      <c r="F322" s="5" t="n"/>
      <c r="G322" s="5" t="n"/>
      <c r="H322" s="5" t="n"/>
      <c r="I322" s="5" t="n"/>
      <c r="J322" s="7">
        <f>IF(AND(N(F322)&gt;0,N(I322)&gt;0),I322-F322-IF(N(G322)&gt;0,0.5,0)-IF(N(H322)&gt;0,0.5,0),0)</f>
        <v/>
      </c>
      <c r="K322" s="5" t="n"/>
      <c r="L322" s="7">
        <f>MIN(J322,8.0)</f>
        <v/>
      </c>
      <c r="M322" s="7">
        <f>MAX(0,MIN(J322,12)-8.0)</f>
        <v/>
      </c>
      <c r="N322" s="7">
        <f>MAX(0,J322-12)</f>
        <v/>
      </c>
      <c r="O322" s="5" t="n"/>
      <c r="P322" s="6">
        <f>E322*(L322+M322*1.5+N322*2+O322*3+N(K322))</f>
        <v/>
      </c>
      <c r="Q322" s="6" t="n">
        <v>501.58</v>
      </c>
      <c r="R322" s="6">
        <f>Q322-P322</f>
        <v/>
      </c>
    </row>
    <row r="323">
      <c r="A323" s="5" t="inlineStr">
        <is>
          <t>3503</t>
        </is>
      </c>
      <c r="B323" s="5" t="inlineStr"/>
      <c r="C323" s="5" t="inlineStr">
        <is>
          <t>ELECTRIC 10TONDRIVER(GENIEOPERATOR)</t>
        </is>
      </c>
      <c r="D323" s="5" t="inlineStr"/>
      <c r="E323" s="6" t="n">
        <v>37.99</v>
      </c>
      <c r="F323" s="5" t="n"/>
      <c r="G323" s="5" t="n"/>
      <c r="H323" s="5" t="n"/>
      <c r="I323" s="5" t="n"/>
      <c r="J323" s="7">
        <f>IF(AND(N(F323)&gt;0,N(I323)&gt;0),I323-F323-IF(N(G323)&gt;0,0.5,0)-IF(N(H323)&gt;0,0.5,0),0)</f>
        <v/>
      </c>
      <c r="K323" s="5" t="n"/>
      <c r="L323" s="7">
        <f>MIN(J323,8.0)</f>
        <v/>
      </c>
      <c r="M323" s="7">
        <f>MAX(0,MIN(J323,12)-8.0)</f>
        <v/>
      </c>
      <c r="N323" s="7">
        <f>MAX(0,J323-12)</f>
        <v/>
      </c>
      <c r="O323" s="5" t="n"/>
      <c r="P323" s="6">
        <f>E323*(L323+M323*1.5+N323*2+O323*3+N(K323))</f>
        <v/>
      </c>
      <c r="Q323" s="6" t="n">
        <v>588.85</v>
      </c>
      <c r="R323" s="6">
        <f>Q323-P323</f>
        <v/>
      </c>
    </row>
    <row r="324">
      <c r="A324" s="5" t="inlineStr">
        <is>
          <t>3503</t>
        </is>
      </c>
      <c r="B324" s="5" t="inlineStr"/>
      <c r="C324" s="5" t="inlineStr">
        <is>
          <t>SOUNDCCSTAKEBEDFUELTRUCKDRIVER</t>
        </is>
      </c>
      <c r="D324" s="5" t="inlineStr"/>
      <c r="E324" s="6" t="n">
        <v>32.36</v>
      </c>
      <c r="F324" s="5" t="n"/>
      <c r="G324" s="5" t="n"/>
      <c r="H324" s="5" t="n"/>
      <c r="I324" s="5" t="n"/>
      <c r="J324" s="7">
        <f>IF(AND(N(F324)&gt;0,N(I324)&gt;0),I324-F324-IF(N(G324)&gt;0,0.5,0)-IF(N(H324)&gt;0,0.5,0),0)</f>
        <v/>
      </c>
      <c r="K324" s="5" t="n"/>
      <c r="L324" s="7">
        <f>MIN(J324,8.0)</f>
        <v/>
      </c>
      <c r="M324" s="7">
        <f>MAX(0,MIN(J324,12)-8.0)</f>
        <v/>
      </c>
      <c r="N324" s="7">
        <f>MAX(0,J324-12)</f>
        <v/>
      </c>
      <c r="O324" s="5" t="n"/>
      <c r="P324" s="6">
        <f>E324*(L324+M324*1.5+N324*2+O324*3+N(K324))</f>
        <v/>
      </c>
      <c r="Q324" s="6" t="n">
        <v>501.58</v>
      </c>
      <c r="R324" s="6">
        <f>Q324-P324</f>
        <v/>
      </c>
    </row>
    <row r="325">
      <c r="A325" s="5" t="inlineStr">
        <is>
          <t>3503</t>
        </is>
      </c>
      <c r="B325" s="5" t="inlineStr"/>
      <c r="C325" s="5" t="inlineStr">
        <is>
          <t>9-ROOMHONEYWAGONTRACTORDRIVER</t>
        </is>
      </c>
      <c r="D325" s="5" t="inlineStr"/>
      <c r="E325" s="6" t="n">
        <v>32.36</v>
      </c>
      <c r="F325" s="5" t="n"/>
      <c r="G325" s="5" t="n"/>
      <c r="H325" s="5" t="n"/>
      <c r="I325" s="5" t="n"/>
      <c r="J325" s="7">
        <f>IF(AND(N(F325)&gt;0,N(I325)&gt;0),I325-F325-IF(N(G325)&gt;0,0.5,0)-IF(N(H325)&gt;0,0.5,0),0)</f>
        <v/>
      </c>
      <c r="K325" s="5" t="n"/>
      <c r="L325" s="7">
        <f>MIN(J325,8.0)</f>
        <v/>
      </c>
      <c r="M325" s="7">
        <f>MAX(0,MIN(J325,12)-8.0)</f>
        <v/>
      </c>
      <c r="N325" s="7">
        <f>MAX(0,J325-12)</f>
        <v/>
      </c>
      <c r="O325" s="5" t="n"/>
      <c r="P325" s="6">
        <f>E325*(L325+M325*1.5+N325*2+O325*3+N(K325))</f>
        <v/>
      </c>
      <c r="Q325" s="6" t="n">
        <v>501.58</v>
      </c>
      <c r="R325" s="6">
        <f>Q325-P325</f>
        <v/>
      </c>
    </row>
    <row r="326">
      <c r="A326" s="5" t="inlineStr">
        <is>
          <t>3503</t>
        </is>
      </c>
      <c r="B326" s="5" t="inlineStr"/>
      <c r="C326" s="5" t="inlineStr">
        <is>
          <t>FORDTRANSITVANDRIVER#1</t>
        </is>
      </c>
      <c r="D326" s="5" t="inlineStr"/>
      <c r="E326" s="6" t="n">
        <v>32.36</v>
      </c>
      <c r="F326" s="5" t="n"/>
      <c r="G326" s="5" t="n"/>
      <c r="H326" s="5" t="n"/>
      <c r="I326" s="5" t="n"/>
      <c r="J326" s="7">
        <f>IF(AND(N(F326)&gt;0,N(I326)&gt;0),I326-F326-IF(N(G326)&gt;0,0.5,0)-IF(N(H326)&gt;0,0.5,0),0)</f>
        <v/>
      </c>
      <c r="K326" s="5" t="n"/>
      <c r="L326" s="7">
        <f>MIN(J326,8.0)</f>
        <v/>
      </c>
      <c r="M326" s="7">
        <f>MAX(0,MIN(J326,12)-8.0)</f>
        <v/>
      </c>
      <c r="N326" s="7">
        <f>MAX(0,J326-12)</f>
        <v/>
      </c>
      <c r="O326" s="5" t="n"/>
      <c r="P326" s="6">
        <f>E326*(L326+M326*1.5+N326*2+O326*3+N(K326))</f>
        <v/>
      </c>
      <c r="Q326" s="6" t="n">
        <v>501.58</v>
      </c>
      <c r="R326" s="6">
        <f>Q326-P326</f>
        <v/>
      </c>
    </row>
    <row r="327">
      <c r="A327" s="5" t="inlineStr">
        <is>
          <t>3503</t>
        </is>
      </c>
      <c r="B327" s="5" t="inlineStr">
        <is>
          <t>Kaiser Clark</t>
        </is>
      </c>
      <c r="C327" s="5" t="inlineStr">
        <is>
          <t>CSETDECTRUCKDRIVER#1</t>
        </is>
      </c>
      <c r="D327" s="5" t="inlineStr"/>
      <c r="E327" s="6" t="n">
        <v>32.36</v>
      </c>
      <c r="F327" s="5" t="n"/>
      <c r="G327" s="5" t="n"/>
      <c r="H327" s="5" t="n"/>
      <c r="I327" s="5" t="n"/>
      <c r="J327" s="7">
        <f>IF(AND(N(F327)&gt;0,N(I327)&gt;0),I327-F327-IF(N(G327)&gt;0,0.5,0)-IF(N(H327)&gt;0,0.5,0),0)</f>
        <v/>
      </c>
      <c r="K327" s="5" t="n"/>
      <c r="L327" s="7">
        <f>MIN(J327,8.0)</f>
        <v/>
      </c>
      <c r="M327" s="7">
        <f>MAX(0,MIN(J327,12)-8.0)</f>
        <v/>
      </c>
      <c r="N327" s="7">
        <f>MAX(0,J327-12)</f>
        <v/>
      </c>
      <c r="O327" s="5" t="n"/>
      <c r="P327" s="6">
        <f>E327*(L327+M327*1.5+N327*2+O327*3+N(K327))</f>
        <v/>
      </c>
      <c r="Q327" s="6" t="n">
        <v>501.58</v>
      </c>
      <c r="R327" s="6">
        <f>Q327-P327</f>
        <v/>
      </c>
    </row>
    <row r="328">
      <c r="A328" s="5" t="inlineStr">
        <is>
          <t>3503</t>
        </is>
      </c>
      <c r="B328" s="5" t="inlineStr"/>
      <c r="C328" s="5" t="inlineStr">
        <is>
          <t>C 5-TONENCLOSEDRIGGINGGRIPDRIVER</t>
        </is>
      </c>
      <c r="D328" s="5" t="inlineStr"/>
      <c r="E328" s="6" t="n">
        <v>32.36</v>
      </c>
      <c r="F328" s="5" t="n"/>
      <c r="G328" s="5" t="n"/>
      <c r="H328" s="5" t="n"/>
      <c r="I328" s="5" t="n"/>
      <c r="J328" s="7">
        <f>IF(AND(N(F328)&gt;0,N(I328)&gt;0),I328-F328-IF(N(G328)&gt;0,0.5,0)-IF(N(H328)&gt;0,0.5,0),0)</f>
        <v/>
      </c>
      <c r="K328" s="5" t="n"/>
      <c r="L328" s="7">
        <f>MIN(J328,8.0)</f>
        <v/>
      </c>
      <c r="M328" s="7">
        <f>MAX(0,MIN(J328,12)-8.0)</f>
        <v/>
      </c>
      <c r="N328" s="7">
        <f>MAX(0,J328-12)</f>
        <v/>
      </c>
      <c r="O328" s="5" t="n"/>
      <c r="P328" s="6">
        <f>E328*(L328+M328*1.5+N328*2+O328*3+N(K328))</f>
        <v/>
      </c>
      <c r="Q328" s="5" t="n"/>
      <c r="R328" s="6">
        <f>Q328-P328</f>
        <v/>
      </c>
    </row>
    <row r="329">
      <c r="A329" s="5" t="inlineStr">
        <is>
          <t>3503</t>
        </is>
      </c>
      <c r="B329" s="5" t="inlineStr"/>
      <c r="C329" s="5" t="inlineStr">
        <is>
          <t>SCOUTBUS</t>
        </is>
      </c>
      <c r="D329" s="5" t="inlineStr"/>
      <c r="E329" s="6" t="n">
        <v>32.36</v>
      </c>
      <c r="F329" s="5" t="n"/>
      <c r="G329" s="5" t="n"/>
      <c r="H329" s="5" t="n"/>
      <c r="I329" s="5" t="n"/>
      <c r="J329" s="7">
        <f>IF(AND(N(F329)&gt;0,N(I329)&gt;0),I329-F329-IF(N(G329)&gt;0,0.5,0)-IF(N(H329)&gt;0,0.5,0),0)</f>
        <v/>
      </c>
      <c r="K329" s="5" t="n"/>
      <c r="L329" s="7">
        <f>MIN(J329,8.0)</f>
        <v/>
      </c>
      <c r="M329" s="7">
        <f>MAX(0,MIN(J329,12)-8.0)</f>
        <v/>
      </c>
      <c r="N329" s="7">
        <f>MAX(0,J329-12)</f>
        <v/>
      </c>
      <c r="O329" s="5" t="n"/>
      <c r="P329" s="6">
        <f>E329*(L329+M329*1.5+N329*2+O329*3+N(K329))</f>
        <v/>
      </c>
      <c r="Q329" s="5" t="n"/>
      <c r="R329" s="6">
        <f>Q329-P329</f>
        <v/>
      </c>
    </row>
    <row r="330">
      <c r="A330" s="5" t="inlineStr">
        <is>
          <t>3503</t>
        </is>
      </c>
      <c r="B330" s="5" t="inlineStr"/>
      <c r="C330" s="5" t="inlineStr">
        <is>
          <t>DRIVERMANDAYS</t>
        </is>
      </c>
      <c r="D330" s="5" t="inlineStr"/>
      <c r="E330" s="6" t="n">
        <v>32.36</v>
      </c>
      <c r="F330" s="5" t="n"/>
      <c r="G330" s="5" t="n"/>
      <c r="H330" s="5" t="n"/>
      <c r="I330" s="5" t="n"/>
      <c r="J330" s="7">
        <f>IF(AND(N(F330)&gt;0,N(I330)&gt;0),I330-F330-IF(N(G330)&gt;0,0.5,0)-IF(N(H330)&gt;0,0.5,0),0)</f>
        <v/>
      </c>
      <c r="K330" s="5" t="n"/>
      <c r="L330" s="7">
        <f>MIN(J330,8.0)</f>
        <v/>
      </c>
      <c r="M330" s="7">
        <f>MAX(0,MIN(J330,12)-8.0)</f>
        <v/>
      </c>
      <c r="N330" s="7">
        <f>MAX(0,J330-12)</f>
        <v/>
      </c>
      <c r="O330" s="5" t="n"/>
      <c r="P330" s="6">
        <f>E330*(L330+M330*1.5+N330*2+O330*3+N(K330))</f>
        <v/>
      </c>
      <c r="Q330" s="5" t="n"/>
      <c r="R330" s="6">
        <f>Q330-P330</f>
        <v/>
      </c>
    </row>
    <row r="331">
      <c r="P331" s="2" t="inlineStr">
        <is>
          <t>DRIVERS LABOR</t>
        </is>
      </c>
      <c r="R331" s="8">
        <f>SUM(R319:R330)</f>
        <v/>
      </c>
    </row>
    <row r="333">
      <c r="B333" s="2" t="inlineStr">
        <is>
          <t>LOCATIONSITEFEES</t>
        </is>
      </c>
    </row>
    <row r="334">
      <c r="A334" s="5" t="inlineStr">
        <is>
          <t>3607</t>
        </is>
      </c>
      <c r="B334" s="5" t="inlineStr"/>
      <c r="C334" s="5" t="inlineStr">
        <is>
          <t>Location#1(Hospital ER, LACountry Childrens Shelter, Shelter Dorm, Dept...</t>
        </is>
      </c>
      <c r="D334" s="5" t="inlineStr">
        <is>
          <t>Local400</t>
        </is>
      </c>
      <c r="E334" s="6" t="n">
        <v>50000</v>
      </c>
      <c r="F334" s="5" t="n"/>
      <c r="G334" s="5" t="n"/>
      <c r="H334" s="5" t="n"/>
      <c r="I334" s="5" t="n"/>
      <c r="J334" s="7">
        <f>IF(AND(N(F334)&gt;0,N(I334)&gt;0),I334-F334-IF(N(G334)&gt;0,0.5,0)-IF(N(H334)&gt;0,0.5,0),0)</f>
        <v/>
      </c>
      <c r="K334" s="5" t="n"/>
      <c r="L334" s="7">
        <f>MIN(J334,8.0)</f>
        <v/>
      </c>
      <c r="M334" s="7">
        <f>MAX(0,MIN(J334,12)-8.0)</f>
        <v/>
      </c>
      <c r="N334" s="7">
        <f>MAX(0,J334-12)</f>
        <v/>
      </c>
      <c r="O334" s="5" t="n"/>
      <c r="P334" s="6">
        <f>E334*(L334+M334*1.5+N334*2+O334*3+N(K334))</f>
        <v/>
      </c>
      <c r="Q334" s="6" t="n">
        <v>50000</v>
      </c>
      <c r="R334" s="6">
        <f>Q334-P334</f>
        <v/>
      </c>
    </row>
    <row r="335">
      <c r="P335" s="2" t="inlineStr">
        <is>
          <t>LOCATIONSITEFEES LABOR</t>
        </is>
      </c>
      <c r="R335" s="8">
        <f>SUM(R334:R334)</f>
        <v/>
      </c>
    </row>
    <row r="337">
      <c r="B337" s="2" t="inlineStr">
        <is>
          <t>CATERINGLABOR</t>
        </is>
      </c>
    </row>
    <row r="338">
      <c r="A338" s="5" t="inlineStr">
        <is>
          <t>3621</t>
        </is>
      </c>
      <c r="B338" s="5" t="inlineStr"/>
      <c r="C338" s="5" t="inlineStr">
        <is>
          <t>COOKDRIVER#1</t>
        </is>
      </c>
      <c r="D338" s="5" t="inlineStr">
        <is>
          <t>Local399</t>
        </is>
      </c>
      <c r="E338" s="6" t="n">
        <v>32.36</v>
      </c>
      <c r="F338" s="5" t="n"/>
      <c r="G338" s="5" t="n"/>
      <c r="H338" s="5" t="n"/>
      <c r="I338" s="5" t="n"/>
      <c r="J338" s="7">
        <f>IF(AND(N(F338)&gt;0,N(I338)&gt;0),I338-F338-IF(N(G338)&gt;0,0.5,0)-IF(N(H338)&gt;0,0.5,0),0)</f>
        <v/>
      </c>
      <c r="K338" s="5" t="n"/>
      <c r="L338" s="7">
        <f>MIN(J338,8.0)</f>
        <v/>
      </c>
      <c r="M338" s="7">
        <f>MAX(0,MIN(J338,12)-8.0)</f>
        <v/>
      </c>
      <c r="N338" s="7">
        <f>MAX(0,J338-12)</f>
        <v/>
      </c>
      <c r="O338" s="5" t="n"/>
      <c r="P338" s="6">
        <f>E338*(L338+M338*1.5+N338*2+O338*3+N(K338))</f>
        <v/>
      </c>
      <c r="Q338" s="6" t="n">
        <v>647.2</v>
      </c>
      <c r="R338" s="6">
        <f>Q338-P338</f>
        <v/>
      </c>
    </row>
    <row r="339">
      <c r="A339" s="5" t="inlineStr">
        <is>
          <t>3621</t>
        </is>
      </c>
      <c r="B339" s="5" t="inlineStr"/>
      <c r="C339" s="5" t="inlineStr">
        <is>
          <t>1STASSTCATERER#1</t>
        </is>
      </c>
      <c r="D339" s="5" t="inlineStr"/>
      <c r="E339" s="6" t="n">
        <v>17</v>
      </c>
      <c r="F339" s="5" t="n"/>
      <c r="G339" s="5" t="n"/>
      <c r="H339" s="5" t="n"/>
      <c r="I339" s="5" t="n"/>
      <c r="J339" s="7">
        <f>IF(AND(N(F339)&gt;0,N(I339)&gt;0),I339-F339-IF(N(G339)&gt;0,0.5,0)-IF(N(H339)&gt;0,0.5,0),0)</f>
        <v/>
      </c>
      <c r="K339" s="5" t="n"/>
      <c r="L339" s="7">
        <f>MIN(J339,8.0)</f>
        <v/>
      </c>
      <c r="M339" s="7">
        <f>MAX(0,MIN(J339,12)-8.0)</f>
        <v/>
      </c>
      <c r="N339" s="7">
        <f>MAX(0,J339-12)</f>
        <v/>
      </c>
      <c r="O339" s="5" t="n"/>
      <c r="P339" s="6">
        <f>E339*(L339+M339*1.5+N339*2+O339*3+N(K339))</f>
        <v/>
      </c>
      <c r="Q339" s="6" t="n">
        <v>340</v>
      </c>
      <c r="R339" s="6">
        <f>Q339-P339</f>
        <v/>
      </c>
    </row>
    <row r="340">
      <c r="A340" s="5" t="inlineStr">
        <is>
          <t>3621</t>
        </is>
      </c>
      <c r="B340" s="5" t="inlineStr"/>
      <c r="C340" s="5" t="inlineStr">
        <is>
          <t>1STASSTCATERER#2</t>
        </is>
      </c>
      <c r="D340" s="5" t="inlineStr"/>
      <c r="E340" s="6" t="n">
        <v>16</v>
      </c>
      <c r="F340" s="5" t="n"/>
      <c r="G340" s="5" t="n"/>
      <c r="H340" s="5" t="n"/>
      <c r="I340" s="5" t="n"/>
      <c r="J340" s="7">
        <f>IF(AND(N(F340)&gt;0,N(I340)&gt;0),I340-F340-IF(N(G340)&gt;0,0.5,0)-IF(N(H340)&gt;0,0.5,0),0)</f>
        <v/>
      </c>
      <c r="K340" s="5" t="n"/>
      <c r="L340" s="7">
        <f>MIN(J340,8.0)</f>
        <v/>
      </c>
      <c r="M340" s="7">
        <f>MAX(0,MIN(J340,12)-8.0)</f>
        <v/>
      </c>
      <c r="N340" s="7">
        <f>MAX(0,J340-12)</f>
        <v/>
      </c>
      <c r="O340" s="5" t="n"/>
      <c r="P340" s="6">
        <f>E340*(L340+M340*1.5+N340*2+O340*3+N(K340))</f>
        <v/>
      </c>
      <c r="Q340" s="6" t="n">
        <v>320</v>
      </c>
      <c r="R340" s="6">
        <f>Q340-P340</f>
        <v/>
      </c>
    </row>
    <row r="341">
      <c r="P341" s="2" t="inlineStr">
        <is>
          <t>CATERINGLABOR LABOR</t>
        </is>
      </c>
      <c r="R341" s="8">
        <f>SUM(R338:R340)</f>
        <v/>
      </c>
    </row>
    <row r="343">
      <c r="K343" s="9" t="inlineStr">
        <is>
          <t>TOTAL</t>
        </is>
      </c>
      <c r="P343" s="9" t="inlineStr">
        <is>
          <t>ACTUAL</t>
        </is>
      </c>
      <c r="Q343" s="9" t="inlineStr">
        <is>
          <t>BUDGET</t>
        </is>
      </c>
      <c r="R343" s="9" t="inlineStr">
        <is>
          <t>TOTAL VAR</t>
        </is>
      </c>
    </row>
    <row r="344">
      <c r="P344" s="9" t="inlineStr">
        <is>
          <t>DAY COST</t>
        </is>
      </c>
      <c r="Q344" s="9" t="inlineStr">
        <is>
          <t>DY COST</t>
        </is>
      </c>
      <c r="R344" s="9" t="inlineStr">
        <is>
          <t>(OVER) / UNDER</t>
        </is>
      </c>
    </row>
    <row r="345">
      <c r="P345" s="10">
        <f>SUM(P6:P6)+SUM(P10:P11)+SUM(P15:P17)+SUM(P21:P22)+SUM(P26:P32)+SUM(P36:P36)+SUM(P40:P41)+SUM(P45:P45)+SUM(P49:P49)+SUM(P53:P54)+SUM(P58:P58)+SUM(P62:P62)+SUM(P66:P67)+SUM(P71:P71)+SUM(P75:P75)+SUM(P79:P80)+SUM(P84:P84)+SUM(P88:P88)+SUM(P92:P93)+SUM(P97:P100)+SUM(P104:P104)+SUM(P108:P109)+SUM(P113:P113)+SUM(P117:P117)+SUM(P121:P121)+SUM(P125:P125)+SUM(P129:P130)+SUM(P134:P134)+SUM(P138:P139)+SUM(P143:P145)+SUM(P149:P149)+SUM(P153:P153)+SUM(P157:P158)+SUM(P162:P163)+SUM(P167:P167)+SUM(P171:P173)+SUM(P177:P177)+SUM(P181:P181)+SUM(P185:P187)+SUM(P191:P191)+SUM(P195:P195)+SUM(P199:P199)+SUM(P203:P203)+SUM(P207:P207)+SUM(P211:P211)+SUM(P215:P216)+SUM(P220:P220)+SUM(P224:P224)+SUM(P228:P228)+SUM(P232:P233)+SUM(P237:P237)+SUM(P241:P241)+SUM(P245:P245)+SUM(P249:P249)+SUM(P253:P254)+SUM(P258:P260)+SUM(P264:P264)+SUM(P268:P268)+SUM(P272:P272)+SUM(P276:P276)+SUM(P280:P281)+SUM(P285:P286)+SUM(P290:P290)+SUM(P294:P294)+SUM(P298:P298)+SUM(P302:P302)+SUM(P306:P306)+SUM(P310:P310)+SUM(P314:P315)+SUM(P319:P330)+SUM(P334:P334)+SUM(P338:P340)</f>
        <v/>
      </c>
      <c r="Q345" s="10">
        <f>SUM(Q6:Q6)+SUM(Q10:Q11)+SUM(Q15:Q17)+SUM(Q21:Q22)+SUM(Q26:Q32)+SUM(Q36:Q36)+SUM(Q40:Q41)+SUM(Q45:Q45)+SUM(Q49:Q49)+SUM(Q53:Q54)+SUM(Q58:Q58)+SUM(Q62:Q62)+SUM(Q66:Q67)+SUM(Q71:Q71)+SUM(Q75:Q75)+SUM(Q79:Q80)+SUM(Q84:Q84)+SUM(Q88:Q88)+SUM(Q92:Q93)+SUM(Q97:Q100)+SUM(Q104:Q104)+SUM(Q108:Q109)+SUM(Q113:Q113)+SUM(Q117:Q117)+SUM(Q121:Q121)+SUM(Q125:Q125)+SUM(Q129:Q130)+SUM(Q134:Q134)+SUM(Q138:Q139)+SUM(Q143:Q145)+SUM(Q149:Q149)+SUM(Q153:Q153)+SUM(Q157:Q158)+SUM(Q162:Q163)+SUM(Q167:Q167)+SUM(Q171:Q173)+SUM(Q177:Q177)+SUM(Q181:Q181)+SUM(Q185:Q187)+SUM(Q191:Q191)+SUM(Q195:Q195)+SUM(Q199:Q199)+SUM(Q203:Q203)+SUM(Q207:Q207)+SUM(Q211:Q211)+SUM(Q215:Q216)+SUM(Q220:Q220)+SUM(Q224:Q224)+SUM(Q228:Q228)+SUM(Q232:Q233)+SUM(Q237:Q237)+SUM(Q241:Q241)+SUM(Q245:Q245)+SUM(Q249:Q249)+SUM(Q253:Q254)+SUM(Q258:Q260)+SUM(Q264:Q264)+SUM(Q268:Q268)+SUM(Q272:Q272)+SUM(Q276:Q276)+SUM(Q280:Q281)+SUM(Q285:Q286)+SUM(Q290:Q290)+SUM(Q294:Q294)+SUM(Q298:Q298)+SUM(Q302:Q302)+SUM(Q306:Q306)+SUM(Q310:Q310)+SUM(Q314:Q315)+SUM(Q319:Q330)+SUM(Q334:Q334)+SUM(Q338:Q340)</f>
        <v/>
      </c>
      <c r="R345" s="10">
        <f>SUM(R6:R6)+SUM(R10:R11)+SUM(R15:R17)+SUM(R21:R22)+SUM(R26:R32)+SUM(R36:R36)+SUM(R40:R41)+SUM(R45:R45)+SUM(R49:R49)+SUM(R53:R54)+SUM(R58:R58)+SUM(R62:R62)+SUM(R66:R67)+SUM(R71:R71)+SUM(R75:R75)+SUM(R79:R80)+SUM(R84:R84)+SUM(R88:R88)+SUM(R92:R93)+SUM(R97:R100)+SUM(R104:R104)+SUM(R108:R109)+SUM(R113:R113)+SUM(R117:R117)+SUM(R121:R121)+SUM(R125:R125)+SUM(R129:R130)+SUM(R134:R134)+SUM(R138:R139)+SUM(R143:R145)+SUM(R149:R149)+SUM(R153:R153)+SUM(R157:R158)+SUM(R162:R163)+SUM(R167:R167)+SUM(R171:R173)+SUM(R177:R177)+SUM(R181:R181)+SUM(R185:R187)+SUM(R191:R191)+SUM(R195:R195)+SUM(R199:R199)+SUM(R203:R203)+SUM(R207:R207)+SUM(R211:R211)+SUM(R215:R216)+SUM(R220:R220)+SUM(R224:R224)+SUM(R228:R228)+SUM(R232:R233)+SUM(R237:R237)+SUM(R241:R241)+SUM(R245:R245)+SUM(R249:R249)+SUM(R253:R254)+SUM(R258:R260)+SUM(R264:R264)+SUM(R268:R268)+SUM(R272:R272)+SUM(R276:R276)+SUM(R280:R281)+SUM(R285:R286)+SUM(R290:R290)+SUM(R294:R294)+SUM(R298:R298)+SUM(R302:R302)+SUM(R306:R306)+SUM(R310:R310)+SUM(R314:R315)+SUM(R319:R330)+SUM(R334:R334)+SUM(R338:R340)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R34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20" customWidth="1" min="3" max="3"/>
    <col width="9" customWidth="1" min="4" max="4"/>
    <col width="9" customWidth="1" min="5" max="5"/>
    <col width="7" customWidth="1" min="6" max="6"/>
    <col width="7" customWidth="1" min="7" max="7"/>
    <col width="8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12" customWidth="1" min="16" max="16"/>
    <col width="13" customWidth="1" min="17" max="17"/>
    <col width="14" customWidth="1" min="18" max="18"/>
  </cols>
  <sheetData>
    <row r="1">
      <c r="A1" s="1" t="inlineStr">
        <is>
          <t>HOT COST</t>
        </is>
      </c>
      <c r="C1" t="inlineStr">
        <is>
          <t>Wednesday 01 Nov 2017</t>
        </is>
      </c>
      <c r="F1" s="2" t="inlineStr">
        <is>
          <t>DAY #13</t>
        </is>
      </c>
    </row>
    <row r="2">
      <c r="A2" s="3" t="inlineStr">
        <is>
          <t>enter CALL, LUNCH, WRAP as decimal hours (e.g. 7.5) — everything right of WRAP computes</t>
        </is>
      </c>
    </row>
    <row r="4">
      <c r="A4" s="4" t="inlineStr">
        <is>
          <t>ACCT</t>
        </is>
      </c>
      <c r="B4" s="4" t="inlineStr">
        <is>
          <t>NAME</t>
        </is>
      </c>
      <c r="C4" s="4" t="inlineStr">
        <is>
          <t>POSITION</t>
        </is>
      </c>
      <c r="D4" s="4" t="inlineStr">
        <is>
          <t>UNION</t>
        </is>
      </c>
      <c r="E4" s="4" t="inlineStr">
        <is>
          <t>RATE</t>
        </is>
      </c>
      <c r="F4" s="4" t="inlineStr">
        <is>
          <t>CALL</t>
        </is>
      </c>
      <c r="G4" s="4" t="inlineStr">
        <is>
          <t>LUNCH</t>
        </is>
      </c>
      <c r="H4" s="4" t="inlineStr">
        <is>
          <t>LUNCH 2</t>
        </is>
      </c>
      <c r="I4" s="4" t="inlineStr">
        <is>
          <t>WRAP</t>
        </is>
      </c>
      <c r="J4" s="4" t="inlineStr">
        <is>
          <t>HRS</t>
        </is>
      </c>
      <c r="K4" s="4" t="inlineStr">
        <is>
          <t>MP'S</t>
        </is>
      </c>
      <c r="L4" s="4" t="inlineStr">
        <is>
          <t>ST</t>
        </is>
      </c>
      <c r="M4" s="4" t="inlineStr">
        <is>
          <t>1.5X</t>
        </is>
      </c>
      <c r="N4" s="4" t="inlineStr">
        <is>
          <t>2X</t>
        </is>
      </c>
      <c r="O4" s="4" t="inlineStr">
        <is>
          <t>3X</t>
        </is>
      </c>
      <c r="P4" s="4" t="inlineStr">
        <is>
          <t>TOTAL / DAY</t>
        </is>
      </c>
      <c r="Q4" s="4" t="inlineStr">
        <is>
          <t>BUDGET / DAY</t>
        </is>
      </c>
      <c r="R4" s="4" t="inlineStr">
        <is>
          <t>(OVER) / UNDER</t>
        </is>
      </c>
    </row>
    <row r="5">
      <c r="B5" s="2" t="inlineStr">
        <is>
          <t>LEAD#</t>
        </is>
      </c>
    </row>
    <row r="6">
      <c r="A6" s="5" t="inlineStr">
        <is>
          <t>1401</t>
        </is>
      </c>
      <c r="B6" s="5" t="inlineStr">
        <is>
          <t>Linda Cardellini</t>
        </is>
      </c>
      <c r="C6" s="5" t="inlineStr">
        <is>
          <t>"ANNA"</t>
        </is>
      </c>
      <c r="D6" s="5" t="inlineStr"/>
      <c r="E6" s="6" t="n">
        <v>1211.8</v>
      </c>
      <c r="F6" s="5" t="n"/>
      <c r="G6" s="5" t="n"/>
      <c r="H6" s="5" t="n"/>
      <c r="I6" s="5" t="n"/>
      <c r="J6" s="7">
        <f>IF(AND(N(F6)&gt;0,N(I6)&gt;0),I6-F6-IF(N(G6)&gt;0,0.5,0)-IF(N(H6)&gt;0,0.5,0),0)</f>
        <v/>
      </c>
      <c r="K6" s="5" t="n"/>
      <c r="L6" s="7">
        <f>MIN(J6,8.0)</f>
        <v/>
      </c>
      <c r="M6" s="7">
        <f>MAX(0,MIN(J6,12)-8.0)</f>
        <v/>
      </c>
      <c r="N6" s="7">
        <f>MAX(0,J6-12)</f>
        <v/>
      </c>
      <c r="O6" s="5" t="n"/>
      <c r="P6" s="6">
        <f>E6*(L6+M6*1.5+N6*2+O6*3+N(K6))</f>
        <v/>
      </c>
      <c r="Q6" s="6" t="n">
        <v>1211.8</v>
      </c>
      <c r="R6" s="6">
        <f>Q6-P6</f>
        <v/>
      </c>
    </row>
    <row r="7">
      <c r="P7" s="2" t="inlineStr">
        <is>
          <t>LEAD# LABOR</t>
        </is>
      </c>
      <c r="R7" s="8">
        <f>SUM(R6:R6)</f>
        <v/>
      </c>
    </row>
    <row r="9">
      <c r="B9" s="2" t="inlineStr">
        <is>
          <t>LEAD#2&amp;#</t>
        </is>
      </c>
    </row>
    <row r="10">
      <c r="A10" s="5" t="inlineStr">
        <is>
          <t>1402</t>
        </is>
      </c>
      <c r="B10" s="5" t="inlineStr">
        <is>
          <t>Roman Christou</t>
        </is>
      </c>
      <c r="C10" s="5" t="inlineStr">
        <is>
          <t>"CHRIS"(Minor)</t>
        </is>
      </c>
      <c r="D10" s="5" t="inlineStr"/>
      <c r="E10" s="6" t="n">
        <v>755.4</v>
      </c>
      <c r="F10" s="5" t="n"/>
      <c r="G10" s="5" t="n"/>
      <c r="H10" s="5" t="n"/>
      <c r="I10" s="5" t="n"/>
      <c r="J10" s="7">
        <f>IF(AND(N(F10)&gt;0,N(I10)&gt;0),I10-F10-IF(N(G10)&gt;0,0.5,0)-IF(N(H10)&gt;0,0.5,0),0)</f>
        <v/>
      </c>
      <c r="K10" s="5" t="n"/>
      <c r="L10" s="7">
        <f>MIN(J10,8.0)</f>
        <v/>
      </c>
      <c r="M10" s="7">
        <f>MAX(0,MIN(J10,12)-8.0)</f>
        <v/>
      </c>
      <c r="N10" s="7">
        <f>MAX(0,J10-12)</f>
        <v/>
      </c>
      <c r="O10" s="5" t="n"/>
      <c r="P10" s="6">
        <f>E10*(L10+M10*1.5+N10*2+O10*3+N(K10))</f>
        <v/>
      </c>
      <c r="Q10" s="6" t="n">
        <v>755.4</v>
      </c>
      <c r="R10" s="6">
        <f>Q10-P10</f>
        <v/>
      </c>
    </row>
    <row r="11">
      <c r="A11" s="5" t="inlineStr">
        <is>
          <t>1402</t>
        </is>
      </c>
      <c r="B11" s="5" t="inlineStr">
        <is>
          <t>Jaynee Lynee Kinchen</t>
        </is>
      </c>
      <c r="C11" s="5" t="inlineStr">
        <is>
          <t>"SAMANTHA"(Minor)</t>
        </is>
      </c>
      <c r="D11" s="5" t="inlineStr"/>
      <c r="E11" s="6" t="n">
        <v>755.4</v>
      </c>
      <c r="F11" s="5" t="n"/>
      <c r="G11" s="5" t="n"/>
      <c r="H11" s="5" t="n"/>
      <c r="I11" s="5" t="n"/>
      <c r="J11" s="7">
        <f>IF(AND(N(F11)&gt;0,N(I11)&gt;0),I11-F11-IF(N(G11)&gt;0,0.5,0)-IF(N(H11)&gt;0,0.5,0),0)</f>
        <v/>
      </c>
      <c r="K11" s="5" t="n"/>
      <c r="L11" s="7">
        <f>MIN(J11,8.0)</f>
        <v/>
      </c>
      <c r="M11" s="7">
        <f>MAX(0,MIN(J11,12)-8.0)</f>
        <v/>
      </c>
      <c r="N11" s="7">
        <f>MAX(0,J11-12)</f>
        <v/>
      </c>
      <c r="O11" s="5" t="n"/>
      <c r="P11" s="6">
        <f>E11*(L11+M11*1.5+N11*2+O11*3+N(K11))</f>
        <v/>
      </c>
      <c r="Q11" s="6" t="n">
        <v>755.4</v>
      </c>
      <c r="R11" s="6">
        <f>Q11-P11</f>
        <v/>
      </c>
    </row>
    <row r="12">
      <c r="P12" s="2" t="inlineStr">
        <is>
          <t>LEAD#2&amp;# LABOR</t>
        </is>
      </c>
      <c r="R12" s="8">
        <f>SUM(R10:R11)</f>
        <v/>
      </c>
    </row>
    <row r="14">
      <c r="B14" s="2" t="inlineStr">
        <is>
          <t>OTHERLEADCAST</t>
        </is>
      </c>
    </row>
    <row r="15">
      <c r="A15" s="5" t="inlineStr">
        <is>
          <t>1403</t>
        </is>
      </c>
      <c r="B15" s="5" t="inlineStr">
        <is>
          <t>Raymond Cruz</t>
        </is>
      </c>
      <c r="C15" s="5" t="inlineStr">
        <is>
          <t>"RAFAELOLVERA"</t>
        </is>
      </c>
      <c r="D15" s="5" t="inlineStr"/>
      <c r="E15" s="6" t="n">
        <v>1211.8</v>
      </c>
      <c r="F15" s="5" t="n"/>
      <c r="G15" s="5" t="n"/>
      <c r="H15" s="5" t="n"/>
      <c r="I15" s="5" t="n"/>
      <c r="J15" s="7">
        <f>IF(AND(N(F15)&gt;0,N(I15)&gt;0),I15-F15-IF(N(G15)&gt;0,0.5,0)-IF(N(H15)&gt;0,0.5,0),0)</f>
        <v/>
      </c>
      <c r="K15" s="5" t="n"/>
      <c r="L15" s="7">
        <f>MIN(J15,8.0)</f>
        <v/>
      </c>
      <c r="M15" s="7">
        <f>MAX(0,MIN(J15,12)-8.0)</f>
        <v/>
      </c>
      <c r="N15" s="7">
        <f>MAX(0,J15-12)</f>
        <v/>
      </c>
      <c r="O15" s="5" t="n"/>
      <c r="P15" s="6">
        <f>E15*(L15+M15*1.5+N15*2+O15*3+N(K15))</f>
        <v/>
      </c>
      <c r="Q15" s="6" t="n">
        <v>1211.8</v>
      </c>
      <c r="R15" s="6">
        <f>Q15-P15</f>
        <v/>
      </c>
    </row>
    <row r="16">
      <c r="A16" s="5" t="inlineStr">
        <is>
          <t>1403</t>
        </is>
      </c>
      <c r="B16" s="5" t="inlineStr">
        <is>
          <t>Marisol Ramirez</t>
        </is>
      </c>
      <c r="C16" s="5" t="inlineStr">
        <is>
          <t>"LALLORONA"</t>
        </is>
      </c>
      <c r="D16" s="5" t="inlineStr"/>
      <c r="E16" s="6" t="n">
        <v>1211.8</v>
      </c>
      <c r="F16" s="5" t="n"/>
      <c r="G16" s="5" t="n"/>
      <c r="H16" s="5" t="n"/>
      <c r="I16" s="5" t="n"/>
      <c r="J16" s="7">
        <f>IF(AND(N(F16)&gt;0,N(I16)&gt;0),I16-F16-IF(N(G16)&gt;0,0.5,0)-IF(N(H16)&gt;0,0.5,0),0)</f>
        <v/>
      </c>
      <c r="K16" s="5" t="n"/>
      <c r="L16" s="7">
        <f>MIN(J16,8.0)</f>
        <v/>
      </c>
      <c r="M16" s="7">
        <f>MAX(0,MIN(J16,12)-8.0)</f>
        <v/>
      </c>
      <c r="N16" s="7">
        <f>MAX(0,J16-12)</f>
        <v/>
      </c>
      <c r="O16" s="5" t="n"/>
      <c r="P16" s="6">
        <f>E16*(L16+M16*1.5+N16*2+O16*3+N(K16))</f>
        <v/>
      </c>
      <c r="Q16" s="6" t="n">
        <v>1211.8</v>
      </c>
      <c r="R16" s="6">
        <f>Q16-P16</f>
        <v/>
      </c>
    </row>
    <row r="17">
      <c r="A17" s="5" t="inlineStr">
        <is>
          <t>1403</t>
        </is>
      </c>
      <c r="B17" s="5" t="inlineStr">
        <is>
          <t>Patrica Velasquez</t>
        </is>
      </c>
      <c r="C17" s="5" t="inlineStr">
        <is>
          <t>"PATRICIA"</t>
        </is>
      </c>
      <c r="D17" s="5" t="inlineStr"/>
      <c r="E17" s="6" t="n">
        <v>1972</v>
      </c>
      <c r="F17" s="5" t="n"/>
      <c r="G17" s="5" t="n"/>
      <c r="H17" s="5" t="n"/>
      <c r="I17" s="5" t="n"/>
      <c r="J17" s="7">
        <f>IF(AND(N(F17)&gt;0,N(I17)&gt;0),I17-F17-IF(N(G17)&gt;0,0.5,0)-IF(N(H17)&gt;0,0.5,0),0)</f>
        <v/>
      </c>
      <c r="K17" s="5" t="n"/>
      <c r="L17" s="7">
        <f>MIN(J17,8.0)</f>
        <v/>
      </c>
      <c r="M17" s="7">
        <f>MAX(0,MIN(J17,12)-8.0)</f>
        <v/>
      </c>
      <c r="N17" s="7">
        <f>MAX(0,J17-12)</f>
        <v/>
      </c>
      <c r="O17" s="5" t="n"/>
      <c r="P17" s="6">
        <f>E17*(L17+M17*1.5+N17*2+O17*3+N(K17))</f>
        <v/>
      </c>
      <c r="Q17" s="6" t="n">
        <v>1972</v>
      </c>
      <c r="R17" s="6">
        <f>Q17-P17</f>
        <v/>
      </c>
    </row>
    <row r="18">
      <c r="P18" s="2" t="inlineStr">
        <is>
          <t>OTHERLEADCAST LABOR</t>
        </is>
      </c>
      <c r="R18" s="8">
        <f>SUM(R15:R17)</f>
        <v/>
      </c>
    </row>
    <row r="20">
      <c r="B20" s="2" t="inlineStr">
        <is>
          <t>SUPPORTINGCAST</t>
        </is>
      </c>
    </row>
    <row r="21">
      <c r="A21" s="5" t="inlineStr">
        <is>
          <t>1404</t>
        </is>
      </c>
      <c r="B21" s="5" t="inlineStr">
        <is>
          <t>Sean Patrick Thomas</t>
        </is>
      </c>
      <c r="C21" s="5" t="inlineStr">
        <is>
          <t>DETCOOPER</t>
        </is>
      </c>
      <c r="D21" s="5" t="inlineStr"/>
      <c r="E21" s="6" t="n">
        <v>1211.8</v>
      </c>
      <c r="F21" s="5" t="n"/>
      <c r="G21" s="5" t="n"/>
      <c r="H21" s="5" t="n"/>
      <c r="I21" s="5" t="n"/>
      <c r="J21" s="7">
        <f>IF(AND(N(F21)&gt;0,N(I21)&gt;0),I21-F21-IF(N(G21)&gt;0,0.5,0)-IF(N(H21)&gt;0,0.5,0),0)</f>
        <v/>
      </c>
      <c r="K21" s="5" t="n"/>
      <c r="L21" s="7">
        <f>MIN(J21,8.0)</f>
        <v/>
      </c>
      <c r="M21" s="7">
        <f>MAX(0,MIN(J21,12)-8.0)</f>
        <v/>
      </c>
      <c r="N21" s="7">
        <f>MAX(0,J21-12)</f>
        <v/>
      </c>
      <c r="O21" s="5" t="n"/>
      <c r="P21" s="6">
        <f>E21*(L21+M21*1.5+N21*2+O21*3+N(K21))</f>
        <v/>
      </c>
      <c r="Q21" s="6" t="n">
        <v>1211.8</v>
      </c>
      <c r="R21" s="6">
        <f>Q21-P21</f>
        <v/>
      </c>
    </row>
    <row r="22">
      <c r="A22" s="5" t="inlineStr">
        <is>
          <t>1404</t>
        </is>
      </c>
      <c r="B22" s="5" t="inlineStr">
        <is>
          <t>Tony Amendola</t>
        </is>
      </c>
      <c r="C22" s="5" t="inlineStr">
        <is>
          <t>"FATHERPEREZ"</t>
        </is>
      </c>
      <c r="D22" s="5" t="inlineStr"/>
      <c r="E22" s="6" t="n">
        <v>1972</v>
      </c>
      <c r="F22" s="5" t="n"/>
      <c r="G22" s="5" t="n"/>
      <c r="H22" s="5" t="n"/>
      <c r="I22" s="5" t="n"/>
      <c r="J22" s="7">
        <f>IF(AND(N(F22)&gt;0,N(I22)&gt;0),I22-F22-IF(N(G22)&gt;0,0.5,0)-IF(N(H22)&gt;0,0.5,0),0)</f>
        <v/>
      </c>
      <c r="K22" s="5" t="n"/>
      <c r="L22" s="7">
        <f>MIN(J22,8.0)</f>
        <v/>
      </c>
      <c r="M22" s="7">
        <f>MAX(0,MIN(J22,12)-8.0)</f>
        <v/>
      </c>
      <c r="N22" s="7">
        <f>MAX(0,J22-12)</f>
        <v/>
      </c>
      <c r="O22" s="5" t="n"/>
      <c r="P22" s="6">
        <f>E22*(L22+M22*1.5+N22*2+O22*3+N(K22))</f>
        <v/>
      </c>
      <c r="Q22" s="6" t="n">
        <v>1972</v>
      </c>
      <c r="R22" s="6">
        <f>Q22-P22</f>
        <v/>
      </c>
    </row>
    <row r="23">
      <c r="P23" s="2" t="inlineStr">
        <is>
          <t>SUPPORTINGCAST LABOR</t>
        </is>
      </c>
      <c r="R23" s="8">
        <f>SUM(R21:R22)</f>
        <v/>
      </c>
    </row>
    <row r="25">
      <c r="B25" s="2" t="inlineStr">
        <is>
          <t>DAYPLAYERS</t>
        </is>
      </c>
    </row>
    <row r="26">
      <c r="A26" s="5" t="inlineStr">
        <is>
          <t>1405</t>
        </is>
      </c>
      <c r="B26" s="5" t="inlineStr">
        <is>
          <t>Kristy Keng(Drop/Pickup)</t>
        </is>
      </c>
      <c r="C26" s="5" t="inlineStr">
        <is>
          <t>"DONNA"</t>
        </is>
      </c>
      <c r="D26" s="5" t="inlineStr"/>
      <c r="E26" s="6" t="n">
        <v>1972</v>
      </c>
      <c r="F26" s="5" t="n"/>
      <c r="G26" s="5" t="n"/>
      <c r="H26" s="5" t="n"/>
      <c r="I26" s="5" t="n"/>
      <c r="J26" s="7">
        <f>IF(AND(N(F26)&gt;0,N(I26)&gt;0),I26-F26-IF(N(G26)&gt;0,0.5,0)-IF(N(H26)&gt;0,0.5,0),0)</f>
        <v/>
      </c>
      <c r="K26" s="5" t="n"/>
      <c r="L26" s="7">
        <f>MIN(J26,8.0)</f>
        <v/>
      </c>
      <c r="M26" s="7">
        <f>MAX(0,MIN(J26,12)-8.0)</f>
        <v/>
      </c>
      <c r="N26" s="7">
        <f>MAX(0,J26-12)</f>
        <v/>
      </c>
      <c r="O26" s="5" t="n"/>
      <c r="P26" s="6">
        <f>E26*(L26+M26*1.5+N26*2+O26*3+N(K26))</f>
        <v/>
      </c>
      <c r="Q26" s="6" t="n">
        <v>1972</v>
      </c>
      <c r="R26" s="6">
        <f>Q26-P26</f>
        <v/>
      </c>
    </row>
    <row r="27">
      <c r="A27" s="5" t="inlineStr">
        <is>
          <t>1405</t>
        </is>
      </c>
      <c r="B27" s="5" t="inlineStr">
        <is>
          <t>Oliver Alexander</t>
        </is>
      </c>
      <c r="C27" s="5" t="inlineStr">
        <is>
          <t>"CARLOS"(Minor)</t>
        </is>
      </c>
      <c r="D27" s="5" t="inlineStr"/>
      <c r="E27" s="6" t="n">
        <v>1249</v>
      </c>
      <c r="F27" s="5" t="n"/>
      <c r="G27" s="5" t="n"/>
      <c r="H27" s="5" t="n"/>
      <c r="I27" s="5" t="n"/>
      <c r="J27" s="7">
        <f>IF(AND(N(F27)&gt;0,N(I27)&gt;0),I27-F27-IF(N(G27)&gt;0,0.5,0)-IF(N(H27)&gt;0,0.5,0),0)</f>
        <v/>
      </c>
      <c r="K27" s="5" t="n"/>
      <c r="L27" s="7">
        <f>MIN(J27,8.0)</f>
        <v/>
      </c>
      <c r="M27" s="7">
        <f>MAX(0,MIN(J27,12)-8.0)</f>
        <v/>
      </c>
      <c r="N27" s="7">
        <f>MAX(0,J27-12)</f>
        <v/>
      </c>
      <c r="O27" s="5" t="n"/>
      <c r="P27" s="6">
        <f>E27*(L27+M27*1.5+N27*2+O27*3+N(K27))</f>
        <v/>
      </c>
      <c r="Q27" s="6" t="n">
        <v>1249</v>
      </c>
      <c r="R27" s="6">
        <f>Q27-P27</f>
        <v/>
      </c>
    </row>
    <row r="28">
      <c r="A28" s="5" t="inlineStr">
        <is>
          <t>1405</t>
        </is>
      </c>
      <c r="B28" s="5" t="inlineStr">
        <is>
          <t>Adam Lewandowski</t>
        </is>
      </c>
      <c r="C28" s="5" t="inlineStr">
        <is>
          <t>"TOMAS"(Minor)</t>
        </is>
      </c>
      <c r="D28" s="5" t="inlineStr"/>
      <c r="E28" s="6" t="n">
        <v>1249</v>
      </c>
      <c r="F28" s="5" t="n"/>
      <c r="G28" s="5" t="n"/>
      <c r="H28" s="5" t="n"/>
      <c r="I28" s="5" t="n"/>
      <c r="J28" s="7">
        <f>IF(AND(N(F28)&gt;0,N(I28)&gt;0),I28-F28-IF(N(G28)&gt;0,0.5,0)-IF(N(H28)&gt;0,0.5,0),0)</f>
        <v/>
      </c>
      <c r="K28" s="5" t="n"/>
      <c r="L28" s="7">
        <f>MIN(J28,8.0)</f>
        <v/>
      </c>
      <c r="M28" s="7">
        <f>MAX(0,MIN(J28,12)-8.0)</f>
        <v/>
      </c>
      <c r="N28" s="7">
        <f>MAX(0,J28-12)</f>
        <v/>
      </c>
      <c r="O28" s="5" t="n"/>
      <c r="P28" s="6">
        <f>E28*(L28+M28*1.5+N28*2+O28*3+N(K28))</f>
        <v/>
      </c>
      <c r="Q28" s="6" t="n">
        <v>1249</v>
      </c>
      <c r="R28" s="6">
        <f>Q28-P28</f>
        <v/>
      </c>
    </row>
    <row r="29">
      <c r="A29" s="5" t="inlineStr">
        <is>
          <t>1405</t>
        </is>
      </c>
      <c r="B29" s="5" t="inlineStr">
        <is>
          <t>Paul Rodriquez Jr.</t>
        </is>
      </c>
      <c r="C29" s="5" t="inlineStr">
        <is>
          <t>"OFFICERCLARO"</t>
        </is>
      </c>
      <c r="D29" s="5" t="inlineStr"/>
      <c r="E29" s="6" t="n">
        <v>1972</v>
      </c>
      <c r="F29" s="5" t="n"/>
      <c r="G29" s="5" t="n"/>
      <c r="H29" s="5" t="n"/>
      <c r="I29" s="5" t="n"/>
      <c r="J29" s="7">
        <f>IF(AND(N(F29)&gt;0,N(I29)&gt;0),I29-F29-IF(N(G29)&gt;0,0.5,0)-IF(N(H29)&gt;0,0.5,0),0)</f>
        <v/>
      </c>
      <c r="K29" s="5" t="n"/>
      <c r="L29" s="7">
        <f>MIN(J29,8.0)</f>
        <v/>
      </c>
      <c r="M29" s="7">
        <f>MAX(0,MIN(J29,12)-8.0)</f>
        <v/>
      </c>
      <c r="N29" s="7">
        <f>MAX(0,J29-12)</f>
        <v/>
      </c>
      <c r="O29" s="5" t="n"/>
      <c r="P29" s="6">
        <f>E29*(L29+M29*1.5+N29*2+O29*3+N(K29))</f>
        <v/>
      </c>
      <c r="Q29" s="6" t="n">
        <v>1972</v>
      </c>
      <c r="R29" s="6">
        <f>Q29-P29</f>
        <v/>
      </c>
    </row>
    <row r="30">
      <c r="A30" s="5" t="inlineStr">
        <is>
          <t>1405</t>
        </is>
      </c>
      <c r="B30" s="5" t="inlineStr">
        <is>
          <t>Sophia Santi</t>
        </is>
      </c>
      <c r="C30" s="5" t="inlineStr">
        <is>
          <t>"FEMALECUSTOMER"</t>
        </is>
      </c>
      <c r="D30" s="5" t="inlineStr"/>
      <c r="E30" s="6" t="n">
        <v>1972</v>
      </c>
      <c r="F30" s="5" t="n"/>
      <c r="G30" s="5" t="n"/>
      <c r="H30" s="5" t="n"/>
      <c r="I30" s="5" t="n"/>
      <c r="J30" s="7">
        <f>IF(AND(N(F30)&gt;0,N(I30)&gt;0),I30-F30-IF(N(G30)&gt;0,0.5,0)-IF(N(H30)&gt;0,0.5,0),0)</f>
        <v/>
      </c>
      <c r="K30" s="5" t="n"/>
      <c r="L30" s="7">
        <f>MIN(J30,8.0)</f>
        <v/>
      </c>
      <c r="M30" s="7">
        <f>MAX(0,MIN(J30,12)-8.0)</f>
        <v/>
      </c>
      <c r="N30" s="7">
        <f>MAX(0,J30-12)</f>
        <v/>
      </c>
      <c r="O30" s="5" t="n"/>
      <c r="P30" s="6">
        <f>E30*(L30+M30*1.5+N30*2+O30*3+N(K30))</f>
        <v/>
      </c>
      <c r="Q30" s="6" t="n">
        <v>1972</v>
      </c>
      <c r="R30" s="6">
        <f>Q30-P30</f>
        <v/>
      </c>
    </row>
    <row r="31">
      <c r="A31" s="5" t="inlineStr">
        <is>
          <t>1405</t>
        </is>
      </c>
      <c r="B31" s="5" t="inlineStr">
        <is>
          <t>John Marshall Jones</t>
        </is>
      </c>
      <c r="C31" s="5" t="inlineStr">
        <is>
          <t>"MRHANKINS"</t>
        </is>
      </c>
      <c r="D31" s="5" t="inlineStr"/>
      <c r="E31" s="6" t="n">
        <v>1972</v>
      </c>
      <c r="F31" s="5" t="n"/>
      <c r="G31" s="5" t="n"/>
      <c r="H31" s="5" t="n"/>
      <c r="I31" s="5" t="n"/>
      <c r="J31" s="7">
        <f>IF(AND(N(F31)&gt;0,N(I31)&gt;0),I31-F31-IF(N(G31)&gt;0,0.5,0)-IF(N(H31)&gt;0,0.5,0),0)</f>
        <v/>
      </c>
      <c r="K31" s="5" t="n"/>
      <c r="L31" s="7">
        <f>MIN(J31,8.0)</f>
        <v/>
      </c>
      <c r="M31" s="7">
        <f>MAX(0,MIN(J31,12)-8.0)</f>
        <v/>
      </c>
      <c r="N31" s="7">
        <f>MAX(0,J31-12)</f>
        <v/>
      </c>
      <c r="O31" s="5" t="n"/>
      <c r="P31" s="6">
        <f>E31*(L31+M31*1.5+N31*2+O31*3+N(K31))</f>
        <v/>
      </c>
      <c r="Q31" s="6" t="n">
        <v>1972</v>
      </c>
      <c r="R31" s="6">
        <f>Q31-P31</f>
        <v/>
      </c>
    </row>
    <row r="32">
      <c r="A32" s="5" t="inlineStr">
        <is>
          <t>1405</t>
        </is>
      </c>
      <c r="B32" s="5" t="inlineStr">
        <is>
          <t>Madeleine Mcgraw</t>
        </is>
      </c>
      <c r="C32" s="5" t="inlineStr">
        <is>
          <t>"APRIL"(Minor)</t>
        </is>
      </c>
      <c r="D32" s="5" t="inlineStr"/>
      <c r="E32" s="6" t="n">
        <v>1249</v>
      </c>
      <c r="F32" s="5" t="n"/>
      <c r="G32" s="5" t="n"/>
      <c r="H32" s="5" t="n"/>
      <c r="I32" s="5" t="n"/>
      <c r="J32" s="7">
        <f>IF(AND(N(F32)&gt;0,N(I32)&gt;0),I32-F32-IF(N(G32)&gt;0,0.5,0)-IF(N(H32)&gt;0,0.5,0),0)</f>
        <v/>
      </c>
      <c r="K32" s="5" t="n"/>
      <c r="L32" s="7">
        <f>MIN(J32,8.0)</f>
        <v/>
      </c>
      <c r="M32" s="7">
        <f>MAX(0,MIN(J32,12)-8.0)</f>
        <v/>
      </c>
      <c r="N32" s="7">
        <f>MAX(0,J32-12)</f>
        <v/>
      </c>
      <c r="O32" s="5" t="n"/>
      <c r="P32" s="6">
        <f>E32*(L32+M32*1.5+N32*2+O32*3+N(K32))</f>
        <v/>
      </c>
      <c r="Q32" s="6" t="n">
        <v>1249</v>
      </c>
      <c r="R32" s="6">
        <f>Q32-P32</f>
        <v/>
      </c>
    </row>
    <row r="33">
      <c r="P33" s="2" t="inlineStr">
        <is>
          <t>DAYPLAYERS LABOR</t>
        </is>
      </c>
      <c r="R33" s="8">
        <f>SUM(R26:R32)</f>
        <v/>
      </c>
    </row>
    <row r="35">
      <c r="B35" s="2" t="inlineStr">
        <is>
          <t>STUNTCOORD</t>
        </is>
      </c>
    </row>
    <row r="36">
      <c r="A36" s="5" t="inlineStr">
        <is>
          <t>1406</t>
        </is>
      </c>
      <c r="B36" s="5" t="inlineStr">
        <is>
          <t>Rob King</t>
        </is>
      </c>
      <c r="C36" s="5" t="inlineStr">
        <is>
          <t>STUNTCOORDINATOR</t>
        </is>
      </c>
      <c r="D36" s="5" t="inlineStr"/>
      <c r="E36" s="6" t="n">
        <v>1173</v>
      </c>
      <c r="F36" s="5" t="n"/>
      <c r="G36" s="5" t="n"/>
      <c r="H36" s="5" t="n"/>
      <c r="I36" s="5" t="n"/>
      <c r="J36" s="7">
        <f>IF(AND(N(F36)&gt;0,N(I36)&gt;0),I36-F36-IF(N(G36)&gt;0,0.5,0)-IF(N(H36)&gt;0,0.5,0),0)</f>
        <v/>
      </c>
      <c r="K36" s="5" t="n"/>
      <c r="L36" s="7">
        <f>MIN(J36,8.0)</f>
        <v/>
      </c>
      <c r="M36" s="7">
        <f>MAX(0,MIN(J36,12)-8.0)</f>
        <v/>
      </c>
      <c r="N36" s="7">
        <f>MAX(0,J36-12)</f>
        <v/>
      </c>
      <c r="O36" s="5" t="n"/>
      <c r="P36" s="6">
        <f>E36*(L36+M36*1.5+N36*2+O36*3+N(K36))</f>
        <v/>
      </c>
      <c r="Q36" s="6" t="n">
        <v>1173</v>
      </c>
      <c r="R36" s="6">
        <f>Q36-P36</f>
        <v/>
      </c>
    </row>
    <row r="37">
      <c r="P37" s="2" t="inlineStr">
        <is>
          <t>STUNTCOORD LABOR</t>
        </is>
      </c>
      <c r="R37" s="8">
        <f>SUM(R36:R36)</f>
        <v/>
      </c>
    </row>
    <row r="39">
      <c r="B39" s="2" t="inlineStr">
        <is>
          <t>TEACHER/WELFAREWORKER</t>
        </is>
      </c>
    </row>
    <row r="40">
      <c r="A40" s="5" t="inlineStr">
        <is>
          <t>1412</t>
        </is>
      </c>
      <c r="B40" s="5" t="inlineStr"/>
      <c r="C40" s="5" t="inlineStr">
        <is>
          <t>WELFAREWORKER</t>
        </is>
      </c>
      <c r="D40" s="5" t="inlineStr">
        <is>
          <t>Local884</t>
        </is>
      </c>
      <c r="E40" s="6" t="n">
        <v>25.5</v>
      </c>
      <c r="F40" s="5" t="n"/>
      <c r="G40" s="5" t="n"/>
      <c r="H40" s="5" t="n"/>
      <c r="I40" s="5" t="n"/>
      <c r="J40" s="7">
        <f>IF(AND(N(F40)&gt;0,N(I40)&gt;0),I40-F40-IF(N(G40)&gt;0,0.5,0)-IF(N(H40)&gt;0,0.5,0),0)</f>
        <v/>
      </c>
      <c r="K40" s="5" t="n"/>
      <c r="L40" s="7">
        <f>MIN(J40,8.0)</f>
        <v/>
      </c>
      <c r="M40" s="7">
        <f>MAX(0,MIN(J40,12)-8.0)</f>
        <v/>
      </c>
      <c r="N40" s="7">
        <f>MAX(0,J40-12)</f>
        <v/>
      </c>
      <c r="O40" s="5" t="n"/>
      <c r="P40" s="6">
        <f>E40*(L40+M40*1.5+N40*2+O40*3+N(K40))</f>
        <v/>
      </c>
      <c r="Q40" s="6" t="n">
        <v>280.5</v>
      </c>
      <c r="R40" s="6">
        <f>Q40-P40</f>
        <v/>
      </c>
    </row>
    <row r="41">
      <c r="A41" s="5" t="inlineStr">
        <is>
          <t>1412</t>
        </is>
      </c>
      <c r="B41" s="5" t="inlineStr"/>
      <c r="C41" s="5" t="inlineStr">
        <is>
          <t>ADDLWELFAREWORKER</t>
        </is>
      </c>
      <c r="D41" s="5" t="inlineStr">
        <is>
          <t>Local884</t>
        </is>
      </c>
      <c r="E41" s="6" t="n">
        <v>25.5</v>
      </c>
      <c r="F41" s="5" t="n"/>
      <c r="G41" s="5" t="n"/>
      <c r="H41" s="5" t="n"/>
      <c r="I41" s="5" t="n"/>
      <c r="J41" s="7">
        <f>IF(AND(N(F41)&gt;0,N(I41)&gt;0),I41-F41-IF(N(G41)&gt;0,0.5,0)-IF(N(H41)&gt;0,0.5,0),0)</f>
        <v/>
      </c>
      <c r="K41" s="5" t="n"/>
      <c r="L41" s="7">
        <f>MIN(J41,8.0)</f>
        <v/>
      </c>
      <c r="M41" s="7">
        <f>MAX(0,MIN(J41,12)-8.0)</f>
        <v/>
      </c>
      <c r="N41" s="7">
        <f>MAX(0,J41-12)</f>
        <v/>
      </c>
      <c r="O41" s="5" t="n"/>
      <c r="P41" s="6">
        <f>E41*(L41+M41*1.5+N41*2+O41*3+N(K41))</f>
        <v/>
      </c>
      <c r="Q41" s="6" t="n">
        <v>280.5</v>
      </c>
      <c r="R41" s="6">
        <f>Q41-P41</f>
        <v/>
      </c>
    </row>
    <row r="42">
      <c r="P42" s="2" t="inlineStr">
        <is>
          <t>TEACHER/WELFAREWORKER LABOR</t>
        </is>
      </c>
      <c r="R42" s="8">
        <f>SUM(R40:R41)</f>
        <v/>
      </c>
    </row>
    <row r="44">
      <c r="B44" s="2" t="inlineStr">
        <is>
          <t>CASTINGDIRECTORS</t>
        </is>
      </c>
    </row>
    <row r="45">
      <c r="A45" s="5" t="inlineStr">
        <is>
          <t>1413</t>
        </is>
      </c>
      <c r="B45" s="5" t="inlineStr">
        <is>
          <t>Rich Delia</t>
        </is>
      </c>
      <c r="C45" s="5" t="inlineStr">
        <is>
          <t>CASTINGDIRECTOR</t>
        </is>
      </c>
      <c r="D45" s="5" t="inlineStr"/>
      <c r="E45" s="6" t="n">
        <v>600</v>
      </c>
      <c r="F45" s="5" t="n"/>
      <c r="G45" s="5" t="n"/>
      <c r="H45" s="5" t="n"/>
      <c r="I45" s="5" t="n"/>
      <c r="J45" s="7">
        <f>IF(AND(N(F45)&gt;0,N(I45)&gt;0),I45-F45-IF(N(G45)&gt;0,0.5,0)-IF(N(H45)&gt;0,0.5,0),0)</f>
        <v/>
      </c>
      <c r="K45" s="5" t="n"/>
      <c r="L45" s="7">
        <f>MIN(J45,8.0)</f>
        <v/>
      </c>
      <c r="M45" s="7">
        <f>MAX(0,MIN(J45,12)-8.0)</f>
        <v/>
      </c>
      <c r="N45" s="7">
        <f>MAX(0,J45-12)</f>
        <v/>
      </c>
      <c r="O45" s="5" t="n"/>
      <c r="P45" s="6">
        <f>E45*(L45+M45*1.5+N45*2+O45*3+N(K45))</f>
        <v/>
      </c>
      <c r="Q45" s="5" t="n"/>
      <c r="R45" s="6">
        <f>Q45-P45</f>
        <v/>
      </c>
    </row>
    <row r="46">
      <c r="P46" s="2" t="inlineStr">
        <is>
          <t>CASTINGDIRECTORS LABOR</t>
        </is>
      </c>
      <c r="R46" s="8">
        <f>SUM(R45:R45)</f>
        <v/>
      </c>
    </row>
    <row r="48">
      <c r="B48" s="2" t="inlineStr">
        <is>
          <t>CASTINGASSOCIATES/ASSISTANTS</t>
        </is>
      </c>
    </row>
    <row r="49">
      <c r="A49" s="5" t="inlineStr">
        <is>
          <t>1414</t>
        </is>
      </c>
      <c r="B49" s="5" t="inlineStr">
        <is>
          <t>Adam Richards</t>
        </is>
      </c>
      <c r="C49" s="5" t="inlineStr">
        <is>
          <t>CASTINGASSOCIATE</t>
        </is>
      </c>
      <c r="D49" s="5" t="inlineStr"/>
      <c r="E49" s="6" t="n">
        <v>200</v>
      </c>
      <c r="F49" s="5" t="n"/>
      <c r="G49" s="5" t="n"/>
      <c r="H49" s="5" t="n"/>
      <c r="I49" s="5" t="n"/>
      <c r="J49" s="7">
        <f>IF(AND(N(F49)&gt;0,N(I49)&gt;0),I49-F49-IF(N(G49)&gt;0,0.5,0)-IF(N(H49)&gt;0,0.5,0),0)</f>
        <v/>
      </c>
      <c r="K49" s="5" t="n"/>
      <c r="L49" s="7">
        <f>MIN(J49,8.0)</f>
        <v/>
      </c>
      <c r="M49" s="7">
        <f>MAX(0,MIN(J49,12)-8.0)</f>
        <v/>
      </c>
      <c r="N49" s="7">
        <f>MAX(0,J49-12)</f>
        <v/>
      </c>
      <c r="O49" s="5" t="n"/>
      <c r="P49" s="6">
        <f>E49*(L49+M49*1.5+N49*2+O49*3+N(K49))</f>
        <v/>
      </c>
      <c r="Q49" s="5" t="n"/>
      <c r="R49" s="6">
        <f>Q49-P49</f>
        <v/>
      </c>
    </row>
    <row r="50">
      <c r="P50" s="2" t="inlineStr">
        <is>
          <t>CASTINGASSOCIATES/ASSISTANTS LABOR</t>
        </is>
      </c>
      <c r="R50" s="8">
        <f>SUM(R49:R49)</f>
        <v/>
      </c>
    </row>
    <row r="52">
      <c r="B52" s="2" t="inlineStr">
        <is>
          <t>CASTDRIVERS/VEHICLES</t>
        </is>
      </c>
    </row>
    <row r="53">
      <c r="A53" s="5" t="inlineStr">
        <is>
          <t>1455</t>
        </is>
      </c>
      <c r="B53" s="5" t="inlineStr"/>
      <c r="C53" s="5" t="inlineStr">
        <is>
          <t>CAST 3-RMDRIVER</t>
        </is>
      </c>
      <c r="D53" s="5" t="inlineStr">
        <is>
          <t>Local399</t>
        </is>
      </c>
      <c r="E53" s="6" t="n">
        <v>32.36</v>
      </c>
      <c r="F53" s="5" t="n"/>
      <c r="G53" s="5" t="n"/>
      <c r="H53" s="5" t="n"/>
      <c r="I53" s="5" t="n"/>
      <c r="J53" s="7">
        <f>IF(AND(N(F53)&gt;0,N(I53)&gt;0),I53-F53-IF(N(G53)&gt;0,0.5,0)-IF(N(H53)&gt;0,0.5,0),0)</f>
        <v/>
      </c>
      <c r="K53" s="5" t="n"/>
      <c r="L53" s="7">
        <f>MIN(J53,8.0)</f>
        <v/>
      </c>
      <c r="M53" s="7">
        <f>MAX(0,MIN(J53,12)-8.0)</f>
        <v/>
      </c>
      <c r="N53" s="7">
        <f>MAX(0,J53-12)</f>
        <v/>
      </c>
      <c r="O53" s="5" t="n"/>
      <c r="P53" s="6">
        <f>E53*(L53+M53*1.5+N53*2+O53*3+N(K53))</f>
        <v/>
      </c>
      <c r="Q53" s="6" t="n">
        <v>501.58</v>
      </c>
      <c r="R53" s="6">
        <f>Q53-P53</f>
        <v/>
      </c>
    </row>
    <row r="54">
      <c r="A54" s="5" t="inlineStr">
        <is>
          <t>1455</t>
        </is>
      </c>
      <c r="B54" s="5" t="inlineStr"/>
      <c r="C54" s="5" t="inlineStr">
        <is>
          <t>CASTMINIVANDRIVER</t>
        </is>
      </c>
      <c r="D54" s="5" t="inlineStr">
        <is>
          <t>Local399</t>
        </is>
      </c>
      <c r="E54" s="6" t="n">
        <v>32.36</v>
      </c>
      <c r="F54" s="5" t="n"/>
      <c r="G54" s="5" t="n"/>
      <c r="H54" s="5" t="n"/>
      <c r="I54" s="5" t="n"/>
      <c r="J54" s="7">
        <f>IF(AND(N(F54)&gt;0,N(I54)&gt;0),I54-F54-IF(N(G54)&gt;0,0.5,0)-IF(N(H54)&gt;0,0.5,0),0)</f>
        <v/>
      </c>
      <c r="K54" s="5" t="n"/>
      <c r="L54" s="7">
        <f>MIN(J54,8.0)</f>
        <v/>
      </c>
      <c r="M54" s="7">
        <f>MAX(0,MIN(J54,12)-8.0)</f>
        <v/>
      </c>
      <c r="N54" s="7">
        <f>MAX(0,J54-12)</f>
        <v/>
      </c>
      <c r="O54" s="5" t="n"/>
      <c r="P54" s="6">
        <f>E54*(L54+M54*1.5+N54*2+O54*3+N(K54))</f>
        <v/>
      </c>
      <c r="Q54" s="6" t="n">
        <v>501.58</v>
      </c>
      <c r="R54" s="6">
        <f>Q54-P54</f>
        <v/>
      </c>
    </row>
    <row r="55">
      <c r="P55" s="2" t="inlineStr">
        <is>
          <t>CASTDRIVERS/VEHICLES LABOR</t>
        </is>
      </c>
      <c r="R55" s="8">
        <f>SUM(R53:R54)</f>
        <v/>
      </c>
    </row>
    <row r="57">
      <c r="B57" s="2" t="inlineStr">
        <is>
          <t>PRODUCTIONMANAGER</t>
        </is>
      </c>
    </row>
    <row r="58">
      <c r="A58" s="5" t="inlineStr">
        <is>
          <t>2001</t>
        </is>
      </c>
      <c r="B58" s="5" t="inlineStr">
        <is>
          <t>Carrie Morrow</t>
        </is>
      </c>
      <c r="C58" s="5" t="inlineStr">
        <is>
          <t>UPM</t>
        </is>
      </c>
      <c r="D58" s="5" t="inlineStr">
        <is>
          <t>DGA</t>
        </is>
      </c>
      <c r="E58" s="6" t="n">
        <v>1063.6</v>
      </c>
      <c r="F58" s="5" t="n"/>
      <c r="G58" s="5" t="n"/>
      <c r="H58" s="5" t="n"/>
      <c r="I58" s="5" t="n"/>
      <c r="J58" s="7">
        <f>IF(AND(N(F58)&gt;0,N(I58)&gt;0),I58-F58-IF(N(G58)&gt;0,0.5,0)-IF(N(H58)&gt;0,0.5,0),0)</f>
        <v/>
      </c>
      <c r="K58" s="5" t="n"/>
      <c r="L58" s="7">
        <f>MIN(J58,8.0)</f>
        <v/>
      </c>
      <c r="M58" s="7">
        <f>MAX(0,MIN(J58,12)-8.0)</f>
        <v/>
      </c>
      <c r="N58" s="7">
        <f>MAX(0,J58-12)</f>
        <v/>
      </c>
      <c r="O58" s="5" t="n"/>
      <c r="P58" s="6">
        <f>E58*(L58+M58*1.5+N58*2+O58*3+N(K58))</f>
        <v/>
      </c>
      <c r="Q58" s="6" t="n">
        <v>1063.6</v>
      </c>
      <c r="R58" s="6">
        <f>Q58-P58</f>
        <v/>
      </c>
    </row>
    <row r="59">
      <c r="P59" s="2" t="inlineStr">
        <is>
          <t>PRODUCTIONMANAGER LABOR</t>
        </is>
      </c>
      <c r="R59" s="8">
        <f>SUM(R58:R58)</f>
        <v/>
      </c>
    </row>
    <row r="61">
      <c r="B61" s="2" t="inlineStr">
        <is>
          <t>1STASSTDIRECTOR</t>
        </is>
      </c>
    </row>
    <row r="62">
      <c r="A62" s="5" t="inlineStr">
        <is>
          <t>2002</t>
        </is>
      </c>
      <c r="B62" s="5" t="inlineStr">
        <is>
          <t>James Moran</t>
        </is>
      </c>
      <c r="C62" s="5" t="inlineStr">
        <is>
          <t>1STASSTDIRECTOR</t>
        </is>
      </c>
      <c r="D62" s="5" t="inlineStr">
        <is>
          <t>DGA</t>
        </is>
      </c>
      <c r="E62" s="6" t="n">
        <v>985.6</v>
      </c>
      <c r="F62" s="5" t="n"/>
      <c r="G62" s="5" t="n"/>
      <c r="H62" s="5" t="n"/>
      <c r="I62" s="5" t="n"/>
      <c r="J62" s="7">
        <f>IF(AND(N(F62)&gt;0,N(I62)&gt;0),I62-F62-IF(N(G62)&gt;0,0.5,0)-IF(N(H62)&gt;0,0.5,0),0)</f>
        <v/>
      </c>
      <c r="K62" s="5" t="n"/>
      <c r="L62" s="7">
        <f>MIN(J62,8.0)</f>
        <v/>
      </c>
      <c r="M62" s="7">
        <f>MAX(0,MIN(J62,12)-8.0)</f>
        <v/>
      </c>
      <c r="N62" s="7">
        <f>MAX(0,J62-12)</f>
        <v/>
      </c>
      <c r="O62" s="5" t="n"/>
      <c r="P62" s="6">
        <f>E62*(L62+M62*1.5+N62*2+O62*3+N(K62))</f>
        <v/>
      </c>
      <c r="Q62" s="6" t="n">
        <v>985.6</v>
      </c>
      <c r="R62" s="6">
        <f>Q62-P62</f>
        <v/>
      </c>
    </row>
    <row r="63">
      <c r="P63" s="2" t="inlineStr">
        <is>
          <t>1STASSTDIRECTOR LABOR</t>
        </is>
      </c>
      <c r="R63" s="8">
        <f>SUM(R62:R62)</f>
        <v/>
      </c>
    </row>
    <row r="65">
      <c r="B65" s="2" t="inlineStr">
        <is>
          <t>2NDASSTDIRECTORS</t>
        </is>
      </c>
    </row>
    <row r="66">
      <c r="A66" s="5" t="inlineStr">
        <is>
          <t>2003</t>
        </is>
      </c>
      <c r="B66" s="5" t="inlineStr">
        <is>
          <t>Mark Newland</t>
        </is>
      </c>
      <c r="C66" s="5" t="inlineStr">
        <is>
          <t>KEY 2NDA. D.</t>
        </is>
      </c>
      <c r="D66" s="5" t="inlineStr">
        <is>
          <t>DGA</t>
        </is>
      </c>
      <c r="E66" s="6" t="n">
        <v>674.6</v>
      </c>
      <c r="F66" s="5" t="n"/>
      <c r="G66" s="5" t="n"/>
      <c r="H66" s="5" t="n"/>
      <c r="I66" s="5" t="n"/>
      <c r="J66" s="7">
        <f>IF(AND(N(F66)&gt;0,N(I66)&gt;0),I66-F66-IF(N(G66)&gt;0,0.5,0)-IF(N(H66)&gt;0,0.5,0),0)</f>
        <v/>
      </c>
      <c r="K66" s="5" t="n"/>
      <c r="L66" s="7">
        <f>MIN(J66,8.0)</f>
        <v/>
      </c>
      <c r="M66" s="7">
        <f>MAX(0,MIN(J66,12)-8.0)</f>
        <v/>
      </c>
      <c r="N66" s="7">
        <f>MAX(0,J66-12)</f>
        <v/>
      </c>
      <c r="O66" s="5" t="n"/>
      <c r="P66" s="6">
        <f>E66*(L66+M66*1.5+N66*2+O66*3+N(K66))</f>
        <v/>
      </c>
      <c r="Q66" s="6" t="n">
        <v>674.6</v>
      </c>
      <c r="R66" s="6">
        <f>Q66-P66</f>
        <v/>
      </c>
    </row>
    <row r="67">
      <c r="A67" s="5" t="inlineStr">
        <is>
          <t>2003</t>
        </is>
      </c>
      <c r="B67" s="5" t="inlineStr"/>
      <c r="C67" s="5" t="inlineStr">
        <is>
          <t>2ND 2NDA. D.</t>
        </is>
      </c>
      <c r="D67" s="5" t="inlineStr">
        <is>
          <t>DGA</t>
        </is>
      </c>
      <c r="E67" s="6" t="n">
        <v>526</v>
      </c>
      <c r="F67" s="5" t="n"/>
      <c r="G67" s="5" t="n"/>
      <c r="H67" s="5" t="n"/>
      <c r="I67" s="5" t="n"/>
      <c r="J67" s="7">
        <f>IF(AND(N(F67)&gt;0,N(I67)&gt;0),I67-F67-IF(N(G67)&gt;0,0.5,0)-IF(N(H67)&gt;0,0.5,0),0)</f>
        <v/>
      </c>
      <c r="K67" s="5" t="n"/>
      <c r="L67" s="7">
        <f>MIN(J67,8.0)</f>
        <v/>
      </c>
      <c r="M67" s="7">
        <f>MAX(0,MIN(J67,12)-8.0)</f>
        <v/>
      </c>
      <c r="N67" s="7">
        <f>MAX(0,J67-12)</f>
        <v/>
      </c>
      <c r="O67" s="5" t="n"/>
      <c r="P67" s="6">
        <f>E67*(L67+M67*1.5+N67*2+O67*3+N(K67))</f>
        <v/>
      </c>
      <c r="Q67" s="6" t="n">
        <v>526</v>
      </c>
      <c r="R67" s="6">
        <f>Q67-P67</f>
        <v/>
      </c>
    </row>
    <row r="68">
      <c r="P68" s="2" t="inlineStr">
        <is>
          <t>2NDASSTDIRECTORS LABOR</t>
        </is>
      </c>
      <c r="R68" s="8">
        <f>SUM(R66:R67)</f>
        <v/>
      </c>
    </row>
    <row r="70">
      <c r="B70" s="2" t="inlineStr">
        <is>
          <t>SCRIPTSUPERVISOR</t>
        </is>
      </c>
    </row>
    <row r="71">
      <c r="A71" s="5" t="inlineStr">
        <is>
          <t>2005</t>
        </is>
      </c>
      <c r="B71" s="5" t="inlineStr">
        <is>
          <t>Renata Amador</t>
        </is>
      </c>
      <c r="C71" s="5" t="inlineStr">
        <is>
          <t>SCRIPTSUPERVISOR</t>
        </is>
      </c>
      <c r="D71" s="5" t="inlineStr">
        <is>
          <t>Local871</t>
        </is>
      </c>
      <c r="E71" s="6" t="n">
        <v>25.5</v>
      </c>
      <c r="F71" s="5" t="n"/>
      <c r="G71" s="5" t="n"/>
      <c r="H71" s="5" t="n"/>
      <c r="I71" s="5" t="n"/>
      <c r="J71" s="7">
        <f>IF(AND(N(F71)&gt;0,N(I71)&gt;0),I71-F71-IF(N(G71)&gt;0,0.5,0)-IF(N(H71)&gt;0,0.5,0),0)</f>
        <v/>
      </c>
      <c r="K71" s="5" t="n"/>
      <c r="L71" s="7">
        <f>MIN(J71,10.0)</f>
        <v/>
      </c>
      <c r="M71" s="7">
        <f>MAX(0,MIN(J71,12)-10.0)</f>
        <v/>
      </c>
      <c r="N71" s="7">
        <f>MAX(0,J71-12)</f>
        <v/>
      </c>
      <c r="O71" s="5" t="n"/>
      <c r="P71" s="6">
        <f>E71*(L71+M71*1.5+N71*2+O71*3+N(K71))</f>
        <v/>
      </c>
      <c r="Q71" s="6" t="n">
        <v>439.87</v>
      </c>
      <c r="R71" s="6">
        <f>Q71-P71</f>
        <v/>
      </c>
    </row>
    <row r="72">
      <c r="P72" s="2" t="inlineStr">
        <is>
          <t>SCRIPTSUPERVISOR LABOR</t>
        </is>
      </c>
      <c r="R72" s="8">
        <f>SUM(R71:R71)</f>
        <v/>
      </c>
    </row>
    <row r="74">
      <c r="B74" s="2" t="inlineStr">
        <is>
          <t>LOCATIONMANAGERS</t>
        </is>
      </c>
    </row>
    <row r="75">
      <c r="A75" s="5" t="inlineStr">
        <is>
          <t>2007</t>
        </is>
      </c>
      <c r="B75" s="5" t="inlineStr">
        <is>
          <t>Stacey Brashear-Rodriquez</t>
        </is>
      </c>
      <c r="C75" s="5" t="inlineStr">
        <is>
          <t>LOCATIONMANAGER</t>
        </is>
      </c>
      <c r="D75" s="5" t="inlineStr">
        <is>
          <t>Local399</t>
        </is>
      </c>
      <c r="E75" s="6" t="n">
        <v>557.6</v>
      </c>
      <c r="F75" s="5" t="n"/>
      <c r="G75" s="5" t="n"/>
      <c r="H75" s="5" t="n"/>
      <c r="I75" s="5" t="n"/>
      <c r="J75" s="7">
        <f>IF(AND(N(F75)&gt;0,N(I75)&gt;0),I75-F75-IF(N(G75)&gt;0,0.5,0)-IF(N(H75)&gt;0,0.5,0),0)</f>
        <v/>
      </c>
      <c r="K75" s="5" t="n"/>
      <c r="L75" s="7">
        <f>MIN(J75,8.0)</f>
        <v/>
      </c>
      <c r="M75" s="7">
        <f>MAX(0,MIN(J75,12)-8.0)</f>
        <v/>
      </c>
      <c r="N75" s="7">
        <f>MAX(0,J75-12)</f>
        <v/>
      </c>
      <c r="O75" s="5" t="n"/>
      <c r="P75" s="6">
        <f>E75*(L75+M75*1.5+N75*2+O75*3+N(K75))</f>
        <v/>
      </c>
      <c r="Q75" s="6" t="n">
        <v>557.6</v>
      </c>
      <c r="R75" s="6">
        <f>Q75-P75</f>
        <v/>
      </c>
    </row>
    <row r="76">
      <c r="P76" s="2" t="inlineStr">
        <is>
          <t>LOCATIONMANAGERS LABOR</t>
        </is>
      </c>
      <c r="R76" s="8">
        <f>SUM(R75:R75)</f>
        <v/>
      </c>
    </row>
    <row r="78">
      <c r="B78" s="2" t="inlineStr">
        <is>
          <t>ASSISTANTLOCATIONMANAGERS</t>
        </is>
      </c>
    </row>
    <row r="79">
      <c r="A79" s="5" t="inlineStr">
        <is>
          <t>2008</t>
        </is>
      </c>
      <c r="B79" s="5" t="inlineStr">
        <is>
          <t>Rich Heichel</t>
        </is>
      </c>
      <c r="C79" s="5" t="inlineStr">
        <is>
          <t>KEYASSTLOCATIONMGR#1</t>
        </is>
      </c>
      <c r="D79" s="5" t="inlineStr">
        <is>
          <t>Local399</t>
        </is>
      </c>
      <c r="E79" s="6" t="n">
        <v>334.2</v>
      </c>
      <c r="F79" s="5" t="n"/>
      <c r="G79" s="5" t="n"/>
      <c r="H79" s="5" t="n"/>
      <c r="I79" s="5" t="n"/>
      <c r="J79" s="7">
        <f>IF(AND(N(F79)&gt;0,N(I79)&gt;0),I79-F79-IF(N(G79)&gt;0,0.5,0)-IF(N(H79)&gt;0,0.5,0),0)</f>
        <v/>
      </c>
      <c r="K79" s="5" t="n"/>
      <c r="L79" s="7">
        <f>MIN(J79,8.0)</f>
        <v/>
      </c>
      <c r="M79" s="7">
        <f>MAX(0,MIN(J79,12)-8.0)</f>
        <v/>
      </c>
      <c r="N79" s="7">
        <f>MAX(0,J79-12)</f>
        <v/>
      </c>
      <c r="O79" s="5" t="n"/>
      <c r="P79" s="6">
        <f>E79*(L79+M79*1.5+N79*2+O79*3+N(K79))</f>
        <v/>
      </c>
      <c r="Q79" s="6" t="n">
        <v>334.2</v>
      </c>
      <c r="R79" s="6">
        <f>Q79-P79</f>
        <v/>
      </c>
    </row>
    <row r="80">
      <c r="A80" s="5" t="inlineStr">
        <is>
          <t>2008</t>
        </is>
      </c>
      <c r="B80" s="5" t="inlineStr">
        <is>
          <t>Jason Mc Cauley</t>
        </is>
      </c>
      <c r="C80" s="5" t="inlineStr">
        <is>
          <t>LOCATIONASST</t>
        </is>
      </c>
      <c r="D80" s="5" t="inlineStr">
        <is>
          <t>Local399</t>
        </is>
      </c>
      <c r="E80" s="6" t="n">
        <v>229</v>
      </c>
      <c r="F80" s="5" t="n"/>
      <c r="G80" s="5" t="n"/>
      <c r="H80" s="5" t="n"/>
      <c r="I80" s="5" t="n"/>
      <c r="J80" s="7">
        <f>IF(AND(N(F80)&gt;0,N(I80)&gt;0),I80-F80-IF(N(G80)&gt;0,0.5,0)-IF(N(H80)&gt;0,0.5,0),0)</f>
        <v/>
      </c>
      <c r="K80" s="5" t="n"/>
      <c r="L80" s="7">
        <f>MIN(J80,8.0)</f>
        <v/>
      </c>
      <c r="M80" s="7">
        <f>MAX(0,MIN(J80,12)-8.0)</f>
        <v/>
      </c>
      <c r="N80" s="7">
        <f>MAX(0,J80-12)</f>
        <v/>
      </c>
      <c r="O80" s="5" t="n"/>
      <c r="P80" s="6">
        <f>E80*(L80+M80*1.5+N80*2+O80*3+N(K80))</f>
        <v/>
      </c>
      <c r="Q80" s="6" t="n">
        <v>229</v>
      </c>
      <c r="R80" s="6">
        <f>Q80-P80</f>
        <v/>
      </c>
    </row>
    <row r="81">
      <c r="P81" s="2" t="inlineStr">
        <is>
          <t>ASSISTANTLOCATIONMANAGERS LABOR</t>
        </is>
      </c>
      <c r="R81" s="8">
        <f>SUM(R79:R80)</f>
        <v/>
      </c>
    </row>
    <row r="83">
      <c r="B83" s="2" t="inlineStr">
        <is>
          <t>PRODUCTIONCOORDINATOR</t>
        </is>
      </c>
    </row>
    <row r="84">
      <c r="A84" s="5" t="inlineStr">
        <is>
          <t>2009</t>
        </is>
      </c>
      <c r="B84" s="5" t="inlineStr">
        <is>
          <t>Ali Griffith</t>
        </is>
      </c>
      <c r="C84" s="5" t="inlineStr">
        <is>
          <t>PRODUCTIONOFCCOORD</t>
        </is>
      </c>
      <c r="D84" s="5" t="inlineStr"/>
      <c r="E84" s="6" t="n">
        <v>360</v>
      </c>
      <c r="F84" s="5" t="n"/>
      <c r="G84" s="5" t="n"/>
      <c r="H84" s="5" t="n"/>
      <c r="I84" s="5" t="n"/>
      <c r="J84" s="7">
        <f>IF(AND(N(F84)&gt;0,N(I84)&gt;0),I84-F84-IF(N(G84)&gt;0,0.5,0)-IF(N(H84)&gt;0,0.5,0),0)</f>
        <v/>
      </c>
      <c r="K84" s="5" t="n"/>
      <c r="L84" s="7">
        <f>MIN(J84,8.0)</f>
        <v/>
      </c>
      <c r="M84" s="7">
        <f>MAX(0,MIN(J84,12)-8.0)</f>
        <v/>
      </c>
      <c r="N84" s="7">
        <f>MAX(0,J84-12)</f>
        <v/>
      </c>
      <c r="O84" s="5" t="n"/>
      <c r="P84" s="6">
        <f>E84*(L84+M84*1.5+N84*2+O84*3+N(K84))</f>
        <v/>
      </c>
      <c r="Q84" s="6" t="n">
        <v>360</v>
      </c>
      <c r="R84" s="6">
        <f>Q84-P84</f>
        <v/>
      </c>
    </row>
    <row r="85">
      <c r="P85" s="2" t="inlineStr">
        <is>
          <t>PRODUCTIONCOORDINATOR LABOR</t>
        </is>
      </c>
      <c r="R85" s="8">
        <f>SUM(R84:R84)</f>
        <v/>
      </c>
    </row>
    <row r="87">
      <c r="B87" s="2" t="inlineStr">
        <is>
          <t>ASSTPRODUCTIONCOORDINATOR</t>
        </is>
      </c>
    </row>
    <row r="88">
      <c r="A88" s="5" t="inlineStr">
        <is>
          <t>2010</t>
        </is>
      </c>
      <c r="B88" s="5" t="inlineStr">
        <is>
          <t>Holly Dellocono</t>
        </is>
      </c>
      <c r="C88" s="5" t="inlineStr">
        <is>
          <t>APOC</t>
        </is>
      </c>
      <c r="D88" s="5" t="inlineStr">
        <is>
          <t>Local871</t>
        </is>
      </c>
      <c r="E88" s="6" t="n">
        <v>20.57</v>
      </c>
      <c r="F88" s="5" t="n"/>
      <c r="G88" s="5" t="n"/>
      <c r="H88" s="5" t="n"/>
      <c r="I88" s="5" t="n"/>
      <c r="J88" s="7">
        <f>IF(AND(N(F88)&gt;0,N(I88)&gt;0),I88-F88-IF(N(G88)&gt;0,0.5,0)-IF(N(H88)&gt;0,0.5,0),0)</f>
        <v/>
      </c>
      <c r="K88" s="5" t="n"/>
      <c r="L88" s="7">
        <f>MIN(J88,10.0)</f>
        <v/>
      </c>
      <c r="M88" s="7">
        <f>MAX(0,MIN(J88,12)-10.0)</f>
        <v/>
      </c>
      <c r="N88" s="7">
        <f>MAX(0,J88-12)</f>
        <v/>
      </c>
      <c r="O88" s="5" t="n"/>
      <c r="P88" s="6">
        <f>E88*(L88+M88*1.5+N88*2+O88*3+N(K88))</f>
        <v/>
      </c>
      <c r="Q88" s="6" t="n">
        <v>287.98</v>
      </c>
      <c r="R88" s="6">
        <f>Q88-P88</f>
        <v/>
      </c>
    </row>
    <row r="89">
      <c r="P89" s="2" t="inlineStr">
        <is>
          <t>ASSTPRODUCTIONCOORDINATOR LABOR</t>
        </is>
      </c>
      <c r="R89" s="8">
        <f>SUM(R88:R88)</f>
        <v/>
      </c>
    </row>
    <row r="91">
      <c r="B91" s="2" t="inlineStr">
        <is>
          <t>OFFICESTAFFASSISTANTS</t>
        </is>
      </c>
    </row>
    <row r="92">
      <c r="A92" s="5" t="inlineStr">
        <is>
          <t>2011</t>
        </is>
      </c>
      <c r="B92" s="5" t="inlineStr">
        <is>
          <t>John Humber</t>
        </is>
      </c>
      <c r="C92" s="5" t="inlineStr">
        <is>
          <t>OFFICEPA#1</t>
        </is>
      </c>
      <c r="D92" s="5" t="inlineStr"/>
      <c r="E92" s="6" t="n">
        <v>22.5</v>
      </c>
      <c r="F92" s="5" t="n"/>
      <c r="G92" s="5" t="n"/>
      <c r="H92" s="5" t="n"/>
      <c r="I92" s="5" t="n"/>
      <c r="J92" s="7">
        <f>IF(AND(N(F92)&gt;0,N(I92)&gt;0),I92-F92-IF(N(G92)&gt;0,0.5,0)-IF(N(H92)&gt;0,0.5,0),0)</f>
        <v/>
      </c>
      <c r="K92" s="5" t="n"/>
      <c r="L92" s="7">
        <f>MIN(J92,8.0)</f>
        <v/>
      </c>
      <c r="M92" s="7">
        <f>MAX(0,MIN(J92,12)-8.0)</f>
        <v/>
      </c>
      <c r="N92" s="7">
        <f>MAX(0,J92-12)</f>
        <v/>
      </c>
      <c r="O92" s="5" t="n"/>
      <c r="P92" s="6">
        <f>E92*(L92+M92*1.5+N92*2+O92*3+N(K92))</f>
        <v/>
      </c>
      <c r="Q92" s="6" t="n">
        <v>168</v>
      </c>
      <c r="R92" s="6">
        <f>Q92-P92</f>
        <v/>
      </c>
    </row>
    <row r="93">
      <c r="A93" s="5" t="inlineStr">
        <is>
          <t>2011</t>
        </is>
      </c>
      <c r="B93" s="5" t="inlineStr">
        <is>
          <t>Sarah Semenas</t>
        </is>
      </c>
      <c r="C93" s="5" t="inlineStr">
        <is>
          <t>OFFICEPA#2</t>
        </is>
      </c>
      <c r="D93" s="5" t="inlineStr"/>
      <c r="E93" s="6" t="n">
        <v>22.5</v>
      </c>
      <c r="F93" s="5" t="n"/>
      <c r="G93" s="5" t="n"/>
      <c r="H93" s="5" t="n"/>
      <c r="I93" s="5" t="n"/>
      <c r="J93" s="7">
        <f>IF(AND(N(F93)&gt;0,N(I93)&gt;0),I93-F93-IF(N(G93)&gt;0,0.5,0)-IF(N(H93)&gt;0,0.5,0),0)</f>
        <v/>
      </c>
      <c r="K93" s="5" t="n"/>
      <c r="L93" s="7">
        <f>MIN(J93,8.0)</f>
        <v/>
      </c>
      <c r="M93" s="7">
        <f>MAX(0,MIN(J93,12)-8.0)</f>
        <v/>
      </c>
      <c r="N93" s="7">
        <f>MAX(0,J93-12)</f>
        <v/>
      </c>
      <c r="O93" s="5" t="n"/>
      <c r="P93" s="6">
        <f>E93*(L93+M93*1.5+N93*2+O93*3+N(K93))</f>
        <v/>
      </c>
      <c r="Q93" s="6" t="n">
        <v>168</v>
      </c>
      <c r="R93" s="6">
        <f>Q93-P93</f>
        <v/>
      </c>
    </row>
    <row r="94">
      <c r="P94" s="2" t="inlineStr">
        <is>
          <t>OFFICESTAFFASSISTANTS LABOR</t>
        </is>
      </c>
      <c r="R94" s="8">
        <f>SUM(R92:R93)</f>
        <v/>
      </c>
    </row>
    <row r="96">
      <c r="B96" s="2" t="inlineStr">
        <is>
          <t>SETSTAFFASSISTANTS</t>
        </is>
      </c>
    </row>
    <row r="97">
      <c r="A97" s="5" t="inlineStr">
        <is>
          <t>2012</t>
        </is>
      </c>
      <c r="B97" s="5" t="inlineStr">
        <is>
          <t>Paula Henry</t>
        </is>
      </c>
      <c r="C97" s="5" t="inlineStr">
        <is>
          <t>KEYSETPA</t>
        </is>
      </c>
      <c r="D97" s="5" t="inlineStr"/>
      <c r="E97" s="6" t="n">
        <v>12</v>
      </c>
      <c r="F97" s="5" t="n"/>
      <c r="G97" s="5" t="n"/>
      <c r="H97" s="5" t="n"/>
      <c r="I97" s="5" t="n"/>
      <c r="J97" s="7">
        <f>IF(AND(N(F97)&gt;0,N(I97)&gt;0),I97-F97-IF(N(G97)&gt;0,0.5,0)-IF(N(H97)&gt;0,0.5,0),0)</f>
        <v/>
      </c>
      <c r="K97" s="5" t="n"/>
      <c r="L97" s="7">
        <f>MIN(J97,8.0)</f>
        <v/>
      </c>
      <c r="M97" s="7">
        <f>MAX(0,MIN(J97,12)-8.0)</f>
        <v/>
      </c>
      <c r="N97" s="7">
        <f>MAX(0,J97-12)</f>
        <v/>
      </c>
      <c r="O97" s="5" t="n"/>
      <c r="P97" s="6">
        <f>E97*(L97+M97*1.5+N97*2+O97*3+N(K97))</f>
        <v/>
      </c>
      <c r="Q97" s="6" t="n">
        <v>216</v>
      </c>
      <c r="R97" s="6">
        <f>Q97-P97</f>
        <v/>
      </c>
    </row>
    <row r="98">
      <c r="A98" s="5" t="inlineStr">
        <is>
          <t>2012</t>
        </is>
      </c>
      <c r="B98" s="5" t="inlineStr"/>
      <c r="C98" s="5" t="inlineStr">
        <is>
          <t>SETPA#2</t>
        </is>
      </c>
      <c r="D98" s="5" t="inlineStr"/>
      <c r="E98" s="6" t="n">
        <v>12</v>
      </c>
      <c r="F98" s="5" t="n"/>
      <c r="G98" s="5" t="n"/>
      <c r="H98" s="5" t="n"/>
      <c r="I98" s="5" t="n"/>
      <c r="J98" s="7">
        <f>IF(AND(N(F98)&gt;0,N(I98)&gt;0),I98-F98-IF(N(G98)&gt;0,0.5,0)-IF(N(H98)&gt;0,0.5,0),0)</f>
        <v/>
      </c>
      <c r="K98" s="5" t="n"/>
      <c r="L98" s="7">
        <f>MIN(J98,8.0)</f>
        <v/>
      </c>
      <c r="M98" s="7">
        <f>MAX(0,MIN(J98,12)-8.0)</f>
        <v/>
      </c>
      <c r="N98" s="7">
        <f>MAX(0,J98-12)</f>
        <v/>
      </c>
      <c r="O98" s="5" t="n"/>
      <c r="P98" s="6">
        <f>E98*(L98+M98*1.5+N98*2+O98*3+N(K98))</f>
        <v/>
      </c>
      <c r="Q98" s="6" t="n">
        <v>216</v>
      </c>
      <c r="R98" s="6">
        <f>Q98-P98</f>
        <v/>
      </c>
    </row>
    <row r="99">
      <c r="A99" s="5" t="inlineStr">
        <is>
          <t>2012</t>
        </is>
      </c>
      <c r="B99" s="5" t="inlineStr"/>
      <c r="C99" s="5" t="inlineStr">
        <is>
          <t>SETPA#3</t>
        </is>
      </c>
      <c r="D99" s="5" t="inlineStr"/>
      <c r="E99" s="6" t="n">
        <v>12</v>
      </c>
      <c r="F99" s="5" t="n"/>
      <c r="G99" s="5" t="n"/>
      <c r="H99" s="5" t="n"/>
      <c r="I99" s="5" t="n"/>
      <c r="J99" s="7">
        <f>IF(AND(N(F99)&gt;0,N(I99)&gt;0),I99-F99-IF(N(G99)&gt;0,0.5,0)-IF(N(H99)&gt;0,0.5,0),0)</f>
        <v/>
      </c>
      <c r="K99" s="5" t="n"/>
      <c r="L99" s="7">
        <f>MIN(J99,8.0)</f>
        <v/>
      </c>
      <c r="M99" s="7">
        <f>MAX(0,MIN(J99,12)-8.0)</f>
        <v/>
      </c>
      <c r="N99" s="7">
        <f>MAX(0,J99-12)</f>
        <v/>
      </c>
      <c r="O99" s="5" t="n"/>
      <c r="P99" s="6">
        <f>E99*(L99+M99*1.5+N99*2+O99*3+N(K99))</f>
        <v/>
      </c>
      <c r="Q99" s="6" t="n">
        <v>216</v>
      </c>
      <c r="R99" s="6">
        <f>Q99-P99</f>
        <v/>
      </c>
    </row>
    <row r="100">
      <c r="A100" s="5" t="inlineStr">
        <is>
          <t>2012</t>
        </is>
      </c>
      <c r="B100" s="5" t="inlineStr"/>
      <c r="C100" s="5" t="inlineStr">
        <is>
          <t>SETPA#4</t>
        </is>
      </c>
      <c r="D100" s="5" t="inlineStr"/>
      <c r="E100" s="6" t="n">
        <v>12</v>
      </c>
      <c r="F100" s="5" t="n"/>
      <c r="G100" s="5" t="n"/>
      <c r="H100" s="5" t="n"/>
      <c r="I100" s="5" t="n"/>
      <c r="J100" s="7">
        <f>IF(AND(N(F100)&gt;0,N(I100)&gt;0),I100-F100-IF(N(G100)&gt;0,0.5,0)-IF(N(H100)&gt;0,0.5,0),0)</f>
        <v/>
      </c>
      <c r="K100" s="5" t="n"/>
      <c r="L100" s="7">
        <f>MIN(J100,8.0)</f>
        <v/>
      </c>
      <c r="M100" s="7">
        <f>MAX(0,MIN(J100,12)-8.0)</f>
        <v/>
      </c>
      <c r="N100" s="7">
        <f>MAX(0,J100-12)</f>
        <v/>
      </c>
      <c r="O100" s="5" t="n"/>
      <c r="P100" s="6">
        <f>E100*(L100+M100*1.5+N100*2+O100*3+N(K100))</f>
        <v/>
      </c>
      <c r="Q100" s="6" t="n">
        <v>216</v>
      </c>
      <c r="R100" s="6">
        <f>Q100-P100</f>
        <v/>
      </c>
    </row>
    <row r="101">
      <c r="P101" s="2" t="inlineStr">
        <is>
          <t>SETSTAFFASSISTANTS LABOR</t>
        </is>
      </c>
      <c r="R101" s="8">
        <f>SUM(R97:R100)</f>
        <v/>
      </c>
    </row>
    <row r="103">
      <c r="B103" s="2" t="inlineStr">
        <is>
          <t>PRODUCTIONACCOUNTANT</t>
        </is>
      </c>
    </row>
    <row r="104">
      <c r="A104" s="5" t="inlineStr">
        <is>
          <t>2013</t>
        </is>
      </c>
      <c r="B104" s="5" t="inlineStr">
        <is>
          <t>Joel Tokarsky</t>
        </is>
      </c>
      <c r="C104" s="5" t="inlineStr">
        <is>
          <t>PRODUCTIONACCOUNTANT</t>
        </is>
      </c>
      <c r="D104" s="5" t="inlineStr">
        <is>
          <t>Local871</t>
        </is>
      </c>
      <c r="E104" s="6" t="n">
        <v>740</v>
      </c>
      <c r="F104" s="5" t="n"/>
      <c r="G104" s="5" t="n"/>
      <c r="H104" s="5" t="n"/>
      <c r="I104" s="5" t="n"/>
      <c r="J104" s="7">
        <f>IF(AND(N(F104)&gt;0,N(I104)&gt;0),I104-F104-IF(N(G104)&gt;0,0.5,0)-IF(N(H104)&gt;0,0.5,0),0)</f>
        <v/>
      </c>
      <c r="K104" s="5" t="n"/>
      <c r="L104" s="7">
        <f>MIN(J104,10.0)</f>
        <v/>
      </c>
      <c r="M104" s="7">
        <f>MAX(0,MIN(J104,12)-10.0)</f>
        <v/>
      </c>
      <c r="N104" s="7">
        <f>MAX(0,J104-12)</f>
        <v/>
      </c>
      <c r="O104" s="5" t="n"/>
      <c r="P104" s="6">
        <f>E104*(L104+M104*1.5+N104*2+O104*3+N(K104))</f>
        <v/>
      </c>
      <c r="Q104" s="6" t="n">
        <v>740</v>
      </c>
      <c r="R104" s="6">
        <f>Q104-P104</f>
        <v/>
      </c>
    </row>
    <row r="105">
      <c r="P105" s="2" t="inlineStr">
        <is>
          <t>PRODUCTIONACCOUNTANT LABOR</t>
        </is>
      </c>
      <c r="R105" s="8">
        <f>SUM(R104:R104)</f>
        <v/>
      </c>
    </row>
    <row r="107">
      <c r="B107" s="2" t="inlineStr">
        <is>
          <t>ASSTPRODUCTIONACCOUNTANTS</t>
        </is>
      </c>
    </row>
    <row r="108">
      <c r="A108" s="5" t="inlineStr">
        <is>
          <t>2014</t>
        </is>
      </c>
      <c r="B108" s="5" t="inlineStr">
        <is>
          <t>Co-Co Aiello</t>
        </is>
      </c>
      <c r="C108" s="5" t="inlineStr">
        <is>
          <t>1STASSTACCT</t>
        </is>
      </c>
      <c r="D108" s="5" t="inlineStr">
        <is>
          <t>Local871</t>
        </is>
      </c>
      <c r="E108" s="6" t="n">
        <v>480</v>
      </c>
      <c r="F108" s="5" t="n"/>
      <c r="G108" s="5" t="n"/>
      <c r="H108" s="5" t="n"/>
      <c r="I108" s="5" t="n"/>
      <c r="J108" s="7">
        <f>IF(AND(N(F108)&gt;0,N(I108)&gt;0),I108-F108-IF(N(G108)&gt;0,0.5,0)-IF(N(H108)&gt;0,0.5,0),0)</f>
        <v/>
      </c>
      <c r="K108" s="5" t="n"/>
      <c r="L108" s="7">
        <f>MIN(J108,10.0)</f>
        <v/>
      </c>
      <c r="M108" s="7">
        <f>MAX(0,MIN(J108,12)-10.0)</f>
        <v/>
      </c>
      <c r="N108" s="7">
        <f>MAX(0,J108-12)</f>
        <v/>
      </c>
      <c r="O108" s="5" t="n"/>
      <c r="P108" s="6">
        <f>E108*(L108+M108*1.5+N108*2+O108*3+N(K108))</f>
        <v/>
      </c>
      <c r="Q108" s="6" t="n">
        <v>480</v>
      </c>
      <c r="R108" s="6">
        <f>Q108-P108</f>
        <v/>
      </c>
    </row>
    <row r="109">
      <c r="A109" s="5" t="inlineStr">
        <is>
          <t>2014</t>
        </is>
      </c>
      <c r="B109" s="5" t="inlineStr">
        <is>
          <t>Steve Goldstein</t>
        </is>
      </c>
      <c r="C109" s="5" t="inlineStr">
        <is>
          <t>PAYROLLACCT</t>
        </is>
      </c>
      <c r="D109" s="5" t="inlineStr">
        <is>
          <t>Local871</t>
        </is>
      </c>
      <c r="E109" s="6" t="n">
        <v>420</v>
      </c>
      <c r="F109" s="5" t="n"/>
      <c r="G109" s="5" t="n"/>
      <c r="H109" s="5" t="n"/>
      <c r="I109" s="5" t="n"/>
      <c r="J109" s="7">
        <f>IF(AND(N(F109)&gt;0,N(I109)&gt;0),I109-F109-IF(N(G109)&gt;0,0.5,0)-IF(N(H109)&gt;0,0.5,0),0)</f>
        <v/>
      </c>
      <c r="K109" s="5" t="n"/>
      <c r="L109" s="7">
        <f>MIN(J109,10.0)</f>
        <v/>
      </c>
      <c r="M109" s="7">
        <f>MAX(0,MIN(J109,12)-10.0)</f>
        <v/>
      </c>
      <c r="N109" s="7">
        <f>MAX(0,J109-12)</f>
        <v/>
      </c>
      <c r="O109" s="5" t="n"/>
      <c r="P109" s="6">
        <f>E109*(L109+M109*1.5+N109*2+O109*3+N(K109))</f>
        <v/>
      </c>
      <c r="Q109" s="6" t="n">
        <v>420</v>
      </c>
      <c r="R109" s="6">
        <f>Q109-P109</f>
        <v/>
      </c>
    </row>
    <row r="110">
      <c r="P110" s="2" t="inlineStr">
        <is>
          <t>ASSTPRODUCTIONACCOUNTANTS LABOR</t>
        </is>
      </c>
      <c r="R110" s="8">
        <f>SUM(R108:R109)</f>
        <v/>
      </c>
    </row>
    <row r="112">
      <c r="B112" s="2" t="inlineStr">
        <is>
          <t>CONSTRUCTIONCOORDINATOR</t>
        </is>
      </c>
    </row>
    <row r="113">
      <c r="A113" s="5" t="inlineStr">
        <is>
          <t>2302</t>
        </is>
      </c>
      <c r="B113" s="5" t="inlineStr">
        <is>
          <t>Drew Rebelin</t>
        </is>
      </c>
      <c r="C113" s="5" t="inlineStr">
        <is>
          <t>CONSTCOORDINATOR</t>
        </is>
      </c>
      <c r="D113" s="5" t="inlineStr">
        <is>
          <t>Local44</t>
        </is>
      </c>
      <c r="E113" s="6" t="n">
        <v>400</v>
      </c>
      <c r="F113" s="5" t="n"/>
      <c r="G113" s="5" t="n"/>
      <c r="H113" s="5" t="n"/>
      <c r="I113" s="5" t="n"/>
      <c r="J113" s="7">
        <f>IF(AND(N(F113)&gt;0,N(I113)&gt;0),I113-F113-IF(N(G113)&gt;0,0.5,0)-IF(N(H113)&gt;0,0.5,0),0)</f>
        <v/>
      </c>
      <c r="K113" s="5" t="n"/>
      <c r="L113" s="7">
        <f>MIN(J113,10.0)</f>
        <v/>
      </c>
      <c r="M113" s="7">
        <f>MAX(0,MIN(J113,12)-10.0)</f>
        <v/>
      </c>
      <c r="N113" s="7">
        <f>MAX(0,J113-12)</f>
        <v/>
      </c>
      <c r="O113" s="5" t="n"/>
      <c r="P113" s="6">
        <f>E113*(L113+M113*1.5+N113*2+O113*3+N(K113))</f>
        <v/>
      </c>
      <c r="Q113" s="5" t="n"/>
      <c r="R113" s="6">
        <f>Q113-P113</f>
        <v/>
      </c>
    </row>
    <row r="114">
      <c r="P114" s="2" t="inlineStr">
        <is>
          <t>CONSTRUCTIONCOORDINATOR LABOR</t>
        </is>
      </c>
      <c r="R114" s="8">
        <f>SUM(R113:R113)</f>
        <v/>
      </c>
    </row>
    <row r="116">
      <c r="B116" s="2" t="inlineStr">
        <is>
          <t>PAINTFOREMAN</t>
        </is>
      </c>
    </row>
    <row r="117">
      <c r="A117" s="5" t="inlineStr">
        <is>
          <t>2304</t>
        </is>
      </c>
      <c r="B117" s="5" t="inlineStr">
        <is>
          <t>Kristeen Reimnitz</t>
        </is>
      </c>
      <c r="C117" s="5" t="inlineStr">
        <is>
          <t>PAINTER</t>
        </is>
      </c>
      <c r="D117" s="5" t="inlineStr">
        <is>
          <t>Local729</t>
        </is>
      </c>
      <c r="E117" s="6" t="n">
        <v>23.04</v>
      </c>
      <c r="F117" s="5" t="n"/>
      <c r="G117" s="5" t="n"/>
      <c r="H117" s="5" t="n"/>
      <c r="I117" s="5" t="n"/>
      <c r="J117" s="7">
        <f>IF(AND(N(F117)&gt;0,N(I117)&gt;0),I117-F117-IF(N(G117)&gt;0,0.5,0)-IF(N(H117)&gt;0,0.5,0),0)</f>
        <v/>
      </c>
      <c r="K117" s="5" t="n"/>
      <c r="L117" s="7">
        <f>MIN(J117,10.0)</f>
        <v/>
      </c>
      <c r="M117" s="7">
        <f>MAX(0,MIN(J117,12)-10.0)</f>
        <v/>
      </c>
      <c r="N117" s="7">
        <f>MAX(0,J117-12)</f>
        <v/>
      </c>
      <c r="O117" s="5" t="n"/>
      <c r="P117" s="6">
        <f>E117*(L117+M117*1.5+N117*2+O117*3+N(K117))</f>
        <v/>
      </c>
      <c r="Q117" s="5" t="n"/>
      <c r="R117" s="6">
        <f>Q117-P117</f>
        <v/>
      </c>
    </row>
    <row r="118">
      <c r="P118" s="2" t="inlineStr">
        <is>
          <t>PAINTFOREMAN LABOR</t>
        </is>
      </c>
      <c r="R118" s="8">
        <f>SUM(R117:R117)</f>
        <v/>
      </c>
    </row>
    <row r="120">
      <c r="B120" s="2" t="inlineStr">
        <is>
          <t>FIRSTAIDLABOR</t>
        </is>
      </c>
    </row>
    <row r="121">
      <c r="A121" s="5" t="inlineStr">
        <is>
          <t>2310</t>
        </is>
      </c>
      <c r="B121" s="5" t="inlineStr"/>
      <c r="C121" s="5" t="inlineStr">
        <is>
          <t>CONSTRUCTIONMEDIC</t>
        </is>
      </c>
      <c r="D121" s="5" t="inlineStr">
        <is>
          <t>Local80</t>
        </is>
      </c>
      <c r="E121" s="6" t="n">
        <v>23.04</v>
      </c>
      <c r="F121" s="5" t="n"/>
      <c r="G121" s="5" t="n"/>
      <c r="H121" s="5" t="n"/>
      <c r="I121" s="5" t="n"/>
      <c r="J121" s="7">
        <f>IF(AND(N(F121)&gt;0,N(I121)&gt;0),I121-F121-IF(N(G121)&gt;0,0.5,0)-IF(N(H121)&gt;0,0.5,0),0)</f>
        <v/>
      </c>
      <c r="K121" s="5" t="n"/>
      <c r="L121" s="7">
        <f>MIN(J121,10.0)</f>
        <v/>
      </c>
      <c r="M121" s="7">
        <f>MAX(0,MIN(J121,12)-10.0)</f>
        <v/>
      </c>
      <c r="N121" s="7">
        <f>MAX(0,J121-12)</f>
        <v/>
      </c>
      <c r="O121" s="5" t="n"/>
      <c r="P121" s="6">
        <f>E121*(L121+M121*1.5+N121*2+O121*3+N(K121))</f>
        <v/>
      </c>
      <c r="Q121" s="5" t="n"/>
      <c r="R121" s="6">
        <f>Q121-P121</f>
        <v/>
      </c>
    </row>
    <row r="122">
      <c r="P122" s="2" t="inlineStr">
        <is>
          <t>FIRSTAIDLABOR LABOR</t>
        </is>
      </c>
      <c r="R122" s="8">
        <f>SUM(R121:R121)</f>
        <v/>
      </c>
    </row>
    <row r="124">
      <c r="B124" s="2" t="inlineStr">
        <is>
          <t>KEYGRIP</t>
        </is>
      </c>
    </row>
    <row r="125">
      <c r="A125" s="5" t="inlineStr">
        <is>
          <t>2501</t>
        </is>
      </c>
      <c r="B125" s="5" t="inlineStr">
        <is>
          <t>Pat O'Mara</t>
        </is>
      </c>
      <c r="C125" s="5" t="inlineStr">
        <is>
          <t>KEYGRIP</t>
        </is>
      </c>
      <c r="D125" s="5" t="inlineStr">
        <is>
          <t>Local80</t>
        </is>
      </c>
      <c r="E125" s="6" t="n">
        <v>25.5</v>
      </c>
      <c r="F125" s="5" t="n"/>
      <c r="G125" s="5" t="n"/>
      <c r="H125" s="5" t="n"/>
      <c r="I125" s="5" t="n"/>
      <c r="J125" s="7">
        <f>IF(AND(N(F125)&gt;0,N(I125)&gt;0),I125-F125-IF(N(G125)&gt;0,0.5,0)-IF(N(H125)&gt;0,0.5,0),0)</f>
        <v/>
      </c>
      <c r="K125" s="5" t="n"/>
      <c r="L125" s="7">
        <f>MIN(J125,10.0)</f>
        <v/>
      </c>
      <c r="M125" s="7">
        <f>MAX(0,MIN(J125,12)-10.0)</f>
        <v/>
      </c>
      <c r="N125" s="7">
        <f>MAX(0,J125-12)</f>
        <v/>
      </c>
      <c r="O125" s="5" t="n"/>
      <c r="P125" s="6">
        <f>E125*(L125+M125*1.5+N125*2+O125*3+N(K125))</f>
        <v/>
      </c>
      <c r="Q125" s="6" t="n">
        <v>395.25</v>
      </c>
      <c r="R125" s="6">
        <f>Q125-P125</f>
        <v/>
      </c>
    </row>
    <row r="126">
      <c r="P126" s="2" t="inlineStr">
        <is>
          <t>KEYGRIP LABOR</t>
        </is>
      </c>
      <c r="R126" s="8">
        <f>SUM(R125:R125)</f>
        <v/>
      </c>
    </row>
    <row r="128">
      <c r="B128" s="2" t="inlineStr">
        <is>
          <t>BESTBOYGRIP</t>
        </is>
      </c>
    </row>
    <row r="129">
      <c r="A129" s="5" t="inlineStr">
        <is>
          <t>2502</t>
        </is>
      </c>
      <c r="B129" s="5" t="inlineStr">
        <is>
          <t>Aaron Fairley</t>
        </is>
      </c>
      <c r="C129" s="5" t="inlineStr">
        <is>
          <t>BESTBOYGRIP</t>
        </is>
      </c>
      <c r="D129" s="5" t="inlineStr">
        <is>
          <t>Local80</t>
        </is>
      </c>
      <c r="E129" s="6" t="n">
        <v>23.04</v>
      </c>
      <c r="F129" s="5" t="n"/>
      <c r="G129" s="5" t="n"/>
      <c r="H129" s="5" t="n"/>
      <c r="I129" s="5" t="n"/>
      <c r="J129" s="7">
        <f>IF(AND(N(F129)&gt;0,N(I129)&gt;0),I129-F129-IF(N(G129)&gt;0,0.5,0)-IF(N(H129)&gt;0,0.5,0),0)</f>
        <v/>
      </c>
      <c r="K129" s="5" t="n"/>
      <c r="L129" s="7">
        <f>MIN(J129,10.0)</f>
        <v/>
      </c>
      <c r="M129" s="7">
        <f>MAX(0,MIN(J129,12)-10.0)</f>
        <v/>
      </c>
      <c r="N129" s="7">
        <f>MAX(0,J129-12)</f>
        <v/>
      </c>
      <c r="O129" s="5" t="n"/>
      <c r="P129" s="6">
        <f>E129*(L129+M129*1.5+N129*2+O129*3+N(K129))</f>
        <v/>
      </c>
      <c r="Q129" s="6" t="n">
        <v>357.12</v>
      </c>
      <c r="R129" s="6">
        <f>Q129-P129</f>
        <v/>
      </c>
    </row>
    <row r="130">
      <c r="A130" s="5" t="inlineStr">
        <is>
          <t>2502</t>
        </is>
      </c>
      <c r="B130" s="5" t="inlineStr"/>
      <c r="C130" s="5" t="inlineStr">
        <is>
          <t>STUDIOBESTBOYGRIP</t>
        </is>
      </c>
      <c r="D130" s="5" t="inlineStr">
        <is>
          <t>Local80</t>
        </is>
      </c>
      <c r="E130" s="6" t="n">
        <v>43.05</v>
      </c>
      <c r="F130" s="5" t="n"/>
      <c r="G130" s="5" t="n"/>
      <c r="H130" s="5" t="n"/>
      <c r="I130" s="5" t="n"/>
      <c r="J130" s="7">
        <f>IF(AND(N(F130)&gt;0,N(I130)&gt;0),I130-F130-IF(N(G130)&gt;0,0.5,0)-IF(N(H130)&gt;0,0.5,0),0)</f>
        <v/>
      </c>
      <c r="K130" s="5" t="n"/>
      <c r="L130" s="7">
        <f>MIN(J130,10.0)</f>
        <v/>
      </c>
      <c r="M130" s="7">
        <f>MAX(0,MIN(J130,12)-10.0)</f>
        <v/>
      </c>
      <c r="N130" s="7">
        <f>MAX(0,J130-12)</f>
        <v/>
      </c>
      <c r="O130" s="5" t="n"/>
      <c r="P130" s="6">
        <f>E130*(L130+M130*1.5+N130*2+O130*3+N(K130))</f>
        <v/>
      </c>
      <c r="Q130" s="6" t="n">
        <v>667.27</v>
      </c>
      <c r="R130" s="6">
        <f>Q130-P130</f>
        <v/>
      </c>
    </row>
    <row r="131">
      <c r="P131" s="2" t="inlineStr">
        <is>
          <t>BESTBOYGRIP LABOR</t>
        </is>
      </c>
      <c r="R131" s="8">
        <f>SUM(R129:R130)</f>
        <v/>
      </c>
    </row>
    <row r="133">
      <c r="B133" s="2" t="inlineStr">
        <is>
          <t>DOLLYGRIP</t>
        </is>
      </c>
    </row>
    <row r="134">
      <c r="A134" s="5" t="inlineStr">
        <is>
          <t>2503</t>
        </is>
      </c>
      <c r="B134" s="5" t="inlineStr">
        <is>
          <t>Peter Weidenfeller</t>
        </is>
      </c>
      <c r="C134" s="5" t="inlineStr">
        <is>
          <t>"A"DOLLYGRIP</t>
        </is>
      </c>
      <c r="D134" s="5" t="inlineStr">
        <is>
          <t>Local80</t>
        </is>
      </c>
      <c r="E134" s="6" t="n">
        <v>23.04</v>
      </c>
      <c r="F134" s="5" t="n"/>
      <c r="G134" s="5" t="n"/>
      <c r="H134" s="5" t="n"/>
      <c r="I134" s="5" t="n"/>
      <c r="J134" s="7">
        <f>IF(AND(N(F134)&gt;0,N(I134)&gt;0),I134-F134-IF(N(G134)&gt;0,0.5,0)-IF(N(H134)&gt;0,0.5,0),0)</f>
        <v/>
      </c>
      <c r="K134" s="5" t="n"/>
      <c r="L134" s="7">
        <f>MIN(J134,10.0)</f>
        <v/>
      </c>
      <c r="M134" s="7">
        <f>MAX(0,MIN(J134,12)-10.0)</f>
        <v/>
      </c>
      <c r="N134" s="7">
        <f>MAX(0,J134-12)</f>
        <v/>
      </c>
      <c r="O134" s="5" t="n"/>
      <c r="P134" s="6">
        <f>E134*(L134+M134*1.5+N134*2+O134*3+N(K134))</f>
        <v/>
      </c>
      <c r="Q134" s="6" t="n">
        <v>357.12</v>
      </c>
      <c r="R134" s="6">
        <f>Q134-P134</f>
        <v/>
      </c>
    </row>
    <row r="135">
      <c r="P135" s="2" t="inlineStr">
        <is>
          <t>DOLLYGRIP LABOR</t>
        </is>
      </c>
      <c r="R135" s="8">
        <f>SUM(R134:R134)</f>
        <v/>
      </c>
    </row>
    <row r="137">
      <c r="B137" s="2" t="inlineStr">
        <is>
          <t>CRANEGRIPS</t>
        </is>
      </c>
    </row>
    <row r="138">
      <c r="A138" s="5" t="inlineStr">
        <is>
          <t>2504</t>
        </is>
      </c>
      <c r="B138" s="5" t="inlineStr"/>
      <c r="C138" s="5" t="inlineStr">
        <is>
          <t>CRANEOPERATOR</t>
        </is>
      </c>
      <c r="D138" s="5" t="inlineStr">
        <is>
          <t>Local80</t>
        </is>
      </c>
      <c r="E138" s="6" t="n">
        <v>792</v>
      </c>
      <c r="F138" s="5" t="n"/>
      <c r="G138" s="5" t="n"/>
      <c r="H138" s="5" t="n"/>
      <c r="I138" s="5" t="n"/>
      <c r="J138" s="7">
        <f>IF(AND(N(F138)&gt;0,N(I138)&gt;0),I138-F138-IF(N(G138)&gt;0,0.5,0)-IF(N(H138)&gt;0,0.5,0),0)</f>
        <v/>
      </c>
      <c r="K138" s="5" t="n"/>
      <c r="L138" s="7">
        <f>MIN(J138,10.0)</f>
        <v/>
      </c>
      <c r="M138" s="7">
        <f>MAX(0,MIN(J138,12)-10.0)</f>
        <v/>
      </c>
      <c r="N138" s="7">
        <f>MAX(0,J138-12)</f>
        <v/>
      </c>
      <c r="O138" s="5" t="n"/>
      <c r="P138" s="6">
        <f>E138*(L138+M138*1.5+N138*2+O138*3+N(K138))</f>
        <v/>
      </c>
      <c r="Q138" s="6" t="n">
        <v>924</v>
      </c>
      <c r="R138" s="6">
        <f>Q138-P138</f>
        <v/>
      </c>
    </row>
    <row r="139">
      <c r="A139" s="5" t="inlineStr">
        <is>
          <t>2504</t>
        </is>
      </c>
      <c r="B139" s="5" t="inlineStr"/>
      <c r="C139" s="5" t="inlineStr">
        <is>
          <t>CRANEASSISTANT</t>
        </is>
      </c>
      <c r="D139" s="5" t="inlineStr">
        <is>
          <t>Local80</t>
        </is>
      </c>
      <c r="E139" s="6" t="n">
        <v>660</v>
      </c>
      <c r="F139" s="5" t="n"/>
      <c r="G139" s="5" t="n"/>
      <c r="H139" s="5" t="n"/>
      <c r="I139" s="5" t="n"/>
      <c r="J139" s="7">
        <f>IF(AND(N(F139)&gt;0,N(I139)&gt;0),I139-F139-IF(N(G139)&gt;0,0.5,0)-IF(N(H139)&gt;0,0.5,0),0)</f>
        <v/>
      </c>
      <c r="K139" s="5" t="n"/>
      <c r="L139" s="7">
        <f>MIN(J139,10.0)</f>
        <v/>
      </c>
      <c r="M139" s="7">
        <f>MAX(0,MIN(J139,12)-10.0)</f>
        <v/>
      </c>
      <c r="N139" s="7">
        <f>MAX(0,J139-12)</f>
        <v/>
      </c>
      <c r="O139" s="5" t="n"/>
      <c r="P139" s="6">
        <f>E139*(L139+M139*1.5+N139*2+O139*3+N(K139))</f>
        <v/>
      </c>
      <c r="Q139" s="6" t="n">
        <v>770</v>
      </c>
      <c r="R139" s="6">
        <f>Q139-P139</f>
        <v/>
      </c>
    </row>
    <row r="140">
      <c r="P140" s="2" t="inlineStr">
        <is>
          <t>CRANEGRIPS LABOR</t>
        </is>
      </c>
      <c r="R140" s="8">
        <f>SUM(R138:R139)</f>
        <v/>
      </c>
    </row>
    <row r="142">
      <c r="B142" s="2" t="inlineStr">
        <is>
          <t>COMPANYGRIPS</t>
        </is>
      </c>
    </row>
    <row r="143">
      <c r="A143" s="5" t="inlineStr">
        <is>
          <t>2505</t>
        </is>
      </c>
      <c r="B143" s="5" t="inlineStr"/>
      <c r="C143" s="5" t="inlineStr">
        <is>
          <t>GRIP#1</t>
        </is>
      </c>
      <c r="D143" s="5" t="inlineStr">
        <is>
          <t>Local80</t>
        </is>
      </c>
      <c r="E143" s="6" t="n">
        <v>20.57</v>
      </c>
      <c r="F143" s="5" t="n"/>
      <c r="G143" s="5" t="n"/>
      <c r="H143" s="5" t="n"/>
      <c r="I143" s="5" t="n"/>
      <c r="J143" s="7">
        <f>IF(AND(N(F143)&gt;0,N(I143)&gt;0),I143-F143-IF(N(G143)&gt;0,0.5,0)-IF(N(H143)&gt;0,0.5,0),0)</f>
        <v/>
      </c>
      <c r="K143" s="5" t="n"/>
      <c r="L143" s="7">
        <f>MIN(J143,10.0)</f>
        <v/>
      </c>
      <c r="M143" s="7">
        <f>MAX(0,MIN(J143,12)-10.0)</f>
        <v/>
      </c>
      <c r="N143" s="7">
        <f>MAX(0,J143-12)</f>
        <v/>
      </c>
      <c r="O143" s="5" t="n"/>
      <c r="P143" s="6">
        <f>E143*(L143+M143*1.5+N143*2+O143*3+N(K143))</f>
        <v/>
      </c>
      <c r="Q143" s="6" t="n">
        <v>318.83</v>
      </c>
      <c r="R143" s="6">
        <f>Q143-P143</f>
        <v/>
      </c>
    </row>
    <row r="144">
      <c r="A144" s="5" t="inlineStr">
        <is>
          <t>2505</t>
        </is>
      </c>
      <c r="B144" s="5" t="inlineStr"/>
      <c r="C144" s="5" t="inlineStr">
        <is>
          <t>GRIP#2</t>
        </is>
      </c>
      <c r="D144" s="5" t="inlineStr">
        <is>
          <t>Local80</t>
        </is>
      </c>
      <c r="E144" s="6" t="n">
        <v>20.57</v>
      </c>
      <c r="F144" s="5" t="n"/>
      <c r="G144" s="5" t="n"/>
      <c r="H144" s="5" t="n"/>
      <c r="I144" s="5" t="n"/>
      <c r="J144" s="7">
        <f>IF(AND(N(F144)&gt;0,N(I144)&gt;0),I144-F144-IF(N(G144)&gt;0,0.5,0)-IF(N(H144)&gt;0,0.5,0),0)</f>
        <v/>
      </c>
      <c r="K144" s="5" t="n"/>
      <c r="L144" s="7">
        <f>MIN(J144,10.0)</f>
        <v/>
      </c>
      <c r="M144" s="7">
        <f>MAX(0,MIN(J144,12)-10.0)</f>
        <v/>
      </c>
      <c r="N144" s="7">
        <f>MAX(0,J144-12)</f>
        <v/>
      </c>
      <c r="O144" s="5" t="n"/>
      <c r="P144" s="6">
        <f>E144*(L144+M144*1.5+N144*2+O144*3+N(K144))</f>
        <v/>
      </c>
      <c r="Q144" s="6" t="n">
        <v>318.83</v>
      </c>
      <c r="R144" s="6">
        <f>Q144-P144</f>
        <v/>
      </c>
    </row>
    <row r="145">
      <c r="A145" s="5" t="inlineStr">
        <is>
          <t>2505</t>
        </is>
      </c>
      <c r="B145" s="5" t="inlineStr"/>
      <c r="C145" s="5" t="inlineStr">
        <is>
          <t>GRIP#3</t>
        </is>
      </c>
      <c r="D145" s="5" t="inlineStr">
        <is>
          <t>Local80</t>
        </is>
      </c>
      <c r="E145" s="6" t="n">
        <v>20.57</v>
      </c>
      <c r="F145" s="5" t="n"/>
      <c r="G145" s="5" t="n"/>
      <c r="H145" s="5" t="n"/>
      <c r="I145" s="5" t="n"/>
      <c r="J145" s="7">
        <f>IF(AND(N(F145)&gt;0,N(I145)&gt;0),I145-F145-IF(N(G145)&gt;0,0.5,0)-IF(N(H145)&gt;0,0.5,0),0)</f>
        <v/>
      </c>
      <c r="K145" s="5" t="n"/>
      <c r="L145" s="7">
        <f>MIN(J145,10.0)</f>
        <v/>
      </c>
      <c r="M145" s="7">
        <f>MAX(0,MIN(J145,12)-10.0)</f>
        <v/>
      </c>
      <c r="N145" s="7">
        <f>MAX(0,J145-12)</f>
        <v/>
      </c>
      <c r="O145" s="5" t="n"/>
      <c r="P145" s="6">
        <f>E145*(L145+M145*1.5+N145*2+O145*3+N(K145))</f>
        <v/>
      </c>
      <c r="Q145" s="6" t="n">
        <v>318.83</v>
      </c>
      <c r="R145" s="6">
        <f>Q145-P145</f>
        <v/>
      </c>
    </row>
    <row r="146">
      <c r="P146" s="2" t="inlineStr">
        <is>
          <t>COMPANYGRIPS LABOR</t>
        </is>
      </c>
      <c r="R146" s="8">
        <f>SUM(R143:R145)</f>
        <v/>
      </c>
    </row>
    <row r="148">
      <c r="B148" s="2" t="inlineStr">
        <is>
          <t>OTHERLABOR</t>
        </is>
      </c>
    </row>
    <row r="149">
      <c r="A149" s="5" t="inlineStr">
        <is>
          <t>2506</t>
        </is>
      </c>
      <c r="B149" s="5" t="inlineStr"/>
      <c r="C149" s="5" t="inlineStr">
        <is>
          <t>GRIPMANDAYS&amp;RIGGINGMANDAYS</t>
        </is>
      </c>
      <c r="D149" s="5" t="inlineStr">
        <is>
          <t>Local80</t>
        </is>
      </c>
      <c r="E149" s="6" t="n">
        <v>20.57</v>
      </c>
      <c r="F149" s="5" t="n"/>
      <c r="G149" s="5" t="n"/>
      <c r="H149" s="5" t="n"/>
      <c r="I149" s="5" t="n"/>
      <c r="J149" s="7">
        <f>IF(AND(N(F149)&gt;0,N(I149)&gt;0),I149-F149-IF(N(G149)&gt;0,0.5,0)-IF(N(H149)&gt;0,0.5,0),0)</f>
        <v/>
      </c>
      <c r="K149" s="5" t="n"/>
      <c r="L149" s="7">
        <f>MIN(J149,10.0)</f>
        <v/>
      </c>
      <c r="M149" s="7">
        <f>MAX(0,MIN(J149,12)-10.0)</f>
        <v/>
      </c>
      <c r="N149" s="7">
        <f>MAX(0,J149-12)</f>
        <v/>
      </c>
      <c r="O149" s="5" t="n"/>
      <c r="P149" s="6">
        <f>E149*(L149+M149*1.5+N149*2+O149*3+N(K149))</f>
        <v/>
      </c>
      <c r="Q149" s="6" t="n">
        <v>318.83</v>
      </c>
      <c r="R149" s="6">
        <f>Q149-P149</f>
        <v/>
      </c>
    </row>
    <row r="150">
      <c r="P150" s="2" t="inlineStr">
        <is>
          <t>OTHERLABOR LABOR</t>
        </is>
      </c>
      <c r="R150" s="8">
        <f>SUM(R149:R149)</f>
        <v/>
      </c>
    </row>
    <row r="152">
      <c r="B152" s="2" t="inlineStr">
        <is>
          <t>STANDBYLABOR</t>
        </is>
      </c>
    </row>
    <row r="153">
      <c r="A153" s="5" t="inlineStr">
        <is>
          <t>2510</t>
        </is>
      </c>
      <c r="B153" s="5" t="inlineStr"/>
      <c r="C153" s="5" t="inlineStr">
        <is>
          <t>LAYOUTBOARD</t>
        </is>
      </c>
      <c r="D153" s="5" t="inlineStr">
        <is>
          <t>Local729</t>
        </is>
      </c>
      <c r="E153" s="6" t="n">
        <v>25.5</v>
      </c>
      <c r="F153" s="5" t="n"/>
      <c r="G153" s="5" t="n"/>
      <c r="H153" s="5" t="n"/>
      <c r="I153" s="5" t="n"/>
      <c r="J153" s="7">
        <f>IF(AND(N(F153)&gt;0,N(I153)&gt;0),I153-F153-IF(N(G153)&gt;0,0.5,0)-IF(N(H153)&gt;0,0.5,0),0)</f>
        <v/>
      </c>
      <c r="K153" s="5" t="n"/>
      <c r="L153" s="7">
        <f>MIN(J153,10.0)</f>
        <v/>
      </c>
      <c r="M153" s="7">
        <f>MAX(0,MIN(J153,12)-10.0)</f>
        <v/>
      </c>
      <c r="N153" s="7">
        <f>MAX(0,J153-12)</f>
        <v/>
      </c>
      <c r="O153" s="5" t="n"/>
      <c r="P153" s="6">
        <f>E153*(L153+M153*1.5+N153*2+O153*3+N(K153))</f>
        <v/>
      </c>
      <c r="Q153" s="6" t="n">
        <v>395.25</v>
      </c>
      <c r="R153" s="6">
        <f>Q153-P153</f>
        <v/>
      </c>
    </row>
    <row r="154">
      <c r="P154" s="2" t="inlineStr">
        <is>
          <t>STANDBYLABOR LABOR</t>
        </is>
      </c>
      <c r="R154" s="8">
        <f>SUM(R153:R153)</f>
        <v/>
      </c>
    </row>
    <row r="156">
      <c r="B156" s="2" t="inlineStr">
        <is>
          <t>SETCRAFTSERVICELABOR</t>
        </is>
      </c>
    </row>
    <row r="157">
      <c r="A157" s="5" t="inlineStr">
        <is>
          <t>2511</t>
        </is>
      </c>
      <c r="B157" s="5" t="inlineStr">
        <is>
          <t>Maurico Solis</t>
        </is>
      </c>
      <c r="C157" s="5" t="inlineStr">
        <is>
          <t>KEYCRAFTSERVICE</t>
        </is>
      </c>
      <c r="D157" s="5" t="inlineStr">
        <is>
          <t>Local80</t>
        </is>
      </c>
      <c r="E157" s="6" t="n">
        <v>25.5</v>
      </c>
      <c r="F157" s="5" t="n"/>
      <c r="G157" s="5" t="n"/>
      <c r="H157" s="5" t="n"/>
      <c r="I157" s="5" t="n"/>
      <c r="J157" s="7">
        <f>IF(AND(N(F157)&gt;0,N(I157)&gt;0),I157-F157-IF(N(G157)&gt;0,0.5,0)-IF(N(H157)&gt;0,0.5,0),0)</f>
        <v/>
      </c>
      <c r="K157" s="5" t="n"/>
      <c r="L157" s="7">
        <f>MIN(J157,10.0)</f>
        <v/>
      </c>
      <c r="M157" s="7">
        <f>MAX(0,MIN(J157,12)-10.0)</f>
        <v/>
      </c>
      <c r="N157" s="7">
        <f>MAX(0,J157-12)</f>
        <v/>
      </c>
      <c r="O157" s="5" t="n"/>
      <c r="P157" s="6">
        <f>E157*(L157+M157*1.5+N157*2+O157*3+N(K157))</f>
        <v/>
      </c>
      <c r="Q157" s="6" t="n">
        <v>439.87</v>
      </c>
      <c r="R157" s="6">
        <f>Q157-P157</f>
        <v/>
      </c>
    </row>
    <row r="158">
      <c r="A158" s="5" t="inlineStr">
        <is>
          <t>2511</t>
        </is>
      </c>
      <c r="B158" s="5" t="inlineStr"/>
      <c r="C158" s="5" t="inlineStr">
        <is>
          <t>ASSTCRAFTSERVICE</t>
        </is>
      </c>
      <c r="D158" s="5" t="inlineStr">
        <is>
          <t>Local80</t>
        </is>
      </c>
      <c r="E158" s="6" t="n">
        <v>23.04</v>
      </c>
      <c r="F158" s="5" t="n"/>
      <c r="G158" s="5" t="n"/>
      <c r="H158" s="5" t="n"/>
      <c r="I158" s="5" t="n"/>
      <c r="J158" s="7">
        <f>IF(AND(N(F158)&gt;0,N(I158)&gt;0),I158-F158-IF(N(G158)&gt;0,0.5,0)-IF(N(H158)&gt;0,0.5,0),0)</f>
        <v/>
      </c>
      <c r="K158" s="5" t="n"/>
      <c r="L158" s="7">
        <f>MIN(J158,10.0)</f>
        <v/>
      </c>
      <c r="M158" s="7">
        <f>MAX(0,MIN(J158,12)-10.0)</f>
        <v/>
      </c>
      <c r="N158" s="7">
        <f>MAX(0,J158-12)</f>
        <v/>
      </c>
      <c r="O158" s="5" t="n"/>
      <c r="P158" s="6">
        <f>E158*(L158+M158*1.5+N158*2+O158*3+N(K158))</f>
        <v/>
      </c>
      <c r="Q158" s="6" t="n">
        <v>397.43</v>
      </c>
      <c r="R158" s="6">
        <f>Q158-P158</f>
        <v/>
      </c>
    </row>
    <row r="159">
      <c r="P159" s="2" t="inlineStr">
        <is>
          <t>SETCRAFTSERVICELABOR LABOR</t>
        </is>
      </c>
      <c r="R159" s="8">
        <f>SUM(R157:R158)</f>
        <v/>
      </c>
    </row>
    <row r="161">
      <c r="B161" s="2" t="inlineStr">
        <is>
          <t>SETFIRSTAIDLABOR</t>
        </is>
      </c>
    </row>
    <row r="162">
      <c r="A162" s="5" t="inlineStr">
        <is>
          <t>2514</t>
        </is>
      </c>
      <c r="B162" s="5" t="inlineStr">
        <is>
          <t>Robert Hill</t>
        </is>
      </c>
      <c r="C162" s="5" t="inlineStr">
        <is>
          <t>SETMEDIC</t>
        </is>
      </c>
      <c r="D162" s="5" t="inlineStr">
        <is>
          <t>Local80</t>
        </is>
      </c>
      <c r="E162" s="6" t="n">
        <v>23.04</v>
      </c>
      <c r="F162" s="5" t="n"/>
      <c r="G162" s="5" t="n"/>
      <c r="H162" s="5" t="n"/>
      <c r="I162" s="5" t="n"/>
      <c r="J162" s="7">
        <f>IF(AND(N(F162)&gt;0,N(I162)&gt;0),I162-F162-IF(N(G162)&gt;0,0.5,0)-IF(N(H162)&gt;0,0.5,0),0)</f>
        <v/>
      </c>
      <c r="K162" s="5" t="n"/>
      <c r="L162" s="7">
        <f>MIN(J162,10.0)</f>
        <v/>
      </c>
      <c r="M162" s="7">
        <f>MAX(0,MIN(J162,12)-10.0)</f>
        <v/>
      </c>
      <c r="N162" s="7">
        <f>MAX(0,J162-12)</f>
        <v/>
      </c>
      <c r="O162" s="5" t="n"/>
      <c r="P162" s="6">
        <f>E162*(L162+M162*1.5+N162*2+O162*3+N(K162))</f>
        <v/>
      </c>
      <c r="Q162" s="6" t="n">
        <v>397.43</v>
      </c>
      <c r="R162" s="6">
        <f>Q162-P162</f>
        <v/>
      </c>
    </row>
    <row r="163">
      <c r="A163" s="5" t="inlineStr">
        <is>
          <t>2514</t>
        </is>
      </c>
      <c r="B163" s="5" t="inlineStr"/>
      <c r="C163" s="5" t="inlineStr">
        <is>
          <t>RIGGINGMEDICMANDAYS</t>
        </is>
      </c>
      <c r="D163" s="5" t="inlineStr">
        <is>
          <t>Local80</t>
        </is>
      </c>
      <c r="E163" s="6" t="n">
        <v>23.04</v>
      </c>
      <c r="F163" s="5" t="n"/>
      <c r="G163" s="5" t="n"/>
      <c r="H163" s="5" t="n"/>
      <c r="I163" s="5" t="n"/>
      <c r="J163" s="7">
        <f>IF(AND(N(F163)&gt;0,N(I163)&gt;0),I163-F163-IF(N(G163)&gt;0,0.5,0)-IF(N(H163)&gt;0,0.5,0),0)</f>
        <v/>
      </c>
      <c r="K163" s="5" t="n"/>
      <c r="L163" s="7">
        <f>MIN(J163,10.0)</f>
        <v/>
      </c>
      <c r="M163" s="7">
        <f>MAX(0,MIN(J163,12)-10.0)</f>
        <v/>
      </c>
      <c r="N163" s="7">
        <f>MAX(0,J163-12)</f>
        <v/>
      </c>
      <c r="O163" s="5" t="n"/>
      <c r="P163" s="6">
        <f>E163*(L163+M163*1.5+N163*2+O163*3+N(K163))</f>
        <v/>
      </c>
      <c r="Q163" s="5" t="n"/>
      <c r="R163" s="6">
        <f>Q163-P163</f>
        <v/>
      </c>
    </row>
    <row r="164">
      <c r="P164" s="2" t="inlineStr">
        <is>
          <t>SETFIRSTAIDLABOR LABOR</t>
        </is>
      </c>
      <c r="R164" s="8">
        <f>SUM(R162:R163)</f>
        <v/>
      </c>
    </row>
    <row r="166">
      <c r="B166" s="2" t="inlineStr">
        <is>
          <t>SFXCOORDINATOR</t>
        </is>
      </c>
    </row>
    <row r="167">
      <c r="A167" s="5" t="inlineStr">
        <is>
          <t>2601</t>
        </is>
      </c>
      <c r="B167" s="5" t="inlineStr">
        <is>
          <t>Zak Knight</t>
        </is>
      </c>
      <c r="C167" s="5" t="inlineStr">
        <is>
          <t>SPFXCOORDINATOR</t>
        </is>
      </c>
      <c r="D167" s="5" t="inlineStr">
        <is>
          <t>Local44</t>
        </is>
      </c>
      <c r="E167" s="6" t="n">
        <v>42</v>
      </c>
      <c r="F167" s="5" t="n"/>
      <c r="G167" s="5" t="n"/>
      <c r="H167" s="5" t="n"/>
      <c r="I167" s="5" t="n"/>
      <c r="J167" s="7">
        <f>IF(AND(N(F167)&gt;0,N(I167)&gt;0),I167-F167-IF(N(G167)&gt;0,0.5,0)-IF(N(H167)&gt;0,0.5,0),0)</f>
        <v/>
      </c>
      <c r="K167" s="5" t="n"/>
      <c r="L167" s="7">
        <f>MIN(J167,10.0)</f>
        <v/>
      </c>
      <c r="M167" s="7">
        <f>MAX(0,MIN(J167,12)-10.0)</f>
        <v/>
      </c>
      <c r="N167" s="7">
        <f>MAX(0,J167-12)</f>
        <v/>
      </c>
      <c r="O167" s="5" t="n"/>
      <c r="P167" s="6">
        <f>E167*(L167+M167*1.5+N167*2+O167*3+N(K167))</f>
        <v/>
      </c>
      <c r="Q167" s="6" t="n">
        <v>651</v>
      </c>
      <c r="R167" s="6">
        <f>Q167-P167</f>
        <v/>
      </c>
    </row>
    <row r="168">
      <c r="P168" s="2" t="inlineStr">
        <is>
          <t>SFXCOORDINATOR LABOR</t>
        </is>
      </c>
      <c r="R168" s="8">
        <f>SUM(R167:R167)</f>
        <v/>
      </c>
    </row>
    <row r="170">
      <c r="B170" s="2" t="inlineStr">
        <is>
          <t>SFXTECHMANDAYS</t>
        </is>
      </c>
    </row>
    <row r="171">
      <c r="A171" s="5" t="inlineStr">
        <is>
          <t>2609</t>
        </is>
      </c>
      <c r="B171" s="5" t="inlineStr"/>
      <c r="C171" s="5" t="inlineStr">
        <is>
          <t>SPFXTECHMANDAYS</t>
        </is>
      </c>
      <c r="D171" s="5" t="inlineStr">
        <is>
          <t>Local44</t>
        </is>
      </c>
      <c r="E171" s="6" t="n">
        <v>40</v>
      </c>
      <c r="F171" s="5" t="n"/>
      <c r="G171" s="5" t="n"/>
      <c r="H171" s="5" t="n"/>
      <c r="I171" s="5" t="n"/>
      <c r="J171" s="7">
        <f>IF(AND(N(F171)&gt;0,N(I171)&gt;0),I171-F171-IF(N(G171)&gt;0,0.5,0)-IF(N(H171)&gt;0,0.5,0),0)</f>
        <v/>
      </c>
      <c r="K171" s="5" t="n"/>
      <c r="L171" s="7">
        <f>MIN(J171,10.0)</f>
        <v/>
      </c>
      <c r="M171" s="7">
        <f>MAX(0,MIN(J171,12)-10.0)</f>
        <v/>
      </c>
      <c r="N171" s="7">
        <f>MAX(0,J171-12)</f>
        <v/>
      </c>
      <c r="O171" s="5" t="n"/>
      <c r="P171" s="6">
        <f>E171*(L171+M171*1.5+N171*2+O171*3+N(K171))</f>
        <v/>
      </c>
      <c r="Q171" s="6" t="n">
        <v>620</v>
      </c>
      <c r="R171" s="6">
        <f>Q171-P171</f>
        <v/>
      </c>
    </row>
    <row r="172">
      <c r="A172" s="5" t="inlineStr">
        <is>
          <t>2609</t>
        </is>
      </c>
      <c r="B172" s="5" t="inlineStr"/>
      <c r="C172" s="5" t="inlineStr">
        <is>
          <t>SPFXASSISTANTMANDAYS</t>
        </is>
      </c>
      <c r="D172" s="5" t="inlineStr">
        <is>
          <t>Local44</t>
        </is>
      </c>
      <c r="E172" s="6" t="n">
        <v>25.5</v>
      </c>
      <c r="F172" s="5" t="n"/>
      <c r="G172" s="5" t="n"/>
      <c r="H172" s="5" t="n"/>
      <c r="I172" s="5" t="n"/>
      <c r="J172" s="7">
        <f>IF(AND(N(F172)&gt;0,N(I172)&gt;0),I172-F172-IF(N(G172)&gt;0,0.5,0)-IF(N(H172)&gt;0,0.5,0),0)</f>
        <v/>
      </c>
      <c r="K172" s="5" t="n"/>
      <c r="L172" s="7">
        <f>MIN(J172,10.0)</f>
        <v/>
      </c>
      <c r="M172" s="7">
        <f>MAX(0,MIN(J172,12)-10.0)</f>
        <v/>
      </c>
      <c r="N172" s="7">
        <f>MAX(0,J172-12)</f>
        <v/>
      </c>
      <c r="O172" s="5" t="n"/>
      <c r="P172" s="6">
        <f>E172*(L172+M172*1.5+N172*2+O172*3+N(K172))</f>
        <v/>
      </c>
      <c r="Q172" s="6" t="n">
        <v>395.25</v>
      </c>
      <c r="R172" s="6">
        <f>Q172-P172</f>
        <v/>
      </c>
    </row>
    <row r="173">
      <c r="A173" s="5" t="inlineStr">
        <is>
          <t>2609</t>
        </is>
      </c>
      <c r="B173" s="5" t="inlineStr"/>
      <c r="C173" s="5" t="inlineStr">
        <is>
          <t>PYROMANDAYS</t>
        </is>
      </c>
      <c r="D173" s="5" t="inlineStr">
        <is>
          <t>Local44</t>
        </is>
      </c>
      <c r="E173" s="6" t="n">
        <v>68.18000000000001</v>
      </c>
      <c r="F173" s="5" t="n"/>
      <c r="G173" s="5" t="n"/>
      <c r="H173" s="5" t="n"/>
      <c r="I173" s="5" t="n"/>
      <c r="J173" s="7">
        <f>IF(AND(N(F173)&gt;0,N(I173)&gt;0),I173-F173-IF(N(G173)&gt;0,0.5,0)-IF(N(H173)&gt;0,0.5,0),0)</f>
        <v/>
      </c>
      <c r="K173" s="5" t="n"/>
      <c r="L173" s="7">
        <f>MIN(J173,10.0)</f>
        <v/>
      </c>
      <c r="M173" s="7">
        <f>MAX(0,MIN(J173,12)-10.0)</f>
        <v/>
      </c>
      <c r="N173" s="7">
        <f>MAX(0,J173-12)</f>
        <v/>
      </c>
      <c r="O173" s="5" t="n"/>
      <c r="P173" s="6">
        <f>E173*(L173+M173*1.5+N173*2+O173*3+N(K173))</f>
        <v/>
      </c>
      <c r="Q173" s="6" t="n">
        <v>749.98</v>
      </c>
      <c r="R173" s="6">
        <f>Q173-P173</f>
        <v/>
      </c>
    </row>
    <row r="174">
      <c r="P174" s="2" t="inlineStr">
        <is>
          <t>SFXTECHMANDAYS LABOR</t>
        </is>
      </c>
      <c r="R174" s="8">
        <f>SUM(R171:R173)</f>
        <v/>
      </c>
    </row>
    <row r="176">
      <c r="B176" s="2" t="inlineStr">
        <is>
          <t>SETDECORATOR</t>
        </is>
      </c>
    </row>
    <row r="177">
      <c r="A177" s="5" t="inlineStr">
        <is>
          <t>2701</t>
        </is>
      </c>
      <c r="B177" s="5" t="inlineStr">
        <is>
          <t>Sandy Skora</t>
        </is>
      </c>
      <c r="C177" s="5" t="inlineStr">
        <is>
          <t>SETDECORATOR</t>
        </is>
      </c>
      <c r="D177" s="5" t="inlineStr">
        <is>
          <t>Local44</t>
        </is>
      </c>
      <c r="E177" s="6" t="n">
        <v>400</v>
      </c>
      <c r="F177" s="5" t="n"/>
      <c r="G177" s="5" t="n"/>
      <c r="H177" s="5" t="n"/>
      <c r="I177" s="5" t="n"/>
      <c r="J177" s="7">
        <f>IF(AND(N(F177)&gt;0,N(I177)&gt;0),I177-F177-IF(N(G177)&gt;0,0.5,0)-IF(N(H177)&gt;0,0.5,0),0)</f>
        <v/>
      </c>
      <c r="K177" s="5" t="n"/>
      <c r="L177" s="7">
        <f>MIN(J177,10.0)</f>
        <v/>
      </c>
      <c r="M177" s="7">
        <f>MAX(0,MIN(J177,12)-10.0)</f>
        <v/>
      </c>
      <c r="N177" s="7">
        <f>MAX(0,J177-12)</f>
        <v/>
      </c>
      <c r="O177" s="5" t="n"/>
      <c r="P177" s="6">
        <f>E177*(L177+M177*1.5+N177*2+O177*3+N(K177))</f>
        <v/>
      </c>
      <c r="Q177" s="6" t="n">
        <v>400</v>
      </c>
      <c r="R177" s="6">
        <f>Q177-P177</f>
        <v/>
      </c>
    </row>
    <row r="178">
      <c r="P178" s="2" t="inlineStr">
        <is>
          <t>SETDECORATOR LABOR</t>
        </is>
      </c>
      <c r="R178" s="8">
        <f>SUM(R177:R177)</f>
        <v/>
      </c>
    </row>
    <row r="180">
      <c r="B180" s="2" t="inlineStr">
        <is>
          <t>LEADPERSON</t>
        </is>
      </c>
    </row>
    <row r="181">
      <c r="A181" s="5" t="inlineStr">
        <is>
          <t>2702</t>
        </is>
      </c>
      <c r="B181" s="5" t="inlineStr">
        <is>
          <t>Josh Richmond</t>
        </is>
      </c>
      <c r="C181" s="5" t="inlineStr">
        <is>
          <t>LEADPERSON</t>
        </is>
      </c>
      <c r="D181" s="5" t="inlineStr">
        <is>
          <t>Local44</t>
        </is>
      </c>
      <c r="E181" s="6" t="n">
        <v>23.04</v>
      </c>
      <c r="F181" s="5" t="n"/>
      <c r="G181" s="5" t="n"/>
      <c r="H181" s="5" t="n"/>
      <c r="I181" s="5" t="n"/>
      <c r="J181" s="7">
        <f>IF(AND(N(F181)&gt;0,N(I181)&gt;0),I181-F181-IF(N(G181)&gt;0,0.5,0)-IF(N(H181)&gt;0,0.5,0),0)</f>
        <v/>
      </c>
      <c r="K181" s="5" t="n"/>
      <c r="L181" s="7">
        <f>MIN(J181,10.0)</f>
        <v/>
      </c>
      <c r="M181" s="7">
        <f>MAX(0,MIN(J181,12)-10.0)</f>
        <v/>
      </c>
      <c r="N181" s="7">
        <f>MAX(0,J181-12)</f>
        <v/>
      </c>
      <c r="O181" s="5" t="n"/>
      <c r="P181" s="6">
        <f>E181*(L181+M181*1.5+N181*2+O181*3+N(K181))</f>
        <v/>
      </c>
      <c r="Q181" s="6" t="n">
        <v>322.56</v>
      </c>
      <c r="R181" s="6">
        <f>Q181-P181</f>
        <v/>
      </c>
    </row>
    <row r="182">
      <c r="P182" s="2" t="inlineStr">
        <is>
          <t>LEADPERSON LABOR</t>
        </is>
      </c>
      <c r="R182" s="8">
        <f>SUM(R181:R181)</f>
        <v/>
      </c>
    </row>
    <row r="184">
      <c r="B184" s="2" t="inlineStr">
        <is>
          <t>SWINGLABOR</t>
        </is>
      </c>
    </row>
    <row r="185">
      <c r="A185" s="5" t="inlineStr">
        <is>
          <t>2703</t>
        </is>
      </c>
      <c r="B185" s="5" t="inlineStr">
        <is>
          <t>Tim Dodge</t>
        </is>
      </c>
      <c r="C185" s="5" t="inlineStr">
        <is>
          <t>SWING#1</t>
        </is>
      </c>
      <c r="D185" s="5" t="inlineStr">
        <is>
          <t>Local44</t>
        </is>
      </c>
      <c r="E185" s="6" t="n">
        <v>20.57</v>
      </c>
      <c r="F185" s="5" t="n"/>
      <c r="G185" s="5" t="n"/>
      <c r="H185" s="5" t="n"/>
      <c r="I185" s="5" t="n"/>
      <c r="J185" s="7">
        <f>IF(AND(N(F185)&gt;0,N(I185)&gt;0),I185-F185-IF(N(G185)&gt;0,0.5,0)-IF(N(H185)&gt;0,0.5,0),0)</f>
        <v/>
      </c>
      <c r="K185" s="5" t="n"/>
      <c r="L185" s="7">
        <f>MIN(J185,10.0)</f>
        <v/>
      </c>
      <c r="M185" s="7">
        <f>MAX(0,MIN(J185,12)-10.0)</f>
        <v/>
      </c>
      <c r="N185" s="7">
        <f>MAX(0,J185-12)</f>
        <v/>
      </c>
      <c r="O185" s="5" t="n"/>
      <c r="P185" s="6">
        <f>E185*(L185+M185*1.5+N185*2+O185*3+N(K185))</f>
        <v/>
      </c>
      <c r="Q185" s="6" t="n">
        <v>287.98</v>
      </c>
      <c r="R185" s="6">
        <f>Q185-P185</f>
        <v/>
      </c>
    </row>
    <row r="186">
      <c r="A186" s="5" t="inlineStr">
        <is>
          <t>2703</t>
        </is>
      </c>
      <c r="B186" s="5" t="inlineStr"/>
      <c r="C186" s="5" t="inlineStr">
        <is>
          <t>SWING#2</t>
        </is>
      </c>
      <c r="D186" s="5" t="inlineStr">
        <is>
          <t>Local44</t>
        </is>
      </c>
      <c r="E186" s="6" t="n">
        <v>20.57</v>
      </c>
      <c r="F186" s="5" t="n"/>
      <c r="G186" s="5" t="n"/>
      <c r="H186" s="5" t="n"/>
      <c r="I186" s="5" t="n"/>
      <c r="J186" s="7">
        <f>IF(AND(N(F186)&gt;0,N(I186)&gt;0),I186-F186-IF(N(G186)&gt;0,0.5,0)-IF(N(H186)&gt;0,0.5,0),0)</f>
        <v/>
      </c>
      <c r="K186" s="5" t="n"/>
      <c r="L186" s="7">
        <f>MIN(J186,10.0)</f>
        <v/>
      </c>
      <c r="M186" s="7">
        <f>MAX(0,MIN(J186,12)-10.0)</f>
        <v/>
      </c>
      <c r="N186" s="7">
        <f>MAX(0,J186-12)</f>
        <v/>
      </c>
      <c r="O186" s="5" t="n"/>
      <c r="P186" s="6">
        <f>E186*(L186+M186*1.5+N186*2+O186*3+N(K186))</f>
        <v/>
      </c>
      <c r="Q186" s="6" t="n">
        <v>287.98</v>
      </c>
      <c r="R186" s="6">
        <f>Q186-P186</f>
        <v/>
      </c>
    </row>
    <row r="187">
      <c r="A187" s="5" t="inlineStr">
        <is>
          <t>2703</t>
        </is>
      </c>
      <c r="B187" s="5" t="inlineStr"/>
      <c r="C187" s="5" t="inlineStr">
        <is>
          <t>ADDITIONALSWINGMANDAYS</t>
        </is>
      </c>
      <c r="D187" s="5" t="inlineStr">
        <is>
          <t>Local44</t>
        </is>
      </c>
      <c r="E187" s="6" t="n">
        <v>20.57</v>
      </c>
      <c r="F187" s="5" t="n"/>
      <c r="G187" s="5" t="n"/>
      <c r="H187" s="5" t="n"/>
      <c r="I187" s="5" t="n"/>
      <c r="J187" s="7">
        <f>IF(AND(N(F187)&gt;0,N(I187)&gt;0),I187-F187-IF(N(G187)&gt;0,0.5,0)-IF(N(H187)&gt;0,0.5,0),0)</f>
        <v/>
      </c>
      <c r="K187" s="5" t="n"/>
      <c r="L187" s="7">
        <f>MIN(J187,10.0)</f>
        <v/>
      </c>
      <c r="M187" s="7">
        <f>MAX(0,MIN(J187,12)-10.0)</f>
        <v/>
      </c>
      <c r="N187" s="7">
        <f>MAX(0,J187-12)</f>
        <v/>
      </c>
      <c r="O187" s="5" t="n"/>
      <c r="P187" s="6">
        <f>E187*(L187+M187*1.5+N187*2+O187*3+N(K187))</f>
        <v/>
      </c>
      <c r="Q187" s="6" t="n">
        <v>287.98</v>
      </c>
      <c r="R187" s="6">
        <f>Q187-P187</f>
        <v/>
      </c>
    </row>
    <row r="188">
      <c r="P188" s="2" t="inlineStr">
        <is>
          <t>SWINGLABOR LABOR</t>
        </is>
      </c>
      <c r="R188" s="8">
        <f>SUM(R185:R187)</f>
        <v/>
      </c>
    </row>
    <row r="190">
      <c r="B190" s="2" t="inlineStr">
        <is>
          <t>ON-SETDRESSER</t>
        </is>
      </c>
    </row>
    <row r="191">
      <c r="A191" s="5" t="inlineStr">
        <is>
          <t>2705</t>
        </is>
      </c>
      <c r="B191" s="5" t="inlineStr">
        <is>
          <t>Khamisi Thurman</t>
        </is>
      </c>
      <c r="C191" s="5" t="inlineStr">
        <is>
          <t>ON-SETDRESSER</t>
        </is>
      </c>
      <c r="D191" s="5" t="inlineStr">
        <is>
          <t>Local44</t>
        </is>
      </c>
      <c r="E191" s="6" t="n">
        <v>20.57</v>
      </c>
      <c r="F191" s="5" t="n"/>
      <c r="G191" s="5" t="n"/>
      <c r="H191" s="5" t="n"/>
      <c r="I191" s="5" t="n"/>
      <c r="J191" s="7">
        <f>IF(AND(N(F191)&gt;0,N(I191)&gt;0),I191-F191-IF(N(G191)&gt;0,0.5,0)-IF(N(H191)&gt;0,0.5,0),0)</f>
        <v/>
      </c>
      <c r="K191" s="5" t="n"/>
      <c r="L191" s="7">
        <f>MIN(J191,10.0)</f>
        <v/>
      </c>
      <c r="M191" s="7">
        <f>MAX(0,MIN(J191,12)-10.0)</f>
        <v/>
      </c>
      <c r="N191" s="7">
        <f>MAX(0,J191-12)</f>
        <v/>
      </c>
      <c r="O191" s="5" t="n"/>
      <c r="P191" s="6">
        <f>E191*(L191+M191*1.5+N191*2+O191*3+N(K191))</f>
        <v/>
      </c>
      <c r="Q191" s="6" t="n">
        <v>318.83</v>
      </c>
      <c r="R191" s="6">
        <f>Q191-P191</f>
        <v/>
      </c>
    </row>
    <row r="192">
      <c r="P192" s="2" t="inlineStr">
        <is>
          <t>ON-SETDRESSER LABOR</t>
        </is>
      </c>
      <c r="R192" s="8">
        <f>SUM(R191:R191)</f>
        <v/>
      </c>
    </row>
    <row r="194">
      <c r="B194" s="2" t="inlineStr">
        <is>
          <t>BUYERS</t>
        </is>
      </c>
    </row>
    <row r="195">
      <c r="A195" s="5" t="inlineStr">
        <is>
          <t>2706</t>
        </is>
      </c>
      <c r="B195" s="5" t="inlineStr">
        <is>
          <t>Sarah Hickman</t>
        </is>
      </c>
      <c r="C195" s="5" t="inlineStr">
        <is>
          <t>BUYER</t>
        </is>
      </c>
      <c r="D195" s="5" t="inlineStr">
        <is>
          <t>Local44</t>
        </is>
      </c>
      <c r="E195" s="6" t="n">
        <v>23.04</v>
      </c>
      <c r="F195" s="5" t="n"/>
      <c r="G195" s="5" t="n"/>
      <c r="H195" s="5" t="n"/>
      <c r="I195" s="5" t="n"/>
      <c r="J195" s="7">
        <f>IF(AND(N(F195)&gt;0,N(I195)&gt;0),I195-F195-IF(N(G195)&gt;0,0.5,0)-IF(N(H195)&gt;0,0.5,0),0)</f>
        <v/>
      </c>
      <c r="K195" s="5" t="n"/>
      <c r="L195" s="7">
        <f>MIN(J195,10.0)</f>
        <v/>
      </c>
      <c r="M195" s="7">
        <f>MAX(0,MIN(J195,12)-10.0)</f>
        <v/>
      </c>
      <c r="N195" s="7">
        <f>MAX(0,J195-12)</f>
        <v/>
      </c>
      <c r="O195" s="5" t="n"/>
      <c r="P195" s="6">
        <f>E195*(L195+M195*1.5+N195*2+O195*3+N(K195))</f>
        <v/>
      </c>
      <c r="Q195" s="5" t="n"/>
      <c r="R195" s="6">
        <f>Q195-P195</f>
        <v/>
      </c>
    </row>
    <row r="196">
      <c r="P196" s="2" t="inlineStr">
        <is>
          <t>BUYERS LABOR</t>
        </is>
      </c>
      <c r="R196" s="8">
        <f>SUM(R195:R195)</f>
        <v/>
      </c>
    </row>
    <row r="198">
      <c r="B198" s="2" t="inlineStr">
        <is>
          <t>PROPMASTER</t>
        </is>
      </c>
    </row>
    <row r="199">
      <c r="A199" s="5" t="inlineStr">
        <is>
          <t>2801</t>
        </is>
      </c>
      <c r="B199" s="5" t="inlineStr">
        <is>
          <t>Annie Brandt</t>
        </is>
      </c>
      <c r="C199" s="5" t="inlineStr">
        <is>
          <t>PROPMASTER</t>
        </is>
      </c>
      <c r="D199" s="5" t="inlineStr">
        <is>
          <t>Local44</t>
        </is>
      </c>
      <c r="E199" s="6" t="n">
        <v>25.5</v>
      </c>
      <c r="F199" s="5" t="n"/>
      <c r="G199" s="5" t="n"/>
      <c r="H199" s="5" t="n"/>
      <c r="I199" s="5" t="n"/>
      <c r="J199" s="7">
        <f>IF(AND(N(F199)&gt;0,N(I199)&gt;0),I199-F199-IF(N(G199)&gt;0,0.5,0)-IF(N(H199)&gt;0,0.5,0),0)</f>
        <v/>
      </c>
      <c r="K199" s="5" t="n"/>
      <c r="L199" s="7">
        <f>MIN(J199,10.0)</f>
        <v/>
      </c>
      <c r="M199" s="7">
        <f>MAX(0,MIN(J199,12)-10.0)</f>
        <v/>
      </c>
      <c r="N199" s="7">
        <f>MAX(0,J199-12)</f>
        <v/>
      </c>
      <c r="O199" s="5" t="n"/>
      <c r="P199" s="6">
        <f>E199*(L199+M199*1.5+N199*2+O199*3+N(K199))</f>
        <v/>
      </c>
      <c r="Q199" s="6" t="n">
        <v>395.25</v>
      </c>
      <c r="R199" s="6">
        <f>Q199-P199</f>
        <v/>
      </c>
    </row>
    <row r="200">
      <c r="P200" s="2" t="inlineStr">
        <is>
          <t>PROPMASTER LABOR</t>
        </is>
      </c>
      <c r="R200" s="8">
        <f>SUM(R199:R199)</f>
        <v/>
      </c>
    </row>
    <row r="202">
      <c r="B202" s="2" t="inlineStr">
        <is>
          <t>ASSTPROPMASTER</t>
        </is>
      </c>
    </row>
    <row r="203">
      <c r="A203" s="5" t="inlineStr">
        <is>
          <t>2802</t>
        </is>
      </c>
      <c r="B203" s="5" t="inlineStr">
        <is>
          <t>Nate Bakes</t>
        </is>
      </c>
      <c r="C203" s="5" t="inlineStr">
        <is>
          <t>ASSTPROPMASTER</t>
        </is>
      </c>
      <c r="D203" s="5" t="inlineStr">
        <is>
          <t>Local44</t>
        </is>
      </c>
      <c r="E203" s="6" t="n">
        <v>23.04</v>
      </c>
      <c r="F203" s="5" t="n"/>
      <c r="G203" s="5" t="n"/>
      <c r="H203" s="5" t="n"/>
      <c r="I203" s="5" t="n"/>
      <c r="J203" s="7">
        <f>IF(AND(N(F203)&gt;0,N(I203)&gt;0),I203-F203-IF(N(G203)&gt;0,0.5,0)-IF(N(H203)&gt;0,0.5,0),0)</f>
        <v/>
      </c>
      <c r="K203" s="5" t="n"/>
      <c r="L203" s="7">
        <f>MIN(J203,10.0)</f>
        <v/>
      </c>
      <c r="M203" s="7">
        <f>MAX(0,MIN(J203,12)-10.0)</f>
        <v/>
      </c>
      <c r="N203" s="7">
        <f>MAX(0,J203-12)</f>
        <v/>
      </c>
      <c r="O203" s="5" t="n"/>
      <c r="P203" s="6">
        <f>E203*(L203+M203*1.5+N203*2+O203*3+N(K203))</f>
        <v/>
      </c>
      <c r="Q203" s="6" t="n">
        <v>357.12</v>
      </c>
      <c r="R203" s="6">
        <f>Q203-P203</f>
        <v/>
      </c>
    </row>
    <row r="204">
      <c r="P204" s="2" t="inlineStr">
        <is>
          <t>ASSTPROPMASTER LABOR</t>
        </is>
      </c>
      <c r="R204" s="8">
        <f>SUM(R203:R203)</f>
        <v/>
      </c>
    </row>
    <row r="206">
      <c r="B206" s="2" t="inlineStr">
        <is>
          <t>COSTUMEDESIGNER</t>
        </is>
      </c>
    </row>
    <row r="207">
      <c r="A207" s="5" t="inlineStr">
        <is>
          <t>2901</t>
        </is>
      </c>
      <c r="B207" s="5" t="inlineStr">
        <is>
          <t>Megan Spatz</t>
        </is>
      </c>
      <c r="C207" s="5" t="inlineStr">
        <is>
          <t>COSTUMEDESIGNER</t>
        </is>
      </c>
      <c r="D207" s="5" t="inlineStr">
        <is>
          <t>Local892</t>
        </is>
      </c>
      <c r="E207" s="6" t="n">
        <v>540</v>
      </c>
      <c r="F207" s="5" t="n"/>
      <c r="G207" s="5" t="n"/>
      <c r="H207" s="5" t="n"/>
      <c r="I207" s="5" t="n"/>
      <c r="J207" s="7">
        <f>IF(AND(N(F207)&gt;0,N(I207)&gt;0),I207-F207-IF(N(G207)&gt;0,0.5,0)-IF(N(H207)&gt;0,0.5,0),0)</f>
        <v/>
      </c>
      <c r="K207" s="5" t="n"/>
      <c r="L207" s="7">
        <f>MIN(J207,8.0)</f>
        <v/>
      </c>
      <c r="M207" s="7">
        <f>MAX(0,MIN(J207,12)-8.0)</f>
        <v/>
      </c>
      <c r="N207" s="7">
        <f>MAX(0,J207-12)</f>
        <v/>
      </c>
      <c r="O207" s="5" t="n"/>
      <c r="P207" s="6">
        <f>E207*(L207+M207*1.5+N207*2+O207*3+N(K207))</f>
        <v/>
      </c>
      <c r="Q207" s="6" t="n">
        <v>540</v>
      </c>
      <c r="R207" s="6">
        <f>Q207-P207</f>
        <v/>
      </c>
    </row>
    <row r="208">
      <c r="P208" s="2" t="inlineStr">
        <is>
          <t>COSTUMEDESIGNER LABOR</t>
        </is>
      </c>
      <c r="R208" s="8">
        <f>SUM(R207:R207)</f>
        <v/>
      </c>
    </row>
    <row r="210">
      <c r="B210" s="2" t="inlineStr">
        <is>
          <t>COSTUMESUPERVISOR</t>
        </is>
      </c>
    </row>
    <row r="211">
      <c r="A211" s="5" t="inlineStr">
        <is>
          <t>2903</t>
        </is>
      </c>
      <c r="B211" s="5" t="inlineStr">
        <is>
          <t>Danielle Schuck</t>
        </is>
      </c>
      <c r="C211" s="5" t="inlineStr">
        <is>
          <t>COSTUMESUPERVISOR</t>
        </is>
      </c>
      <c r="D211" s="5" t="inlineStr">
        <is>
          <t>Local705</t>
        </is>
      </c>
      <c r="E211" s="6" t="n">
        <v>25.5</v>
      </c>
      <c r="F211" s="5" t="n"/>
      <c r="G211" s="5" t="n"/>
      <c r="H211" s="5" t="n"/>
      <c r="I211" s="5" t="n"/>
      <c r="J211" s="7">
        <f>IF(AND(N(F211)&gt;0,N(I211)&gt;0),I211-F211-IF(N(G211)&gt;0,0.5,0)-IF(N(H211)&gt;0,0.5,0),0)</f>
        <v/>
      </c>
      <c r="K211" s="5" t="n"/>
      <c r="L211" s="7">
        <f>MIN(J211,8.0)</f>
        <v/>
      </c>
      <c r="M211" s="7">
        <f>MAX(0,MIN(J211,12)-8.0)</f>
        <v/>
      </c>
      <c r="N211" s="7">
        <f>MAX(0,J211-12)</f>
        <v/>
      </c>
      <c r="O211" s="5" t="n"/>
      <c r="P211" s="6">
        <f>E211*(L211+M211*1.5+N211*2+O211*3+N(K211))</f>
        <v/>
      </c>
      <c r="Q211" s="6" t="n">
        <v>395.25</v>
      </c>
      <c r="R211" s="6">
        <f>Q211-P211</f>
        <v/>
      </c>
    </row>
    <row r="212">
      <c r="P212" s="2" t="inlineStr">
        <is>
          <t>COSTUMESUPERVISOR LABOR</t>
        </is>
      </c>
      <c r="R212" s="8">
        <f>SUM(R211:R211)</f>
        <v/>
      </c>
    </row>
    <row r="214">
      <c r="B214" s="2" t="inlineStr">
        <is>
          <t>SETCOSTUMERS</t>
        </is>
      </c>
    </row>
    <row r="215">
      <c r="A215" s="5" t="inlineStr">
        <is>
          <t>2905</t>
        </is>
      </c>
      <c r="B215" s="5" t="inlineStr">
        <is>
          <t>Monavie Tutop</t>
        </is>
      </c>
      <c r="C215" s="5" t="inlineStr">
        <is>
          <t>COSTUMER#1</t>
        </is>
      </c>
      <c r="D215" s="5" t="inlineStr">
        <is>
          <t>Local705</t>
        </is>
      </c>
      <c r="E215" s="6" t="n">
        <v>23.04</v>
      </c>
      <c r="F215" s="5" t="n"/>
      <c r="G215" s="5" t="n"/>
      <c r="H215" s="5" t="n"/>
      <c r="I215" s="5" t="n"/>
      <c r="J215" s="7">
        <f>IF(AND(N(F215)&gt;0,N(I215)&gt;0),I215-F215-IF(N(G215)&gt;0,0.5,0)-IF(N(H215)&gt;0,0.5,0),0)</f>
        <v/>
      </c>
      <c r="K215" s="5" t="n"/>
      <c r="L215" s="7">
        <f>MIN(J215,8.0)</f>
        <v/>
      </c>
      <c r="M215" s="7">
        <f>MAX(0,MIN(J215,12)-8.0)</f>
        <v/>
      </c>
      <c r="N215" s="7">
        <f>MAX(0,J215-12)</f>
        <v/>
      </c>
      <c r="O215" s="5" t="n"/>
      <c r="P215" s="6">
        <f>E215*(L215+M215*1.5+N215*2+O215*3+N(K215))</f>
        <v/>
      </c>
      <c r="Q215" s="6" t="n">
        <v>397.43</v>
      </c>
      <c r="R215" s="6">
        <f>Q215-P215</f>
        <v/>
      </c>
    </row>
    <row r="216">
      <c r="A216" s="5" t="inlineStr">
        <is>
          <t>2905</t>
        </is>
      </c>
      <c r="B216" s="5" t="inlineStr"/>
      <c r="C216" s="5" t="inlineStr">
        <is>
          <t>COSTUMER#2</t>
        </is>
      </c>
      <c r="D216" s="5" t="inlineStr">
        <is>
          <t>Local705</t>
        </is>
      </c>
      <c r="E216" s="6" t="n">
        <v>20.57</v>
      </c>
      <c r="F216" s="5" t="n"/>
      <c r="G216" s="5" t="n"/>
      <c r="H216" s="5" t="n"/>
      <c r="I216" s="5" t="n"/>
      <c r="J216" s="7">
        <f>IF(AND(N(F216)&gt;0,N(I216)&gt;0),I216-F216-IF(N(G216)&gt;0,0.5,0)-IF(N(H216)&gt;0,0.5,0),0)</f>
        <v/>
      </c>
      <c r="K216" s="5" t="n"/>
      <c r="L216" s="7">
        <f>MIN(J216,8.0)</f>
        <v/>
      </c>
      <c r="M216" s="7">
        <f>MAX(0,MIN(J216,12)-8.0)</f>
        <v/>
      </c>
      <c r="N216" s="7">
        <f>MAX(0,J216-12)</f>
        <v/>
      </c>
      <c r="O216" s="5" t="n"/>
      <c r="P216" s="6">
        <f>E216*(L216+M216*1.5+N216*2+O216*3+N(K216))</f>
        <v/>
      </c>
      <c r="Q216" s="6" t="n">
        <v>354.83</v>
      </c>
      <c r="R216" s="6">
        <f>Q216-P216</f>
        <v/>
      </c>
    </row>
    <row r="217">
      <c r="P217" s="2" t="inlineStr">
        <is>
          <t>SETCOSTUMERS LABOR</t>
        </is>
      </c>
      <c r="R217" s="8">
        <f>SUM(R215:R216)</f>
        <v/>
      </c>
    </row>
    <row r="219">
      <c r="B219" s="2" t="inlineStr">
        <is>
          <t>KEYMAKE-UP</t>
        </is>
      </c>
    </row>
    <row r="220">
      <c r="A220" s="5" t="inlineStr">
        <is>
          <t>3101</t>
        </is>
      </c>
      <c r="B220" s="5" t="inlineStr">
        <is>
          <t>Eleanor Sabaduquia</t>
        </is>
      </c>
      <c r="C220" s="5" t="inlineStr">
        <is>
          <t>KEYMAKEUPARTIST</t>
        </is>
      </c>
      <c r="D220" s="5" t="inlineStr">
        <is>
          <t>Local706</t>
        </is>
      </c>
      <c r="E220" s="6" t="n">
        <v>25.5</v>
      </c>
      <c r="F220" s="5" t="n"/>
      <c r="G220" s="5" t="n"/>
      <c r="H220" s="5" t="n"/>
      <c r="I220" s="5" t="n"/>
      <c r="J220" s="7">
        <f>IF(AND(N(F220)&gt;0,N(I220)&gt;0),I220-F220-IF(N(G220)&gt;0,0.5,0)-IF(N(H220)&gt;0,0.5,0),0)</f>
        <v/>
      </c>
      <c r="K220" s="5" t="n"/>
      <c r="L220" s="7">
        <f>MIN(J220,10.0)</f>
        <v/>
      </c>
      <c r="M220" s="7">
        <f>MAX(0,MIN(J220,12)-10.0)</f>
        <v/>
      </c>
      <c r="N220" s="7">
        <f>MAX(0,J220-12)</f>
        <v/>
      </c>
      <c r="O220" s="5" t="n"/>
      <c r="P220" s="6">
        <f>E220*(L220+M220*1.5+N220*2+O220*3+N(K220))</f>
        <v/>
      </c>
      <c r="Q220" s="6" t="n">
        <v>439.87</v>
      </c>
      <c r="R220" s="6">
        <f>Q220-P220</f>
        <v/>
      </c>
    </row>
    <row r="221">
      <c r="P221" s="2" t="inlineStr">
        <is>
          <t>KEYMAKE-UP LABOR</t>
        </is>
      </c>
      <c r="R221" s="8">
        <f>SUM(R220:R220)</f>
        <v/>
      </c>
    </row>
    <row r="223">
      <c r="B223" s="2" t="inlineStr">
        <is>
          <t>ASSTMAKE-UP</t>
        </is>
      </c>
    </row>
    <row r="224">
      <c r="A224" s="5" t="inlineStr">
        <is>
          <t>3102</t>
        </is>
      </c>
      <c r="B224" s="5" t="inlineStr">
        <is>
          <t>Yoko Nobushi</t>
        </is>
      </c>
      <c r="C224" s="5" t="inlineStr">
        <is>
          <t>ASSTMAKEUPARTIST#1</t>
        </is>
      </c>
      <c r="D224" s="5" t="inlineStr">
        <is>
          <t>Local706</t>
        </is>
      </c>
      <c r="E224" s="6" t="n">
        <v>23.04</v>
      </c>
      <c r="F224" s="5" t="n"/>
      <c r="G224" s="5" t="n"/>
      <c r="H224" s="5" t="n"/>
      <c r="I224" s="5" t="n"/>
      <c r="J224" s="7">
        <f>IF(AND(N(F224)&gt;0,N(I224)&gt;0),I224-F224-IF(N(G224)&gt;0,0.5,0)-IF(N(H224)&gt;0,0.5,0),0)</f>
        <v/>
      </c>
      <c r="K224" s="5" t="n"/>
      <c r="L224" s="7">
        <f>MIN(J224,10.0)</f>
        <v/>
      </c>
      <c r="M224" s="7">
        <f>MAX(0,MIN(J224,12)-10.0)</f>
        <v/>
      </c>
      <c r="N224" s="7">
        <f>MAX(0,J224-12)</f>
        <v/>
      </c>
      <c r="O224" s="5" t="n"/>
      <c r="P224" s="6">
        <f>E224*(L224+M224*1.5+N224*2+O224*3+N(K224))</f>
        <v/>
      </c>
      <c r="Q224" s="6" t="n">
        <v>397.43</v>
      </c>
      <c r="R224" s="6">
        <f>Q224-P224</f>
        <v/>
      </c>
    </row>
    <row r="225">
      <c r="P225" s="2" t="inlineStr">
        <is>
          <t>ASSTMAKE-UP LABOR</t>
        </is>
      </c>
      <c r="R225" s="8">
        <f>SUM(R224:R224)</f>
        <v/>
      </c>
    </row>
    <row r="227">
      <c r="B227" s="2" t="inlineStr">
        <is>
          <t>ADDITIONALMAKE-UPLABOR</t>
        </is>
      </c>
    </row>
    <row r="228">
      <c r="A228" s="5" t="inlineStr">
        <is>
          <t>3103</t>
        </is>
      </c>
      <c r="B228" s="5" t="inlineStr"/>
      <c r="C228" s="5" t="inlineStr">
        <is>
          <t>ADDLMAKEUPARTISTDAYS</t>
        </is>
      </c>
      <c r="D228" s="5" t="inlineStr">
        <is>
          <t>Local706</t>
        </is>
      </c>
      <c r="E228" s="6" t="n">
        <v>23.04</v>
      </c>
      <c r="F228" s="5" t="n"/>
      <c r="G228" s="5" t="n"/>
      <c r="H228" s="5" t="n"/>
      <c r="I228" s="5" t="n"/>
      <c r="J228" s="7">
        <f>IF(AND(N(F228)&gt;0,N(I228)&gt;0),I228-F228-IF(N(G228)&gt;0,0.5,0)-IF(N(H228)&gt;0,0.5,0),0)</f>
        <v/>
      </c>
      <c r="K228" s="5" t="n"/>
      <c r="L228" s="7">
        <f>MIN(J228,10.0)</f>
        <v/>
      </c>
      <c r="M228" s="7">
        <f>MAX(0,MIN(J228,12)-10.0)</f>
        <v/>
      </c>
      <c r="N228" s="7">
        <f>MAX(0,J228-12)</f>
        <v/>
      </c>
      <c r="O228" s="5" t="n"/>
      <c r="P228" s="6">
        <f>E228*(L228+M228*1.5+N228*2+O228*3+N(K228))</f>
        <v/>
      </c>
      <c r="Q228" s="6" t="n">
        <v>397.43</v>
      </c>
      <c r="R228" s="6">
        <f>Q228-P228</f>
        <v/>
      </c>
    </row>
    <row r="229">
      <c r="P229" s="2" t="inlineStr">
        <is>
          <t>ADDITIONALMAKE-UPLABOR LABOR</t>
        </is>
      </c>
      <c r="R229" s="8">
        <f>SUM(R228:R228)</f>
        <v/>
      </c>
    </row>
    <row r="231">
      <c r="B231" s="2" t="inlineStr">
        <is>
          <t>PROSTHETICS</t>
        </is>
      </c>
    </row>
    <row r="232">
      <c r="A232" s="5" t="inlineStr">
        <is>
          <t>3105</t>
        </is>
      </c>
      <c r="B232" s="5" t="inlineStr"/>
      <c r="C232" s="5" t="inlineStr">
        <is>
          <t>PROSTHETICMAKEUPARTIST</t>
        </is>
      </c>
      <c r="D232" s="5" t="inlineStr">
        <is>
          <t>Local706</t>
        </is>
      </c>
      <c r="E232" s="6" t="n">
        <v>25.5</v>
      </c>
      <c r="F232" s="5" t="n"/>
      <c r="G232" s="5" t="n"/>
      <c r="H232" s="5" t="n"/>
      <c r="I232" s="5" t="n"/>
      <c r="J232" s="7">
        <f>IF(AND(N(F232)&gt;0,N(I232)&gt;0),I232-F232-IF(N(G232)&gt;0,0.5,0)-IF(N(H232)&gt;0,0.5,0),0)</f>
        <v/>
      </c>
      <c r="K232" s="5" t="n"/>
      <c r="L232" s="7">
        <f>MIN(J232,10.0)</f>
        <v/>
      </c>
      <c r="M232" s="7">
        <f>MAX(0,MIN(J232,12)-10.0)</f>
        <v/>
      </c>
      <c r="N232" s="7">
        <f>MAX(0,J232-12)</f>
        <v/>
      </c>
      <c r="O232" s="5" t="n"/>
      <c r="P232" s="6">
        <f>E232*(L232+M232*1.5+N232*2+O232*3+N(K232))</f>
        <v/>
      </c>
      <c r="Q232" s="6" t="n">
        <v>439.87</v>
      </c>
      <c r="R232" s="6">
        <f>Q232-P232</f>
        <v/>
      </c>
    </row>
    <row r="233">
      <c r="A233" s="5" t="inlineStr">
        <is>
          <t>3105</t>
        </is>
      </c>
      <c r="B233" s="5" t="inlineStr"/>
      <c r="C233" s="5" t="inlineStr">
        <is>
          <t>LENSCONSULTANT</t>
        </is>
      </c>
      <c r="D233" s="5" t="inlineStr"/>
      <c r="E233" s="6" t="n">
        <v>50</v>
      </c>
      <c r="F233" s="5" t="n"/>
      <c r="G233" s="5" t="n"/>
      <c r="H233" s="5" t="n"/>
      <c r="I233" s="5" t="n"/>
      <c r="J233" s="7">
        <f>IF(AND(N(F233)&gt;0,N(I233)&gt;0),I233-F233-IF(N(G233)&gt;0,0.5,0)-IF(N(H233)&gt;0,0.5,0),0)</f>
        <v/>
      </c>
      <c r="K233" s="5" t="n"/>
      <c r="L233" s="7">
        <f>MIN(J233,8.0)</f>
        <v/>
      </c>
      <c r="M233" s="7">
        <f>MAX(0,MIN(J233,12)-8.0)</f>
        <v/>
      </c>
      <c r="N233" s="7">
        <f>MAX(0,J233-12)</f>
        <v/>
      </c>
      <c r="O233" s="5" t="n"/>
      <c r="P233" s="6">
        <f>E233*(L233+M233*1.5+N233*2+O233*3+N(K233))</f>
        <v/>
      </c>
      <c r="Q233" s="6" t="n">
        <v>862.53</v>
      </c>
      <c r="R233" s="6">
        <f>Q233-P233</f>
        <v/>
      </c>
    </row>
    <row r="234">
      <c r="P234" s="2" t="inlineStr">
        <is>
          <t>PROSTHETICS LABOR</t>
        </is>
      </c>
      <c r="R234" s="8">
        <f>SUM(R232:R233)</f>
        <v/>
      </c>
    </row>
    <row r="236">
      <c r="B236" s="2" t="inlineStr">
        <is>
          <t>KEYHAIR</t>
        </is>
      </c>
    </row>
    <row r="237">
      <c r="A237" s="5" t="inlineStr">
        <is>
          <t>3111</t>
        </is>
      </c>
      <c r="B237" s="5" t="inlineStr">
        <is>
          <t>Traci Smithe</t>
        </is>
      </c>
      <c r="C237" s="5" t="inlineStr">
        <is>
          <t>KEYHAIR</t>
        </is>
      </c>
      <c r="D237" s="5" t="inlineStr">
        <is>
          <t>Local706</t>
        </is>
      </c>
      <c r="E237" s="6" t="n">
        <v>25.5</v>
      </c>
      <c r="F237" s="5" t="n"/>
      <c r="G237" s="5" t="n"/>
      <c r="H237" s="5" t="n"/>
      <c r="I237" s="5" t="n"/>
      <c r="J237" s="7">
        <f>IF(AND(N(F237)&gt;0,N(I237)&gt;0),I237-F237-IF(N(G237)&gt;0,0.5,0)-IF(N(H237)&gt;0,0.5,0),0)</f>
        <v/>
      </c>
      <c r="K237" s="5" t="n"/>
      <c r="L237" s="7">
        <f>MIN(J237,10.0)</f>
        <v/>
      </c>
      <c r="M237" s="7">
        <f>MAX(0,MIN(J237,12)-10.0)</f>
        <v/>
      </c>
      <c r="N237" s="7">
        <f>MAX(0,J237-12)</f>
        <v/>
      </c>
      <c r="O237" s="5" t="n"/>
      <c r="P237" s="6">
        <f>E237*(L237+M237*1.5+N237*2+O237*3+N(K237))</f>
        <v/>
      </c>
      <c r="Q237" s="6" t="n">
        <v>439.87</v>
      </c>
      <c r="R237" s="6">
        <f>Q237-P237</f>
        <v/>
      </c>
    </row>
    <row r="238">
      <c r="P238" s="2" t="inlineStr">
        <is>
          <t>KEYHAIR LABOR</t>
        </is>
      </c>
      <c r="R238" s="8">
        <f>SUM(R237:R237)</f>
        <v/>
      </c>
    </row>
    <row r="240">
      <c r="B240" s="2" t="inlineStr">
        <is>
          <t>ASSTHAIR</t>
        </is>
      </c>
    </row>
    <row r="241">
      <c r="A241" s="5" t="inlineStr">
        <is>
          <t>3112</t>
        </is>
      </c>
      <c r="B241" s="5" t="inlineStr">
        <is>
          <t>Yunea Cruz</t>
        </is>
      </c>
      <c r="C241" s="5" t="inlineStr">
        <is>
          <t>ASSTHAIRSTYLIST#1</t>
        </is>
      </c>
      <c r="D241" s="5" t="inlineStr">
        <is>
          <t>Local706</t>
        </is>
      </c>
      <c r="E241" s="6" t="n">
        <v>23.04</v>
      </c>
      <c r="F241" s="5" t="n"/>
      <c r="G241" s="5" t="n"/>
      <c r="H241" s="5" t="n"/>
      <c r="I241" s="5" t="n"/>
      <c r="J241" s="7">
        <f>IF(AND(N(F241)&gt;0,N(I241)&gt;0),I241-F241-IF(N(G241)&gt;0,0.5,0)-IF(N(H241)&gt;0,0.5,0),0)</f>
        <v/>
      </c>
      <c r="K241" s="5" t="n"/>
      <c r="L241" s="7">
        <f>MIN(J241,10.0)</f>
        <v/>
      </c>
      <c r="M241" s="7">
        <f>MAX(0,MIN(J241,12)-10.0)</f>
        <v/>
      </c>
      <c r="N241" s="7">
        <f>MAX(0,J241-12)</f>
        <v/>
      </c>
      <c r="O241" s="5" t="n"/>
      <c r="P241" s="6">
        <f>E241*(L241+M241*1.5+N241*2+O241*3+N(K241))</f>
        <v/>
      </c>
      <c r="Q241" s="6" t="n">
        <v>397.43</v>
      </c>
      <c r="R241" s="6">
        <f>Q241-P241</f>
        <v/>
      </c>
    </row>
    <row r="242">
      <c r="P242" s="2" t="inlineStr">
        <is>
          <t>ASSTHAIR LABOR</t>
        </is>
      </c>
      <c r="R242" s="8">
        <f>SUM(R241:R241)</f>
        <v/>
      </c>
    </row>
    <row r="244">
      <c r="B244" s="2" t="inlineStr">
        <is>
          <t>ADDITIONALHAIRLABOR</t>
        </is>
      </c>
    </row>
    <row r="245">
      <c r="A245" s="5" t="inlineStr">
        <is>
          <t>3113</t>
        </is>
      </c>
      <c r="B245" s="5" t="inlineStr"/>
      <c r="C245" s="5" t="inlineStr">
        <is>
          <t>ADDLHAIRSTYLISTDAYS</t>
        </is>
      </c>
      <c r="D245" s="5" t="inlineStr">
        <is>
          <t>Local706</t>
        </is>
      </c>
      <c r="E245" s="6" t="n">
        <v>23.04</v>
      </c>
      <c r="F245" s="5" t="n"/>
      <c r="G245" s="5" t="n"/>
      <c r="H245" s="5" t="n"/>
      <c r="I245" s="5" t="n"/>
      <c r="J245" s="7">
        <f>IF(AND(N(F245)&gt;0,N(I245)&gt;0),I245-F245-IF(N(G245)&gt;0,0.5,0)-IF(N(H245)&gt;0,0.5,0),0)</f>
        <v/>
      </c>
      <c r="K245" s="5" t="n"/>
      <c r="L245" s="7">
        <f>MIN(J245,10.0)</f>
        <v/>
      </c>
      <c r="M245" s="7">
        <f>MAX(0,MIN(J245,12)-10.0)</f>
        <v/>
      </c>
      <c r="N245" s="7">
        <f>MAX(0,J245-12)</f>
        <v/>
      </c>
      <c r="O245" s="5" t="n"/>
      <c r="P245" s="6">
        <f>E245*(L245+M245*1.5+N245*2+O245*3+N(K245))</f>
        <v/>
      </c>
      <c r="Q245" s="6" t="n">
        <v>397.43</v>
      </c>
      <c r="R245" s="6">
        <f>Q245-P245</f>
        <v/>
      </c>
    </row>
    <row r="246">
      <c r="P246" s="2" t="inlineStr">
        <is>
          <t>ADDITIONALHAIRLABOR LABOR</t>
        </is>
      </c>
      <c r="R246" s="8">
        <f>SUM(R245:R245)</f>
        <v/>
      </c>
    </row>
    <row r="248">
      <c r="B248" s="2" t="inlineStr">
        <is>
          <t>GAFFER</t>
        </is>
      </c>
    </row>
    <row r="249">
      <c r="A249" s="5" t="inlineStr">
        <is>
          <t>3201</t>
        </is>
      </c>
      <c r="B249" s="5" t="inlineStr">
        <is>
          <t>Nicholas Kaat</t>
        </is>
      </c>
      <c r="C249" s="5" t="inlineStr">
        <is>
          <t>GAFFER</t>
        </is>
      </c>
      <c r="D249" s="5" t="inlineStr">
        <is>
          <t>Local728</t>
        </is>
      </c>
      <c r="E249" s="6" t="n">
        <v>25.5</v>
      </c>
      <c r="F249" s="5" t="n"/>
      <c r="G249" s="5" t="n"/>
      <c r="H249" s="5" t="n"/>
      <c r="I249" s="5" t="n"/>
      <c r="J249" s="7">
        <f>IF(AND(N(F249)&gt;0,N(I249)&gt;0),I249-F249-IF(N(G249)&gt;0,0.5,0)-IF(N(H249)&gt;0,0.5,0),0)</f>
        <v/>
      </c>
      <c r="K249" s="5" t="n"/>
      <c r="L249" s="7">
        <f>MIN(J249,10.0)</f>
        <v/>
      </c>
      <c r="M249" s="7">
        <f>MAX(0,MIN(J249,12)-10.0)</f>
        <v/>
      </c>
      <c r="N249" s="7">
        <f>MAX(0,J249-12)</f>
        <v/>
      </c>
      <c r="O249" s="5" t="n"/>
      <c r="P249" s="6">
        <f>E249*(L249+M249*1.5+N249*2+O249*3+N(K249))</f>
        <v/>
      </c>
      <c r="Q249" s="6" t="n">
        <v>395.25</v>
      </c>
      <c r="R249" s="6">
        <f>Q249-P249</f>
        <v/>
      </c>
    </row>
    <row r="250">
      <c r="P250" s="2" t="inlineStr">
        <is>
          <t>GAFFER LABOR</t>
        </is>
      </c>
      <c r="R250" s="8">
        <f>SUM(R249:R249)</f>
        <v/>
      </c>
    </row>
    <row r="252">
      <c r="B252" s="2" t="inlineStr">
        <is>
          <t>BESTBOYELECTRIC</t>
        </is>
      </c>
    </row>
    <row r="253">
      <c r="A253" s="5" t="inlineStr">
        <is>
          <t>3202</t>
        </is>
      </c>
      <c r="B253" s="5" t="inlineStr">
        <is>
          <t>Nathan Fetzer</t>
        </is>
      </c>
      <c r="C253" s="5" t="inlineStr">
        <is>
          <t>BESTBOYELECTRIC</t>
        </is>
      </c>
      <c r="D253" s="5" t="inlineStr">
        <is>
          <t>Local728</t>
        </is>
      </c>
      <c r="E253" s="6" t="n">
        <v>23.04</v>
      </c>
      <c r="F253" s="5" t="n"/>
      <c r="G253" s="5" t="n"/>
      <c r="H253" s="5" t="n"/>
      <c r="I253" s="5" t="n"/>
      <c r="J253" s="7">
        <f>IF(AND(N(F253)&gt;0,N(I253)&gt;0),I253-F253-IF(N(G253)&gt;0,0.5,0)-IF(N(H253)&gt;0,0.5,0),0)</f>
        <v/>
      </c>
      <c r="K253" s="5" t="n"/>
      <c r="L253" s="7">
        <f>MIN(J253,10.0)</f>
        <v/>
      </c>
      <c r="M253" s="7">
        <f>MAX(0,MIN(J253,12)-10.0)</f>
        <v/>
      </c>
      <c r="N253" s="7">
        <f>MAX(0,J253-12)</f>
        <v/>
      </c>
      <c r="O253" s="5" t="n"/>
      <c r="P253" s="6">
        <f>E253*(L253+M253*1.5+N253*2+O253*3+N(K253))</f>
        <v/>
      </c>
      <c r="Q253" s="6" t="n">
        <v>357.12</v>
      </c>
      <c r="R253" s="6">
        <f>Q253-P253</f>
        <v/>
      </c>
    </row>
    <row r="254">
      <c r="A254" s="5" t="inlineStr">
        <is>
          <t>3202</t>
        </is>
      </c>
      <c r="B254" s="5" t="inlineStr"/>
      <c r="C254" s="5" t="inlineStr">
        <is>
          <t>STUDIOBESTBOYELECTRIC</t>
        </is>
      </c>
      <c r="D254" s="5" t="inlineStr">
        <is>
          <t>Local728</t>
        </is>
      </c>
      <c r="E254" s="6" t="n">
        <v>43.05</v>
      </c>
      <c r="F254" s="5" t="n"/>
      <c r="G254" s="5" t="n"/>
      <c r="H254" s="5" t="n"/>
      <c r="I254" s="5" t="n"/>
      <c r="J254" s="7">
        <f>IF(AND(N(F254)&gt;0,N(I254)&gt;0),I254-F254-IF(N(G254)&gt;0,0.5,0)-IF(N(H254)&gt;0,0.5,0),0)</f>
        <v/>
      </c>
      <c r="K254" s="5" t="n"/>
      <c r="L254" s="7">
        <f>MIN(J254,10.0)</f>
        <v/>
      </c>
      <c r="M254" s="7">
        <f>MAX(0,MIN(J254,12)-10.0)</f>
        <v/>
      </c>
      <c r="N254" s="7">
        <f>MAX(0,J254-12)</f>
        <v/>
      </c>
      <c r="O254" s="5" t="n"/>
      <c r="P254" s="6">
        <f>E254*(L254+M254*1.5+N254*2+O254*3+N(K254))</f>
        <v/>
      </c>
      <c r="Q254" s="6" t="n">
        <v>667.27</v>
      </c>
      <c r="R254" s="6">
        <f>Q254-P254</f>
        <v/>
      </c>
    </row>
    <row r="255">
      <c r="P255" s="2" t="inlineStr">
        <is>
          <t>BESTBOYELECTRIC LABOR</t>
        </is>
      </c>
      <c r="R255" s="8">
        <f>SUM(R253:R254)</f>
        <v/>
      </c>
    </row>
    <row r="257">
      <c r="B257" s="2" t="inlineStr">
        <is>
          <t>ELECTRICIANS</t>
        </is>
      </c>
    </row>
    <row r="258">
      <c r="A258" s="5" t="inlineStr">
        <is>
          <t>3204</t>
        </is>
      </c>
      <c r="B258" s="5" t="inlineStr"/>
      <c r="C258" s="5" t="inlineStr">
        <is>
          <t>ELECTRICIAN#1</t>
        </is>
      </c>
      <c r="D258" s="5" t="inlineStr">
        <is>
          <t>Local728</t>
        </is>
      </c>
      <c r="E258" s="6" t="n">
        <v>20.57</v>
      </c>
      <c r="F258" s="5" t="n"/>
      <c r="G258" s="5" t="n"/>
      <c r="H258" s="5" t="n"/>
      <c r="I258" s="5" t="n"/>
      <c r="J258" s="7">
        <f>IF(AND(N(F258)&gt;0,N(I258)&gt;0),I258-F258-IF(N(G258)&gt;0,0.5,0)-IF(N(H258)&gt;0,0.5,0),0)</f>
        <v/>
      </c>
      <c r="K258" s="5" t="n"/>
      <c r="L258" s="7">
        <f>MIN(J258,10.0)</f>
        <v/>
      </c>
      <c r="M258" s="7">
        <f>MAX(0,MIN(J258,12)-10.0)</f>
        <v/>
      </c>
      <c r="N258" s="7">
        <f>MAX(0,J258-12)</f>
        <v/>
      </c>
      <c r="O258" s="5" t="n"/>
      <c r="P258" s="6">
        <f>E258*(L258+M258*1.5+N258*2+O258*3+N(K258))</f>
        <v/>
      </c>
      <c r="Q258" s="6" t="n">
        <v>318.83</v>
      </c>
      <c r="R258" s="6">
        <f>Q258-P258</f>
        <v/>
      </c>
    </row>
    <row r="259">
      <c r="A259" s="5" t="inlineStr">
        <is>
          <t>3204</t>
        </is>
      </c>
      <c r="B259" s="5" t="inlineStr"/>
      <c r="C259" s="5" t="inlineStr">
        <is>
          <t>ELECTRICIAN#2</t>
        </is>
      </c>
      <c r="D259" s="5" t="inlineStr">
        <is>
          <t>Local728</t>
        </is>
      </c>
      <c r="E259" s="6" t="n">
        <v>20.57</v>
      </c>
      <c r="F259" s="5" t="n"/>
      <c r="G259" s="5" t="n"/>
      <c r="H259" s="5" t="n"/>
      <c r="I259" s="5" t="n"/>
      <c r="J259" s="7">
        <f>IF(AND(N(F259)&gt;0,N(I259)&gt;0),I259-F259-IF(N(G259)&gt;0,0.5,0)-IF(N(H259)&gt;0,0.5,0),0)</f>
        <v/>
      </c>
      <c r="K259" s="5" t="n"/>
      <c r="L259" s="7">
        <f>MIN(J259,10.0)</f>
        <v/>
      </c>
      <c r="M259" s="7">
        <f>MAX(0,MIN(J259,12)-10.0)</f>
        <v/>
      </c>
      <c r="N259" s="7">
        <f>MAX(0,J259-12)</f>
        <v/>
      </c>
      <c r="O259" s="5" t="n"/>
      <c r="P259" s="6">
        <f>E259*(L259+M259*1.5+N259*2+O259*3+N(K259))</f>
        <v/>
      </c>
      <c r="Q259" s="6" t="n">
        <v>318.83</v>
      </c>
      <c r="R259" s="6">
        <f>Q259-P259</f>
        <v/>
      </c>
    </row>
    <row r="260">
      <c r="A260" s="5" t="inlineStr">
        <is>
          <t>3204</t>
        </is>
      </c>
      <c r="B260" s="5" t="inlineStr"/>
      <c r="C260" s="5" t="inlineStr">
        <is>
          <t>ELECTRICIAN#3</t>
        </is>
      </c>
      <c r="D260" s="5" t="inlineStr">
        <is>
          <t>Local728</t>
        </is>
      </c>
      <c r="E260" s="6" t="n">
        <v>20.57</v>
      </c>
      <c r="F260" s="5" t="n"/>
      <c r="G260" s="5" t="n"/>
      <c r="H260" s="5" t="n"/>
      <c r="I260" s="5" t="n"/>
      <c r="J260" s="7">
        <f>IF(AND(N(F260)&gt;0,N(I260)&gt;0),I260-F260-IF(N(G260)&gt;0,0.5,0)-IF(N(H260)&gt;0,0.5,0),0)</f>
        <v/>
      </c>
      <c r="K260" s="5" t="n"/>
      <c r="L260" s="7">
        <f>MIN(J260,10.0)</f>
        <v/>
      </c>
      <c r="M260" s="7">
        <f>MAX(0,MIN(J260,12)-10.0)</f>
        <v/>
      </c>
      <c r="N260" s="7">
        <f>MAX(0,J260-12)</f>
        <v/>
      </c>
      <c r="O260" s="5" t="n"/>
      <c r="P260" s="6">
        <f>E260*(L260+M260*1.5+N260*2+O260*3+N(K260))</f>
        <v/>
      </c>
      <c r="Q260" s="6" t="n">
        <v>318.83</v>
      </c>
      <c r="R260" s="6">
        <f>Q260-P260</f>
        <v/>
      </c>
    </row>
    <row r="261">
      <c r="P261" s="2" t="inlineStr">
        <is>
          <t>ELECTRICIANS LABOR</t>
        </is>
      </c>
      <c r="R261" s="8">
        <f>SUM(R258:R260)</f>
        <v/>
      </c>
    </row>
    <row r="263">
      <c r="B263" s="2" t="inlineStr">
        <is>
          <t>ADDITIONALELECTRICLABOR</t>
        </is>
      </c>
    </row>
    <row r="264">
      <c r="A264" s="5" t="inlineStr">
        <is>
          <t>3206</t>
        </is>
      </c>
      <c r="B264" s="5" t="inlineStr"/>
      <c r="C264" s="5" t="inlineStr">
        <is>
          <t>ELECTRICMANDAYS&amp;RIGGINGMANDAYS</t>
        </is>
      </c>
      <c r="D264" s="5" t="inlineStr">
        <is>
          <t>Local728</t>
        </is>
      </c>
      <c r="E264" s="6" t="n">
        <v>20.57</v>
      </c>
      <c r="F264" s="5" t="n"/>
      <c r="G264" s="5" t="n"/>
      <c r="H264" s="5" t="n"/>
      <c r="I264" s="5" t="n"/>
      <c r="J264" s="7">
        <f>IF(AND(N(F264)&gt;0,N(I264)&gt;0),I264-F264-IF(N(G264)&gt;0,0.5,0)-IF(N(H264)&gt;0,0.5,0),0)</f>
        <v/>
      </c>
      <c r="K264" s="5" t="n"/>
      <c r="L264" s="7">
        <f>MIN(J264,10.0)</f>
        <v/>
      </c>
      <c r="M264" s="7">
        <f>MAX(0,MIN(J264,12)-10.0)</f>
        <v/>
      </c>
      <c r="N264" s="7">
        <f>MAX(0,J264-12)</f>
        <v/>
      </c>
      <c r="O264" s="5" t="n"/>
      <c r="P264" s="6">
        <f>E264*(L264+M264*1.5+N264*2+O264*3+N(K264))</f>
        <v/>
      </c>
      <c r="Q264" s="6" t="n">
        <v>318.83</v>
      </c>
      <c r="R264" s="6">
        <f>Q264-P264</f>
        <v/>
      </c>
    </row>
    <row r="265">
      <c r="P265" s="2" t="inlineStr">
        <is>
          <t>ADDITIONALELECTRICLABOR LABOR</t>
        </is>
      </c>
      <c r="R265" s="8">
        <f>SUM(R264:R264)</f>
        <v/>
      </c>
    </row>
    <row r="267">
      <c r="B267" s="2" t="inlineStr">
        <is>
          <t>DIRECTOROFPHOTOGRAPHY</t>
        </is>
      </c>
    </row>
    <row r="268">
      <c r="A268" s="5" t="inlineStr">
        <is>
          <t>3301</t>
        </is>
      </c>
      <c r="B268" s="5" t="inlineStr">
        <is>
          <t>Michael Burgess</t>
        </is>
      </c>
      <c r="C268" s="5" t="inlineStr">
        <is>
          <t>DIRECTOROFPHOTOGRAPHY</t>
        </is>
      </c>
      <c r="D268" s="5" t="inlineStr">
        <is>
          <t>Local600</t>
        </is>
      </c>
      <c r="E268" s="6" t="n">
        <v>700</v>
      </c>
      <c r="F268" s="5" t="n"/>
      <c r="G268" s="5" t="n"/>
      <c r="H268" s="5" t="n"/>
      <c r="I268" s="5" t="n"/>
      <c r="J268" s="7">
        <f>IF(AND(N(F268)&gt;0,N(I268)&gt;0),I268-F268-IF(N(G268)&gt;0,0.5,0)-IF(N(H268)&gt;0,0.5,0),0)</f>
        <v/>
      </c>
      <c r="K268" s="5" t="n"/>
      <c r="L268" s="7">
        <f>MIN(J268,8.0)</f>
        <v/>
      </c>
      <c r="M268" s="7">
        <f>MAX(0,MIN(J268,12)-8.0)</f>
        <v/>
      </c>
      <c r="N268" s="7">
        <f>MAX(0,J268-12)</f>
        <v/>
      </c>
      <c r="O268" s="5" t="n"/>
      <c r="P268" s="6">
        <f>E268*(L268+M268*1.5+N268*2+O268*3+N(K268))</f>
        <v/>
      </c>
      <c r="Q268" s="6" t="n">
        <v>700</v>
      </c>
      <c r="R268" s="6">
        <f>Q268-P268</f>
        <v/>
      </c>
    </row>
    <row r="269">
      <c r="P269" s="2" t="inlineStr">
        <is>
          <t>DIRECTOROFPHOTOGRAPHY LABOR</t>
        </is>
      </c>
      <c r="R269" s="8">
        <f>SUM(R268:R268)</f>
        <v/>
      </c>
    </row>
    <row r="271">
      <c r="B271" s="2" t="inlineStr">
        <is>
          <t>CAMERAOPERATORS</t>
        </is>
      </c>
    </row>
    <row r="272">
      <c r="A272" s="5" t="inlineStr">
        <is>
          <t>3302</t>
        </is>
      </c>
      <c r="B272" s="5" t="inlineStr">
        <is>
          <t>Craig Bauer</t>
        </is>
      </c>
      <c r="C272" s="5" t="inlineStr">
        <is>
          <t>"B"CAMERAOP</t>
        </is>
      </c>
      <c r="D272" s="5" t="inlineStr">
        <is>
          <t>Local600</t>
        </is>
      </c>
      <c r="E272" s="6" t="n">
        <v>45</v>
      </c>
      <c r="F272" s="5" t="n"/>
      <c r="G272" s="5" t="n"/>
      <c r="H272" s="5" t="n"/>
      <c r="I272" s="5" t="n"/>
      <c r="J272" s="7">
        <f>IF(AND(N(F272)&gt;0,N(I272)&gt;0),I272-F272-IF(N(G272)&gt;0,0.5,0)-IF(N(H272)&gt;0,0.5,0),0)</f>
        <v/>
      </c>
      <c r="K272" s="5" t="n"/>
      <c r="L272" s="7">
        <f>MIN(J272,8.0)</f>
        <v/>
      </c>
      <c r="M272" s="7">
        <f>MAX(0,MIN(J272,12)-8.0)</f>
        <v/>
      </c>
      <c r="N272" s="7">
        <f>MAX(0,J272-12)</f>
        <v/>
      </c>
      <c r="O272" s="5" t="n"/>
      <c r="P272" s="6">
        <f>E272*(L272+M272*1.5+N272*2+O272*3+N(K272))</f>
        <v/>
      </c>
      <c r="Q272" s="6" t="n">
        <v>630</v>
      </c>
      <c r="R272" s="6">
        <f>Q272-P272</f>
        <v/>
      </c>
    </row>
    <row r="273">
      <c r="P273" s="2" t="inlineStr">
        <is>
          <t>CAMERAOPERATORS LABOR</t>
        </is>
      </c>
      <c r="R273" s="8">
        <f>SUM(R272:R272)</f>
        <v/>
      </c>
    </row>
    <row r="275">
      <c r="B275" s="2" t="inlineStr">
        <is>
          <t>DIGITALIMAGINGTECHS</t>
        </is>
      </c>
    </row>
    <row r="276">
      <c r="A276" s="5" t="inlineStr">
        <is>
          <t>3304</t>
        </is>
      </c>
      <c r="B276" s="5" t="inlineStr">
        <is>
          <t>Oliver Mancebo</t>
        </is>
      </c>
      <c r="C276" s="5" t="inlineStr">
        <is>
          <t>DIT</t>
        </is>
      </c>
      <c r="D276" s="5" t="inlineStr">
        <is>
          <t>Local600</t>
        </is>
      </c>
      <c r="E276" s="6" t="n">
        <v>35</v>
      </c>
      <c r="F276" s="5" t="n"/>
      <c r="G276" s="5" t="n"/>
      <c r="H276" s="5" t="n"/>
      <c r="I276" s="5" t="n"/>
      <c r="J276" s="7">
        <f>IF(AND(N(F276)&gt;0,N(I276)&gt;0),I276-F276-IF(N(G276)&gt;0,0.5,0)-IF(N(H276)&gt;0,0.5,0),0)</f>
        <v/>
      </c>
      <c r="K276" s="5" t="n"/>
      <c r="L276" s="7">
        <f>MIN(J276,8.0)</f>
        <v/>
      </c>
      <c r="M276" s="7">
        <f>MAX(0,MIN(J276,12)-8.0)</f>
        <v/>
      </c>
      <c r="N276" s="7">
        <f>MAX(0,J276-12)</f>
        <v/>
      </c>
      <c r="O276" s="5" t="n"/>
      <c r="P276" s="6">
        <f>E276*(L276+M276*1.5+N276*2+O276*3+N(K276))</f>
        <v/>
      </c>
      <c r="Q276" s="6" t="n">
        <v>542.5</v>
      </c>
      <c r="R276" s="6">
        <f>Q276-P276</f>
        <v/>
      </c>
    </row>
    <row r="277">
      <c r="P277" s="2" t="inlineStr">
        <is>
          <t>DIGITALIMAGINGTECHS LABOR</t>
        </is>
      </c>
      <c r="R277" s="8">
        <f>SUM(R276:R276)</f>
        <v/>
      </c>
    </row>
    <row r="279">
      <c r="B279" s="2" t="inlineStr">
        <is>
          <t>1STASSTCAMERA</t>
        </is>
      </c>
    </row>
    <row r="280">
      <c r="A280" s="5" t="inlineStr">
        <is>
          <t>3305</t>
        </is>
      </c>
      <c r="B280" s="5" t="inlineStr">
        <is>
          <t>Steve Cueva</t>
        </is>
      </c>
      <c r="C280" s="5" t="inlineStr">
        <is>
          <t>"A"CAMERA 1STAC</t>
        </is>
      </c>
      <c r="D280" s="5" t="inlineStr">
        <is>
          <t>Local600</t>
        </is>
      </c>
      <c r="E280" s="6" t="n">
        <v>25.5</v>
      </c>
      <c r="F280" s="5" t="n"/>
      <c r="G280" s="5" t="n"/>
      <c r="H280" s="5" t="n"/>
      <c r="I280" s="5" t="n"/>
      <c r="J280" s="7">
        <f>IF(AND(N(F280)&gt;0,N(I280)&gt;0),I280-F280-IF(N(G280)&gt;0,0.5,0)-IF(N(H280)&gt;0,0.5,0),0)</f>
        <v/>
      </c>
      <c r="K280" s="5" t="n"/>
      <c r="L280" s="7">
        <f>MIN(J280,8.0)</f>
        <v/>
      </c>
      <c r="M280" s="7">
        <f>MAX(0,MIN(J280,12)-8.0)</f>
        <v/>
      </c>
      <c r="N280" s="7">
        <f>MAX(0,J280-12)</f>
        <v/>
      </c>
      <c r="O280" s="5" t="n"/>
      <c r="P280" s="6">
        <f>E280*(L280+M280*1.5+N280*2+O280*3+N(K280))</f>
        <v/>
      </c>
      <c r="Q280" s="6" t="n">
        <v>395.25</v>
      </c>
      <c r="R280" s="6">
        <f>Q280-P280</f>
        <v/>
      </c>
    </row>
    <row r="281">
      <c r="A281" s="5" t="inlineStr">
        <is>
          <t>3305</t>
        </is>
      </c>
      <c r="B281" s="5" t="inlineStr">
        <is>
          <t>Chris Garcia</t>
        </is>
      </c>
      <c r="C281" s="5" t="inlineStr">
        <is>
          <t>"B"CAMERA 1STAC</t>
        </is>
      </c>
      <c r="D281" s="5" t="inlineStr">
        <is>
          <t>Local600</t>
        </is>
      </c>
      <c r="E281" s="6" t="n">
        <v>25.5</v>
      </c>
      <c r="F281" s="5" t="n"/>
      <c r="G281" s="5" t="n"/>
      <c r="H281" s="5" t="n"/>
      <c r="I281" s="5" t="n"/>
      <c r="J281" s="7">
        <f>IF(AND(N(F281)&gt;0,N(I281)&gt;0),I281-F281-IF(N(G281)&gt;0,0.5,0)-IF(N(H281)&gt;0,0.5,0),0)</f>
        <v/>
      </c>
      <c r="K281" s="5" t="n"/>
      <c r="L281" s="7">
        <f>MIN(J281,8.0)</f>
        <v/>
      </c>
      <c r="M281" s="7">
        <f>MAX(0,MIN(J281,12)-8.0)</f>
        <v/>
      </c>
      <c r="N281" s="7">
        <f>MAX(0,J281-12)</f>
        <v/>
      </c>
      <c r="O281" s="5" t="n"/>
      <c r="P281" s="6">
        <f>E281*(L281+M281*1.5+N281*2+O281*3+N(K281))</f>
        <v/>
      </c>
      <c r="Q281" s="6" t="n">
        <v>395.25</v>
      </c>
      <c r="R281" s="6">
        <f>Q281-P281</f>
        <v/>
      </c>
    </row>
    <row r="282">
      <c r="P282" s="2" t="inlineStr">
        <is>
          <t>1STASSTCAMERA LABOR</t>
        </is>
      </c>
      <c r="R282" s="8">
        <f>SUM(R280:R281)</f>
        <v/>
      </c>
    </row>
    <row r="284">
      <c r="B284" s="2" t="inlineStr">
        <is>
          <t>2NDASSTCAMERA</t>
        </is>
      </c>
    </row>
    <row r="285">
      <c r="A285" s="5" t="inlineStr">
        <is>
          <t>3306</t>
        </is>
      </c>
      <c r="B285" s="5" t="inlineStr">
        <is>
          <t>Manny Serrano</t>
        </is>
      </c>
      <c r="C285" s="5" t="inlineStr">
        <is>
          <t>"A"CAMERA 2NDAC</t>
        </is>
      </c>
      <c r="D285" s="5" t="inlineStr">
        <is>
          <t>Local600</t>
        </is>
      </c>
      <c r="E285" s="6" t="n">
        <v>23.04</v>
      </c>
      <c r="F285" s="5" t="n"/>
      <c r="G285" s="5" t="n"/>
      <c r="H285" s="5" t="n"/>
      <c r="I285" s="5" t="n"/>
      <c r="J285" s="7">
        <f>IF(AND(N(F285)&gt;0,N(I285)&gt;0),I285-F285-IF(N(G285)&gt;0,0.5,0)-IF(N(H285)&gt;0,0.5,0),0)</f>
        <v/>
      </c>
      <c r="K285" s="5" t="n"/>
      <c r="L285" s="7">
        <f>MIN(J285,8.0)</f>
        <v/>
      </c>
      <c r="M285" s="7">
        <f>MAX(0,MIN(J285,12)-8.0)</f>
        <v/>
      </c>
      <c r="N285" s="7">
        <f>MAX(0,J285-12)</f>
        <v/>
      </c>
      <c r="O285" s="5" t="n"/>
      <c r="P285" s="6">
        <f>E285*(L285+M285*1.5+N285*2+O285*3+N(K285))</f>
        <v/>
      </c>
      <c r="Q285" s="6" t="n">
        <v>357.12</v>
      </c>
      <c r="R285" s="6">
        <f>Q285-P285</f>
        <v/>
      </c>
    </row>
    <row r="286">
      <c r="A286" s="5" t="inlineStr">
        <is>
          <t>3306</t>
        </is>
      </c>
      <c r="B286" s="5" t="inlineStr"/>
      <c r="C286" s="5" t="inlineStr">
        <is>
          <t>"B"CAMERA 2NDAC</t>
        </is>
      </c>
      <c r="D286" s="5" t="inlineStr">
        <is>
          <t>Local600</t>
        </is>
      </c>
      <c r="E286" s="6" t="n">
        <v>23.04</v>
      </c>
      <c r="F286" s="5" t="n"/>
      <c r="G286" s="5" t="n"/>
      <c r="H286" s="5" t="n"/>
      <c r="I286" s="5" t="n"/>
      <c r="J286" s="7">
        <f>IF(AND(N(F286)&gt;0,N(I286)&gt;0),I286-F286-IF(N(G286)&gt;0,0.5,0)-IF(N(H286)&gt;0,0.5,0),0)</f>
        <v/>
      </c>
      <c r="K286" s="5" t="n"/>
      <c r="L286" s="7">
        <f>MIN(J286,8.0)</f>
        <v/>
      </c>
      <c r="M286" s="7">
        <f>MAX(0,MIN(J286,12)-8.0)</f>
        <v/>
      </c>
      <c r="N286" s="7">
        <f>MAX(0,J286-12)</f>
        <v/>
      </c>
      <c r="O286" s="5" t="n"/>
      <c r="P286" s="6">
        <f>E286*(L286+M286*1.5+N286*2+O286*3+N(K286))</f>
        <v/>
      </c>
      <c r="Q286" s="6" t="n">
        <v>357.12</v>
      </c>
      <c r="R286" s="6">
        <f>Q286-P286</f>
        <v/>
      </c>
    </row>
    <row r="287">
      <c r="P287" s="2" t="inlineStr">
        <is>
          <t>2NDASSTCAMERA LABOR</t>
        </is>
      </c>
      <c r="R287" s="8">
        <f>SUM(R285:R286)</f>
        <v/>
      </c>
    </row>
    <row r="289">
      <c r="B289" s="2" t="inlineStr">
        <is>
          <t>STILLPHOTOGRAPHER</t>
        </is>
      </c>
    </row>
    <row r="290">
      <c r="A290" s="5" t="inlineStr">
        <is>
          <t>3308</t>
        </is>
      </c>
      <c r="B290" s="5" t="inlineStr">
        <is>
          <t>Scott Patrick Green</t>
        </is>
      </c>
      <c r="C290" s="5" t="inlineStr">
        <is>
          <t>STILLPHOTOGRAPHER</t>
        </is>
      </c>
      <c r="D290" s="5" t="inlineStr">
        <is>
          <t>Local600</t>
        </is>
      </c>
      <c r="E290" s="6" t="n">
        <v>26.5</v>
      </c>
      <c r="F290" s="5" t="n"/>
      <c r="G290" s="5" t="n"/>
      <c r="H290" s="5" t="n"/>
      <c r="I290" s="5" t="n"/>
      <c r="J290" s="7">
        <f>IF(AND(N(F290)&gt;0,N(I290)&gt;0),I290-F290-IF(N(G290)&gt;0,0.5,0)-IF(N(H290)&gt;0,0.5,0),0)</f>
        <v/>
      </c>
      <c r="K290" s="5" t="n"/>
      <c r="L290" s="7">
        <f>MIN(J290,8.0)</f>
        <v/>
      </c>
      <c r="M290" s="7">
        <f>MAX(0,MIN(J290,12)-8.0)</f>
        <v/>
      </c>
      <c r="N290" s="7">
        <f>MAX(0,J290-12)</f>
        <v/>
      </c>
      <c r="O290" s="5" t="n"/>
      <c r="P290" s="6">
        <f>E290*(L290+M290*1.5+N290*2+O290*3+N(K290))</f>
        <v/>
      </c>
      <c r="Q290" s="6" t="n">
        <v>291.5</v>
      </c>
      <c r="R290" s="6">
        <f>Q290-P290</f>
        <v/>
      </c>
    </row>
    <row r="291">
      <c r="P291" s="2" t="inlineStr">
        <is>
          <t>STILLPHOTOGRAPHER LABOR</t>
        </is>
      </c>
      <c r="R291" s="8">
        <f>SUM(R290:R290)</f>
        <v/>
      </c>
    </row>
    <row r="293">
      <c r="B293" s="2" t="inlineStr">
        <is>
          <t>AERIAL/UNDERWATERPHOTOGRAPHY</t>
        </is>
      </c>
    </row>
    <row r="294">
      <c r="A294" s="5" t="inlineStr">
        <is>
          <t>3385</t>
        </is>
      </c>
      <c r="B294" s="5" t="inlineStr"/>
      <c r="C294" s="5" t="inlineStr">
        <is>
          <t>UNDERWATEROPERATOR</t>
        </is>
      </c>
      <c r="D294" s="5" t="inlineStr">
        <is>
          <t>Local600</t>
        </is>
      </c>
      <c r="E294" s="6" t="n">
        <v>65</v>
      </c>
      <c r="F294" s="5" t="n"/>
      <c r="G294" s="5" t="n"/>
      <c r="H294" s="5" t="n"/>
      <c r="I294" s="5" t="n"/>
      <c r="J294" s="7">
        <f>IF(AND(N(F294)&gt;0,N(I294)&gt;0),I294-F294-IF(N(G294)&gt;0,0.5,0)-IF(N(H294)&gt;0,0.5,0),0)</f>
        <v/>
      </c>
      <c r="K294" s="5" t="n"/>
      <c r="L294" s="7">
        <f>MIN(J294,8.0)</f>
        <v/>
      </c>
      <c r="M294" s="7">
        <f>MAX(0,MIN(J294,12)-8.0)</f>
        <v/>
      </c>
      <c r="N294" s="7">
        <f>MAX(0,J294-12)</f>
        <v/>
      </c>
      <c r="O294" s="5" t="n"/>
      <c r="P294" s="6">
        <f>E294*(L294+M294*1.5+N294*2+O294*3+N(K294))</f>
        <v/>
      </c>
      <c r="Q294" s="6" t="n">
        <v>910</v>
      </c>
      <c r="R294" s="6">
        <f>Q294-P294</f>
        <v/>
      </c>
    </row>
    <row r="295">
      <c r="P295" s="2" t="inlineStr">
        <is>
          <t>AERIAL/UNDERWATERPHOTOGRAPHY LABOR</t>
        </is>
      </c>
      <c r="R295" s="8">
        <f>SUM(R294:R294)</f>
        <v/>
      </c>
    </row>
    <row r="297">
      <c r="B297" s="2" t="inlineStr">
        <is>
          <t>SOUNDMIXER</t>
        </is>
      </c>
    </row>
    <row r="298">
      <c r="A298" s="5" t="inlineStr">
        <is>
          <t>3401</t>
        </is>
      </c>
      <c r="B298" s="5" t="inlineStr">
        <is>
          <t>Julian Howarth</t>
        </is>
      </c>
      <c r="C298" s="5" t="inlineStr">
        <is>
          <t>SOUNDMIXER</t>
        </is>
      </c>
      <c r="D298" s="5" t="inlineStr">
        <is>
          <t>Local695</t>
        </is>
      </c>
      <c r="E298" s="6" t="n">
        <v>26.5</v>
      </c>
      <c r="F298" s="5" t="n"/>
      <c r="G298" s="5" t="n"/>
      <c r="H298" s="5" t="n"/>
      <c r="I298" s="5" t="n"/>
      <c r="J298" s="7">
        <f>IF(AND(N(F298)&gt;0,N(I298)&gt;0),I298-F298-IF(N(G298)&gt;0,0.5,0)-IF(N(H298)&gt;0,0.5,0),0)</f>
        <v/>
      </c>
      <c r="K298" s="5" t="n"/>
      <c r="L298" s="7">
        <f>MIN(J298,10.0)</f>
        <v/>
      </c>
      <c r="M298" s="7">
        <f>MAX(0,MIN(J298,12)-10.0)</f>
        <v/>
      </c>
      <c r="N298" s="7">
        <f>MAX(0,J298-12)</f>
        <v/>
      </c>
      <c r="O298" s="5" t="n"/>
      <c r="P298" s="6">
        <f>E298*(L298+M298*1.5+N298*2+O298*3+N(K298))</f>
        <v/>
      </c>
      <c r="Q298" s="6" t="n">
        <v>410.75</v>
      </c>
      <c r="R298" s="6">
        <f>Q298-P298</f>
        <v/>
      </c>
    </row>
    <row r="299">
      <c r="P299" s="2" t="inlineStr">
        <is>
          <t>SOUNDMIXER LABOR</t>
        </is>
      </c>
      <c r="R299" s="8">
        <f>SUM(R298:R298)</f>
        <v/>
      </c>
    </row>
    <row r="301">
      <c r="B301" s="2" t="inlineStr">
        <is>
          <t>BOOMOPERATOR</t>
        </is>
      </c>
    </row>
    <row r="302">
      <c r="A302" s="5" t="inlineStr">
        <is>
          <t>3402</t>
        </is>
      </c>
      <c r="B302" s="5" t="inlineStr">
        <is>
          <t>Tim Song Jones</t>
        </is>
      </c>
      <c r="C302" s="5" t="inlineStr">
        <is>
          <t>BOOMOPERATOR</t>
        </is>
      </c>
      <c r="D302" s="5" t="inlineStr">
        <is>
          <t>Local695</t>
        </is>
      </c>
      <c r="E302" s="6" t="n">
        <v>23.04</v>
      </c>
      <c r="F302" s="5" t="n"/>
      <c r="G302" s="5" t="n"/>
      <c r="H302" s="5" t="n"/>
      <c r="I302" s="5" t="n"/>
      <c r="J302" s="7">
        <f>IF(AND(N(F302)&gt;0,N(I302)&gt;0),I302-F302-IF(N(G302)&gt;0,0.5,0)-IF(N(H302)&gt;0,0.5,0),0)</f>
        <v/>
      </c>
      <c r="K302" s="5" t="n"/>
      <c r="L302" s="7">
        <f>MIN(J302,10.0)</f>
        <v/>
      </c>
      <c r="M302" s="7">
        <f>MAX(0,MIN(J302,12)-10.0)</f>
        <v/>
      </c>
      <c r="N302" s="7">
        <f>MAX(0,J302-12)</f>
        <v/>
      </c>
      <c r="O302" s="5" t="n"/>
      <c r="P302" s="6">
        <f>E302*(L302+M302*1.5+N302*2+O302*3+N(K302))</f>
        <v/>
      </c>
      <c r="Q302" s="6" t="n">
        <v>357.12</v>
      </c>
      <c r="R302" s="6">
        <f>Q302-P302</f>
        <v/>
      </c>
    </row>
    <row r="303">
      <c r="P303" s="2" t="inlineStr">
        <is>
          <t>BOOMOPERATOR LABOR</t>
        </is>
      </c>
      <c r="R303" s="8">
        <f>SUM(R302:R302)</f>
        <v/>
      </c>
    </row>
    <row r="305">
      <c r="B305" s="2" t="inlineStr">
        <is>
          <t>CABLEPERSON</t>
        </is>
      </c>
    </row>
    <row r="306">
      <c r="A306" s="5" t="inlineStr">
        <is>
          <t>3403</t>
        </is>
      </c>
      <c r="B306" s="5" t="inlineStr"/>
      <c r="C306" s="5" t="inlineStr">
        <is>
          <t>UTILITYSOUND</t>
        </is>
      </c>
      <c r="D306" s="5" t="inlineStr">
        <is>
          <t>Local695</t>
        </is>
      </c>
      <c r="E306" s="6" t="n">
        <v>20.57</v>
      </c>
      <c r="F306" s="5" t="n"/>
      <c r="G306" s="5" t="n"/>
      <c r="H306" s="5" t="n"/>
      <c r="I306" s="5" t="n"/>
      <c r="J306" s="7">
        <f>IF(AND(N(F306)&gt;0,N(I306)&gt;0),I306-F306-IF(N(G306)&gt;0,0.5,0)-IF(N(H306)&gt;0,0.5,0),0)</f>
        <v/>
      </c>
      <c r="K306" s="5" t="n"/>
      <c r="L306" s="7">
        <f>MIN(J306,10.0)</f>
        <v/>
      </c>
      <c r="M306" s="7">
        <f>MAX(0,MIN(J306,12)-10.0)</f>
        <v/>
      </c>
      <c r="N306" s="7">
        <f>MAX(0,J306-12)</f>
        <v/>
      </c>
      <c r="O306" s="5" t="n"/>
      <c r="P306" s="6">
        <f>E306*(L306+M306*1.5+N306*2+O306*3+N(K306))</f>
        <v/>
      </c>
      <c r="Q306" s="6" t="n">
        <v>318.83</v>
      </c>
      <c r="R306" s="6">
        <f>Q306-P306</f>
        <v/>
      </c>
    </row>
    <row r="307">
      <c r="P307" s="2" t="inlineStr">
        <is>
          <t>CABLEPERSON LABOR</t>
        </is>
      </c>
      <c r="R307" s="8">
        <f>SUM(R306:R306)</f>
        <v/>
      </c>
    </row>
    <row r="309">
      <c r="B309" s="2" t="inlineStr">
        <is>
          <t>VIDEOASSIST</t>
        </is>
      </c>
    </row>
    <row r="310">
      <c r="A310" s="5" t="inlineStr">
        <is>
          <t>3404</t>
        </is>
      </c>
      <c r="B310" s="5" t="inlineStr">
        <is>
          <t>Jeff Snyder</t>
        </is>
      </c>
      <c r="C310" s="5" t="inlineStr">
        <is>
          <t>VIDEOASSISTOPERATOR</t>
        </is>
      </c>
      <c r="D310" s="5" t="inlineStr">
        <is>
          <t>Local695</t>
        </is>
      </c>
      <c r="E310" s="6" t="n">
        <v>23.04</v>
      </c>
      <c r="F310" s="5" t="n"/>
      <c r="G310" s="5" t="n"/>
      <c r="H310" s="5" t="n"/>
      <c r="I310" s="5" t="n"/>
      <c r="J310" s="7">
        <f>IF(AND(N(F310)&gt;0,N(I310)&gt;0),I310-F310-IF(N(G310)&gt;0,0.5,0)-IF(N(H310)&gt;0,0.5,0),0)</f>
        <v/>
      </c>
      <c r="K310" s="5" t="n"/>
      <c r="L310" s="7">
        <f>MIN(J310,10.0)</f>
        <v/>
      </c>
      <c r="M310" s="7">
        <f>MAX(0,MIN(J310,12)-10.0)</f>
        <v/>
      </c>
      <c r="N310" s="7">
        <f>MAX(0,J310-12)</f>
        <v/>
      </c>
      <c r="O310" s="5" t="n"/>
      <c r="P310" s="6">
        <f>E310*(L310+M310*1.5+N310*2+O310*3+N(K310))</f>
        <v/>
      </c>
      <c r="Q310" s="6" t="n">
        <v>357.12</v>
      </c>
      <c r="R310" s="6">
        <f>Q310-P310</f>
        <v/>
      </c>
    </row>
    <row r="311">
      <c r="P311" s="2" t="inlineStr">
        <is>
          <t>VIDEOASSIST LABOR</t>
        </is>
      </c>
      <c r="R311" s="8">
        <f>SUM(R310:R310)</f>
        <v/>
      </c>
    </row>
    <row r="313">
      <c r="B313" s="2" t="inlineStr">
        <is>
          <t>CAPTAIN</t>
        </is>
      </c>
    </row>
    <row r="314">
      <c r="A314" s="5" t="inlineStr">
        <is>
          <t>3502</t>
        </is>
      </c>
      <c r="B314" s="5" t="inlineStr">
        <is>
          <t>Kevin Caira</t>
        </is>
      </c>
      <c r="C314" s="5" t="inlineStr">
        <is>
          <t>TRANSPOCAPTAIN(LA)</t>
        </is>
      </c>
      <c r="D314" s="5" t="inlineStr">
        <is>
          <t>Local399</t>
        </is>
      </c>
      <c r="E314" s="6" t="n">
        <v>37.21</v>
      </c>
      <c r="F314" s="5" t="n"/>
      <c r="G314" s="5" t="n"/>
      <c r="H314" s="5" t="n"/>
      <c r="I314" s="5" t="n"/>
      <c r="J314" s="7">
        <f>IF(AND(N(F314)&gt;0,N(I314)&gt;0),I314-F314-IF(N(G314)&gt;0,0.5,0)-IF(N(H314)&gt;0,0.5,0),0)</f>
        <v/>
      </c>
      <c r="K314" s="5" t="n"/>
      <c r="L314" s="7">
        <f>MIN(J314,8.0)</f>
        <v/>
      </c>
      <c r="M314" s="7">
        <f>MAX(0,MIN(J314,12)-8.0)</f>
        <v/>
      </c>
      <c r="N314" s="7">
        <f>MAX(0,J314-12)</f>
        <v/>
      </c>
      <c r="O314" s="5" t="n"/>
      <c r="P314" s="6">
        <f>E314*(L314+M314*1.5+N314*2+O314*3+N(K314))</f>
        <v/>
      </c>
      <c r="Q314" s="6" t="n">
        <v>651.17</v>
      </c>
      <c r="R314" s="6">
        <f>Q314-P314</f>
        <v/>
      </c>
    </row>
    <row r="315">
      <c r="A315" s="5" t="inlineStr">
        <is>
          <t>3502</t>
        </is>
      </c>
      <c r="B315" s="5" t="inlineStr">
        <is>
          <t>Tina Peterson</t>
        </is>
      </c>
      <c r="C315" s="5" t="inlineStr">
        <is>
          <t>CO-CAPTAIN</t>
        </is>
      </c>
      <c r="D315" s="5" t="inlineStr">
        <is>
          <t>Local399</t>
        </is>
      </c>
      <c r="E315" s="6" t="n">
        <v>37.21</v>
      </c>
      <c r="F315" s="5" t="n"/>
      <c r="G315" s="5" t="n"/>
      <c r="H315" s="5" t="n"/>
      <c r="I315" s="5" t="n"/>
      <c r="J315" s="7">
        <f>IF(AND(N(F315)&gt;0,N(I315)&gt;0),I315-F315-IF(N(G315)&gt;0,0.5,0)-IF(N(H315)&gt;0,0.5,0),0)</f>
        <v/>
      </c>
      <c r="K315" s="5" t="n"/>
      <c r="L315" s="7">
        <f>MIN(J315,8.0)</f>
        <v/>
      </c>
      <c r="M315" s="7">
        <f>MAX(0,MIN(J315,12)-8.0)</f>
        <v/>
      </c>
      <c r="N315" s="7">
        <f>MAX(0,J315-12)</f>
        <v/>
      </c>
      <c r="O315" s="5" t="n"/>
      <c r="P315" s="6">
        <f>E315*(L315+M315*1.5+N315*2+O315*3+N(K315))</f>
        <v/>
      </c>
      <c r="Q315" s="6" t="n">
        <v>576.75</v>
      </c>
      <c r="R315" s="6">
        <f>Q315-P315</f>
        <v/>
      </c>
    </row>
    <row r="316">
      <c r="P316" s="2" t="inlineStr">
        <is>
          <t>CAPTAIN LABOR</t>
        </is>
      </c>
      <c r="R316" s="8">
        <f>SUM(R314:R315)</f>
        <v/>
      </c>
    </row>
    <row r="318">
      <c r="B318" s="2" t="inlineStr">
        <is>
          <t>DRIVERS</t>
        </is>
      </c>
    </row>
    <row r="319">
      <c r="A319" s="5" t="inlineStr">
        <is>
          <t>3503</t>
        </is>
      </c>
      <c r="B319" s="5" t="inlineStr"/>
      <c r="C319" s="5" t="inlineStr">
        <is>
          <t>GRIPTRUCK 48'TRACTORTRAILERDRIVER</t>
        </is>
      </c>
      <c r="D319" s="5" t="inlineStr"/>
      <c r="E319" s="6" t="n">
        <v>32.36</v>
      </c>
      <c r="F319" s="5" t="n"/>
      <c r="G319" s="5" t="n"/>
      <c r="H319" s="5" t="n"/>
      <c r="I319" s="5" t="n"/>
      <c r="J319" s="7">
        <f>IF(AND(N(F319)&gt;0,N(I319)&gt;0),I319-F319-IF(N(G319)&gt;0,0.5,0)-IF(N(H319)&gt;0,0.5,0),0)</f>
        <v/>
      </c>
      <c r="K319" s="5" t="n"/>
      <c r="L319" s="7">
        <f>MIN(J319,8.0)</f>
        <v/>
      </c>
      <c r="M319" s="7">
        <f>MAX(0,MIN(J319,12)-8.0)</f>
        <v/>
      </c>
      <c r="N319" s="7">
        <f>MAX(0,J319-12)</f>
        <v/>
      </c>
      <c r="O319" s="5" t="n"/>
      <c r="P319" s="6">
        <f>E319*(L319+M319*1.5+N319*2+O319*3+N(K319))</f>
        <v/>
      </c>
      <c r="Q319" s="6" t="n">
        <v>501.58</v>
      </c>
      <c r="R319" s="6">
        <f>Q319-P319</f>
        <v/>
      </c>
    </row>
    <row r="320">
      <c r="A320" s="5" t="inlineStr">
        <is>
          <t>3503</t>
        </is>
      </c>
      <c r="B320" s="5" t="inlineStr">
        <is>
          <t>Donald Wilson</t>
        </is>
      </c>
      <c r="C320" s="5" t="inlineStr">
        <is>
          <t>PROP 5-TON(ENCLOSED)</t>
        </is>
      </c>
      <c r="D320" s="5" t="inlineStr"/>
      <c r="E320" s="6" t="n">
        <v>32.36</v>
      </c>
      <c r="F320" s="5" t="n"/>
      <c r="G320" s="5" t="n"/>
      <c r="H320" s="5" t="n"/>
      <c r="I320" s="5" t="n"/>
      <c r="J320" s="7">
        <f>IF(AND(N(F320)&gt;0,N(I320)&gt;0),I320-F320-IF(N(G320)&gt;0,0.5,0)-IF(N(H320)&gt;0,0.5,0),0)</f>
        <v/>
      </c>
      <c r="K320" s="5" t="n"/>
      <c r="L320" s="7">
        <f>MIN(J320,8.0)</f>
        <v/>
      </c>
      <c r="M320" s="7">
        <f>MAX(0,MIN(J320,12)-8.0)</f>
        <v/>
      </c>
      <c r="N320" s="7">
        <f>MAX(0,J320-12)</f>
        <v/>
      </c>
      <c r="O320" s="5" t="n"/>
      <c r="P320" s="6">
        <f>E320*(L320+M320*1.5+N320*2+O320*3+N(K320))</f>
        <v/>
      </c>
      <c r="Q320" s="6" t="n">
        <v>501.58</v>
      </c>
      <c r="R320" s="6">
        <f>Q320-P320</f>
        <v/>
      </c>
    </row>
    <row r="321">
      <c r="A321" s="5" t="inlineStr">
        <is>
          <t>3503</t>
        </is>
      </c>
      <c r="B321" s="5" t="inlineStr"/>
      <c r="C321" s="5" t="inlineStr">
        <is>
          <t>WARDROBESTAKEBEDDRIVER#1</t>
        </is>
      </c>
      <c r="D321" s="5" t="inlineStr"/>
      <c r="E321" s="6" t="n">
        <v>37.99</v>
      </c>
      <c r="F321" s="5" t="n"/>
      <c r="G321" s="5" t="n"/>
      <c r="H321" s="5" t="n"/>
      <c r="I321" s="5" t="n"/>
      <c r="J321" s="7">
        <f>IF(AND(N(F321)&gt;0,N(I321)&gt;0),I321-F321-IF(N(G321)&gt;0,0.5,0)-IF(N(H321)&gt;0,0.5,0),0)</f>
        <v/>
      </c>
      <c r="K321" s="5" t="n"/>
      <c r="L321" s="7">
        <f>MIN(J321,8.0)</f>
        <v/>
      </c>
      <c r="M321" s="7">
        <f>MAX(0,MIN(J321,12)-8.0)</f>
        <v/>
      </c>
      <c r="N321" s="7">
        <f>MAX(0,J321-12)</f>
        <v/>
      </c>
      <c r="O321" s="5" t="n"/>
      <c r="P321" s="6">
        <f>E321*(L321+M321*1.5+N321*2+O321*3+N(K321))</f>
        <v/>
      </c>
      <c r="Q321" s="6" t="n">
        <v>588.85</v>
      </c>
      <c r="R321" s="6">
        <f>Q321-P321</f>
        <v/>
      </c>
    </row>
    <row r="322">
      <c r="A322" s="5" t="inlineStr">
        <is>
          <t>3503</t>
        </is>
      </c>
      <c r="B322" s="5" t="inlineStr"/>
      <c r="C322" s="5" t="inlineStr">
        <is>
          <t>MAKEUPHAIRTRAILERDRIVER</t>
        </is>
      </c>
      <c r="D322" s="5" t="inlineStr"/>
      <c r="E322" s="6" t="n">
        <v>32.36</v>
      </c>
      <c r="F322" s="5" t="n"/>
      <c r="G322" s="5" t="n"/>
      <c r="H322" s="5" t="n"/>
      <c r="I322" s="5" t="n"/>
      <c r="J322" s="7">
        <f>IF(AND(N(F322)&gt;0,N(I322)&gt;0),I322-F322-IF(N(G322)&gt;0,0.5,0)-IF(N(H322)&gt;0,0.5,0),0)</f>
        <v/>
      </c>
      <c r="K322" s="5" t="n"/>
      <c r="L322" s="7">
        <f>MIN(J322,8.0)</f>
        <v/>
      </c>
      <c r="M322" s="7">
        <f>MAX(0,MIN(J322,12)-8.0)</f>
        <v/>
      </c>
      <c r="N322" s="7">
        <f>MAX(0,J322-12)</f>
        <v/>
      </c>
      <c r="O322" s="5" t="n"/>
      <c r="P322" s="6">
        <f>E322*(L322+M322*1.5+N322*2+O322*3+N(K322))</f>
        <v/>
      </c>
      <c r="Q322" s="6" t="n">
        <v>501.58</v>
      </c>
      <c r="R322" s="6">
        <f>Q322-P322</f>
        <v/>
      </c>
    </row>
    <row r="323">
      <c r="A323" s="5" t="inlineStr">
        <is>
          <t>3503</t>
        </is>
      </c>
      <c r="B323" s="5" t="inlineStr"/>
      <c r="C323" s="5" t="inlineStr">
        <is>
          <t>ELECTRIC 10TONDRIVER(GENIEOPERATOR)</t>
        </is>
      </c>
      <c r="D323" s="5" t="inlineStr"/>
      <c r="E323" s="6" t="n">
        <v>37.99</v>
      </c>
      <c r="F323" s="5" t="n"/>
      <c r="G323" s="5" t="n"/>
      <c r="H323" s="5" t="n"/>
      <c r="I323" s="5" t="n"/>
      <c r="J323" s="7">
        <f>IF(AND(N(F323)&gt;0,N(I323)&gt;0),I323-F323-IF(N(G323)&gt;0,0.5,0)-IF(N(H323)&gt;0,0.5,0),0)</f>
        <v/>
      </c>
      <c r="K323" s="5" t="n"/>
      <c r="L323" s="7">
        <f>MIN(J323,8.0)</f>
        <v/>
      </c>
      <c r="M323" s="7">
        <f>MAX(0,MIN(J323,12)-8.0)</f>
        <v/>
      </c>
      <c r="N323" s="7">
        <f>MAX(0,J323-12)</f>
        <v/>
      </c>
      <c r="O323" s="5" t="n"/>
      <c r="P323" s="6">
        <f>E323*(L323+M323*1.5+N323*2+O323*3+N(K323))</f>
        <v/>
      </c>
      <c r="Q323" s="6" t="n">
        <v>588.85</v>
      </c>
      <c r="R323" s="6">
        <f>Q323-P323</f>
        <v/>
      </c>
    </row>
    <row r="324">
      <c r="A324" s="5" t="inlineStr">
        <is>
          <t>3503</t>
        </is>
      </c>
      <c r="B324" s="5" t="inlineStr"/>
      <c r="C324" s="5" t="inlineStr">
        <is>
          <t>SOUNDCCSTAKEBEDFUELTRUCKDRIVER</t>
        </is>
      </c>
      <c r="D324" s="5" t="inlineStr"/>
      <c r="E324" s="6" t="n">
        <v>32.36</v>
      </c>
      <c r="F324" s="5" t="n"/>
      <c r="G324" s="5" t="n"/>
      <c r="H324" s="5" t="n"/>
      <c r="I324" s="5" t="n"/>
      <c r="J324" s="7">
        <f>IF(AND(N(F324)&gt;0,N(I324)&gt;0),I324-F324-IF(N(G324)&gt;0,0.5,0)-IF(N(H324)&gt;0,0.5,0),0)</f>
        <v/>
      </c>
      <c r="K324" s="5" t="n"/>
      <c r="L324" s="7">
        <f>MIN(J324,8.0)</f>
        <v/>
      </c>
      <c r="M324" s="7">
        <f>MAX(0,MIN(J324,12)-8.0)</f>
        <v/>
      </c>
      <c r="N324" s="7">
        <f>MAX(0,J324-12)</f>
        <v/>
      </c>
      <c r="O324" s="5" t="n"/>
      <c r="P324" s="6">
        <f>E324*(L324+M324*1.5+N324*2+O324*3+N(K324))</f>
        <v/>
      </c>
      <c r="Q324" s="6" t="n">
        <v>501.58</v>
      </c>
      <c r="R324" s="6">
        <f>Q324-P324</f>
        <v/>
      </c>
    </row>
    <row r="325">
      <c r="A325" s="5" t="inlineStr">
        <is>
          <t>3503</t>
        </is>
      </c>
      <c r="B325" s="5" t="inlineStr"/>
      <c r="C325" s="5" t="inlineStr">
        <is>
          <t>9-ROOMHONEYWAGONTRACTORDRIVER</t>
        </is>
      </c>
      <c r="D325" s="5" t="inlineStr"/>
      <c r="E325" s="6" t="n">
        <v>32.36</v>
      </c>
      <c r="F325" s="5" t="n"/>
      <c r="G325" s="5" t="n"/>
      <c r="H325" s="5" t="n"/>
      <c r="I325" s="5" t="n"/>
      <c r="J325" s="7">
        <f>IF(AND(N(F325)&gt;0,N(I325)&gt;0),I325-F325-IF(N(G325)&gt;0,0.5,0)-IF(N(H325)&gt;0,0.5,0),0)</f>
        <v/>
      </c>
      <c r="K325" s="5" t="n"/>
      <c r="L325" s="7">
        <f>MIN(J325,8.0)</f>
        <v/>
      </c>
      <c r="M325" s="7">
        <f>MAX(0,MIN(J325,12)-8.0)</f>
        <v/>
      </c>
      <c r="N325" s="7">
        <f>MAX(0,J325-12)</f>
        <v/>
      </c>
      <c r="O325" s="5" t="n"/>
      <c r="P325" s="6">
        <f>E325*(L325+M325*1.5+N325*2+O325*3+N(K325))</f>
        <v/>
      </c>
      <c r="Q325" s="6" t="n">
        <v>501.58</v>
      </c>
      <c r="R325" s="6">
        <f>Q325-P325</f>
        <v/>
      </c>
    </row>
    <row r="326">
      <c r="A326" s="5" t="inlineStr">
        <is>
          <t>3503</t>
        </is>
      </c>
      <c r="B326" s="5" t="inlineStr"/>
      <c r="C326" s="5" t="inlineStr">
        <is>
          <t>FORDTRANSITVANDRIVER#1</t>
        </is>
      </c>
      <c r="D326" s="5" t="inlineStr"/>
      <c r="E326" s="6" t="n">
        <v>32.36</v>
      </c>
      <c r="F326" s="5" t="n"/>
      <c r="G326" s="5" t="n"/>
      <c r="H326" s="5" t="n"/>
      <c r="I326" s="5" t="n"/>
      <c r="J326" s="7">
        <f>IF(AND(N(F326)&gt;0,N(I326)&gt;0),I326-F326-IF(N(G326)&gt;0,0.5,0)-IF(N(H326)&gt;0,0.5,0),0)</f>
        <v/>
      </c>
      <c r="K326" s="5" t="n"/>
      <c r="L326" s="7">
        <f>MIN(J326,8.0)</f>
        <v/>
      </c>
      <c r="M326" s="7">
        <f>MAX(0,MIN(J326,12)-8.0)</f>
        <v/>
      </c>
      <c r="N326" s="7">
        <f>MAX(0,J326-12)</f>
        <v/>
      </c>
      <c r="O326" s="5" t="n"/>
      <c r="P326" s="6">
        <f>E326*(L326+M326*1.5+N326*2+O326*3+N(K326))</f>
        <v/>
      </c>
      <c r="Q326" s="6" t="n">
        <v>501.58</v>
      </c>
      <c r="R326" s="6">
        <f>Q326-P326</f>
        <v/>
      </c>
    </row>
    <row r="327">
      <c r="A327" s="5" t="inlineStr">
        <is>
          <t>3503</t>
        </is>
      </c>
      <c r="B327" s="5" t="inlineStr">
        <is>
          <t>Kaiser Clark</t>
        </is>
      </c>
      <c r="C327" s="5" t="inlineStr">
        <is>
          <t>CSETDECTRUCKDRIVER#1</t>
        </is>
      </c>
      <c r="D327" s="5" t="inlineStr"/>
      <c r="E327" s="6" t="n">
        <v>32.36</v>
      </c>
      <c r="F327" s="5" t="n"/>
      <c r="G327" s="5" t="n"/>
      <c r="H327" s="5" t="n"/>
      <c r="I327" s="5" t="n"/>
      <c r="J327" s="7">
        <f>IF(AND(N(F327)&gt;0,N(I327)&gt;0),I327-F327-IF(N(G327)&gt;0,0.5,0)-IF(N(H327)&gt;0,0.5,0),0)</f>
        <v/>
      </c>
      <c r="K327" s="5" t="n"/>
      <c r="L327" s="7">
        <f>MIN(J327,8.0)</f>
        <v/>
      </c>
      <c r="M327" s="7">
        <f>MAX(0,MIN(J327,12)-8.0)</f>
        <v/>
      </c>
      <c r="N327" s="7">
        <f>MAX(0,J327-12)</f>
        <v/>
      </c>
      <c r="O327" s="5" t="n"/>
      <c r="P327" s="6">
        <f>E327*(L327+M327*1.5+N327*2+O327*3+N(K327))</f>
        <v/>
      </c>
      <c r="Q327" s="6" t="n">
        <v>501.58</v>
      </c>
      <c r="R327" s="6">
        <f>Q327-P327</f>
        <v/>
      </c>
    </row>
    <row r="328">
      <c r="A328" s="5" t="inlineStr">
        <is>
          <t>3503</t>
        </is>
      </c>
      <c r="B328" s="5" t="inlineStr"/>
      <c r="C328" s="5" t="inlineStr">
        <is>
          <t>C 5-TONENCLOSEDRIGGINGGRIPDRIVER</t>
        </is>
      </c>
      <c r="D328" s="5" t="inlineStr"/>
      <c r="E328" s="6" t="n">
        <v>32.36</v>
      </c>
      <c r="F328" s="5" t="n"/>
      <c r="G328" s="5" t="n"/>
      <c r="H328" s="5" t="n"/>
      <c r="I328" s="5" t="n"/>
      <c r="J328" s="7">
        <f>IF(AND(N(F328)&gt;0,N(I328)&gt;0),I328-F328-IF(N(G328)&gt;0,0.5,0)-IF(N(H328)&gt;0,0.5,0),0)</f>
        <v/>
      </c>
      <c r="K328" s="5" t="n"/>
      <c r="L328" s="7">
        <f>MIN(J328,8.0)</f>
        <v/>
      </c>
      <c r="M328" s="7">
        <f>MAX(0,MIN(J328,12)-8.0)</f>
        <v/>
      </c>
      <c r="N328" s="7">
        <f>MAX(0,J328-12)</f>
        <v/>
      </c>
      <c r="O328" s="5" t="n"/>
      <c r="P328" s="6">
        <f>E328*(L328+M328*1.5+N328*2+O328*3+N(K328))</f>
        <v/>
      </c>
      <c r="Q328" s="5" t="n"/>
      <c r="R328" s="6">
        <f>Q328-P328</f>
        <v/>
      </c>
    </row>
    <row r="329">
      <c r="A329" s="5" t="inlineStr">
        <is>
          <t>3503</t>
        </is>
      </c>
      <c r="B329" s="5" t="inlineStr"/>
      <c r="C329" s="5" t="inlineStr">
        <is>
          <t>SCOUTBUS</t>
        </is>
      </c>
      <c r="D329" s="5" t="inlineStr"/>
      <c r="E329" s="6" t="n">
        <v>32.36</v>
      </c>
      <c r="F329" s="5" t="n"/>
      <c r="G329" s="5" t="n"/>
      <c r="H329" s="5" t="n"/>
      <c r="I329" s="5" t="n"/>
      <c r="J329" s="7">
        <f>IF(AND(N(F329)&gt;0,N(I329)&gt;0),I329-F329-IF(N(G329)&gt;0,0.5,0)-IF(N(H329)&gt;0,0.5,0),0)</f>
        <v/>
      </c>
      <c r="K329" s="5" t="n"/>
      <c r="L329" s="7">
        <f>MIN(J329,8.0)</f>
        <v/>
      </c>
      <c r="M329" s="7">
        <f>MAX(0,MIN(J329,12)-8.0)</f>
        <v/>
      </c>
      <c r="N329" s="7">
        <f>MAX(0,J329-12)</f>
        <v/>
      </c>
      <c r="O329" s="5" t="n"/>
      <c r="P329" s="6">
        <f>E329*(L329+M329*1.5+N329*2+O329*3+N(K329))</f>
        <v/>
      </c>
      <c r="Q329" s="5" t="n"/>
      <c r="R329" s="6">
        <f>Q329-P329</f>
        <v/>
      </c>
    </row>
    <row r="330">
      <c r="A330" s="5" t="inlineStr">
        <is>
          <t>3503</t>
        </is>
      </c>
      <c r="B330" s="5" t="inlineStr"/>
      <c r="C330" s="5" t="inlineStr">
        <is>
          <t>DRIVERMANDAYS</t>
        </is>
      </c>
      <c r="D330" s="5" t="inlineStr"/>
      <c r="E330" s="6" t="n">
        <v>32.36</v>
      </c>
      <c r="F330" s="5" t="n"/>
      <c r="G330" s="5" t="n"/>
      <c r="H330" s="5" t="n"/>
      <c r="I330" s="5" t="n"/>
      <c r="J330" s="7">
        <f>IF(AND(N(F330)&gt;0,N(I330)&gt;0),I330-F330-IF(N(G330)&gt;0,0.5,0)-IF(N(H330)&gt;0,0.5,0),0)</f>
        <v/>
      </c>
      <c r="K330" s="5" t="n"/>
      <c r="L330" s="7">
        <f>MIN(J330,8.0)</f>
        <v/>
      </c>
      <c r="M330" s="7">
        <f>MAX(0,MIN(J330,12)-8.0)</f>
        <v/>
      </c>
      <c r="N330" s="7">
        <f>MAX(0,J330-12)</f>
        <v/>
      </c>
      <c r="O330" s="5" t="n"/>
      <c r="P330" s="6">
        <f>E330*(L330+M330*1.5+N330*2+O330*3+N(K330))</f>
        <v/>
      </c>
      <c r="Q330" s="5" t="n"/>
      <c r="R330" s="6">
        <f>Q330-P330</f>
        <v/>
      </c>
    </row>
    <row r="331">
      <c r="P331" s="2" t="inlineStr">
        <is>
          <t>DRIVERS LABOR</t>
        </is>
      </c>
      <c r="R331" s="8">
        <f>SUM(R319:R330)</f>
        <v/>
      </c>
    </row>
    <row r="333">
      <c r="B333" s="2" t="inlineStr">
        <is>
          <t>LOCATIONSITEFEES</t>
        </is>
      </c>
    </row>
    <row r="334">
      <c r="A334" s="5" t="inlineStr">
        <is>
          <t>3607</t>
        </is>
      </c>
      <c r="B334" s="5" t="inlineStr"/>
      <c r="C334" s="5" t="inlineStr">
        <is>
          <t>Location#1(Hospital ER, LACountry Childrens Shelter, Shelter Dorm, Dept...</t>
        </is>
      </c>
      <c r="D334" s="5" t="inlineStr">
        <is>
          <t>Local400</t>
        </is>
      </c>
      <c r="E334" s="6" t="n">
        <v>50000</v>
      </c>
      <c r="F334" s="5" t="n"/>
      <c r="G334" s="5" t="n"/>
      <c r="H334" s="5" t="n"/>
      <c r="I334" s="5" t="n"/>
      <c r="J334" s="7">
        <f>IF(AND(N(F334)&gt;0,N(I334)&gt;0),I334-F334-IF(N(G334)&gt;0,0.5,0)-IF(N(H334)&gt;0,0.5,0),0)</f>
        <v/>
      </c>
      <c r="K334" s="5" t="n"/>
      <c r="L334" s="7">
        <f>MIN(J334,8.0)</f>
        <v/>
      </c>
      <c r="M334" s="7">
        <f>MAX(0,MIN(J334,12)-8.0)</f>
        <v/>
      </c>
      <c r="N334" s="7">
        <f>MAX(0,J334-12)</f>
        <v/>
      </c>
      <c r="O334" s="5" t="n"/>
      <c r="P334" s="6">
        <f>E334*(L334+M334*1.5+N334*2+O334*3+N(K334))</f>
        <v/>
      </c>
      <c r="Q334" s="6" t="n">
        <v>50000</v>
      </c>
      <c r="R334" s="6">
        <f>Q334-P334</f>
        <v/>
      </c>
    </row>
    <row r="335">
      <c r="P335" s="2" t="inlineStr">
        <is>
          <t>LOCATIONSITEFEES LABOR</t>
        </is>
      </c>
      <c r="R335" s="8">
        <f>SUM(R334:R334)</f>
        <v/>
      </c>
    </row>
    <row r="337">
      <c r="B337" s="2" t="inlineStr">
        <is>
          <t>CATERINGLABOR</t>
        </is>
      </c>
    </row>
    <row r="338">
      <c r="A338" s="5" t="inlineStr">
        <is>
          <t>3621</t>
        </is>
      </c>
      <c r="B338" s="5" t="inlineStr"/>
      <c r="C338" s="5" t="inlineStr">
        <is>
          <t>COOKDRIVER#1</t>
        </is>
      </c>
      <c r="D338" s="5" t="inlineStr">
        <is>
          <t>Local399</t>
        </is>
      </c>
      <c r="E338" s="6" t="n">
        <v>32.36</v>
      </c>
      <c r="F338" s="5" t="n"/>
      <c r="G338" s="5" t="n"/>
      <c r="H338" s="5" t="n"/>
      <c r="I338" s="5" t="n"/>
      <c r="J338" s="7">
        <f>IF(AND(N(F338)&gt;0,N(I338)&gt;0),I338-F338-IF(N(G338)&gt;0,0.5,0)-IF(N(H338)&gt;0,0.5,0),0)</f>
        <v/>
      </c>
      <c r="K338" s="5" t="n"/>
      <c r="L338" s="7">
        <f>MIN(J338,8.0)</f>
        <v/>
      </c>
      <c r="M338" s="7">
        <f>MAX(0,MIN(J338,12)-8.0)</f>
        <v/>
      </c>
      <c r="N338" s="7">
        <f>MAX(0,J338-12)</f>
        <v/>
      </c>
      <c r="O338" s="5" t="n"/>
      <c r="P338" s="6">
        <f>E338*(L338+M338*1.5+N338*2+O338*3+N(K338))</f>
        <v/>
      </c>
      <c r="Q338" s="6" t="n">
        <v>647.2</v>
      </c>
      <c r="R338" s="6">
        <f>Q338-P338</f>
        <v/>
      </c>
    </row>
    <row r="339">
      <c r="A339" s="5" t="inlineStr">
        <is>
          <t>3621</t>
        </is>
      </c>
      <c r="B339" s="5" t="inlineStr"/>
      <c r="C339" s="5" t="inlineStr">
        <is>
          <t>1STASSTCATERER#1</t>
        </is>
      </c>
      <c r="D339" s="5" t="inlineStr"/>
      <c r="E339" s="6" t="n">
        <v>17</v>
      </c>
      <c r="F339" s="5" t="n"/>
      <c r="G339" s="5" t="n"/>
      <c r="H339" s="5" t="n"/>
      <c r="I339" s="5" t="n"/>
      <c r="J339" s="7">
        <f>IF(AND(N(F339)&gt;0,N(I339)&gt;0),I339-F339-IF(N(G339)&gt;0,0.5,0)-IF(N(H339)&gt;0,0.5,0),0)</f>
        <v/>
      </c>
      <c r="K339" s="5" t="n"/>
      <c r="L339" s="7">
        <f>MIN(J339,8.0)</f>
        <v/>
      </c>
      <c r="M339" s="7">
        <f>MAX(0,MIN(J339,12)-8.0)</f>
        <v/>
      </c>
      <c r="N339" s="7">
        <f>MAX(0,J339-12)</f>
        <v/>
      </c>
      <c r="O339" s="5" t="n"/>
      <c r="P339" s="6">
        <f>E339*(L339+M339*1.5+N339*2+O339*3+N(K339))</f>
        <v/>
      </c>
      <c r="Q339" s="6" t="n">
        <v>340</v>
      </c>
      <c r="R339" s="6">
        <f>Q339-P339</f>
        <v/>
      </c>
    </row>
    <row r="340">
      <c r="A340" s="5" t="inlineStr">
        <is>
          <t>3621</t>
        </is>
      </c>
      <c r="B340" s="5" t="inlineStr"/>
      <c r="C340" s="5" t="inlineStr">
        <is>
          <t>1STASSTCATERER#2</t>
        </is>
      </c>
      <c r="D340" s="5" t="inlineStr"/>
      <c r="E340" s="6" t="n">
        <v>16</v>
      </c>
      <c r="F340" s="5" t="n"/>
      <c r="G340" s="5" t="n"/>
      <c r="H340" s="5" t="n"/>
      <c r="I340" s="5" t="n"/>
      <c r="J340" s="7">
        <f>IF(AND(N(F340)&gt;0,N(I340)&gt;0),I340-F340-IF(N(G340)&gt;0,0.5,0)-IF(N(H340)&gt;0,0.5,0),0)</f>
        <v/>
      </c>
      <c r="K340" s="5" t="n"/>
      <c r="L340" s="7">
        <f>MIN(J340,8.0)</f>
        <v/>
      </c>
      <c r="M340" s="7">
        <f>MAX(0,MIN(J340,12)-8.0)</f>
        <v/>
      </c>
      <c r="N340" s="7">
        <f>MAX(0,J340-12)</f>
        <v/>
      </c>
      <c r="O340" s="5" t="n"/>
      <c r="P340" s="6">
        <f>E340*(L340+M340*1.5+N340*2+O340*3+N(K340))</f>
        <v/>
      </c>
      <c r="Q340" s="6" t="n">
        <v>320</v>
      </c>
      <c r="R340" s="6">
        <f>Q340-P340</f>
        <v/>
      </c>
    </row>
    <row r="341">
      <c r="P341" s="2" t="inlineStr">
        <is>
          <t>CATERINGLABOR LABOR</t>
        </is>
      </c>
      <c r="R341" s="8">
        <f>SUM(R338:R340)</f>
        <v/>
      </c>
    </row>
    <row r="343">
      <c r="K343" s="9" t="inlineStr">
        <is>
          <t>TOTAL</t>
        </is>
      </c>
      <c r="P343" s="9" t="inlineStr">
        <is>
          <t>ACTUAL</t>
        </is>
      </c>
      <c r="Q343" s="9" t="inlineStr">
        <is>
          <t>BUDGET</t>
        </is>
      </c>
      <c r="R343" s="9" t="inlineStr">
        <is>
          <t>TOTAL VAR</t>
        </is>
      </c>
    </row>
    <row r="344">
      <c r="P344" s="9" t="inlineStr">
        <is>
          <t>DAY COST</t>
        </is>
      </c>
      <c r="Q344" s="9" t="inlineStr">
        <is>
          <t>DY COST</t>
        </is>
      </c>
      <c r="R344" s="9" t="inlineStr">
        <is>
          <t>(OVER) / UNDER</t>
        </is>
      </c>
    </row>
    <row r="345">
      <c r="P345" s="10">
        <f>SUM(P6:P6)+SUM(P10:P11)+SUM(P15:P17)+SUM(P21:P22)+SUM(P26:P32)+SUM(P36:P36)+SUM(P40:P41)+SUM(P45:P45)+SUM(P49:P49)+SUM(P53:P54)+SUM(P58:P58)+SUM(P62:P62)+SUM(P66:P67)+SUM(P71:P71)+SUM(P75:P75)+SUM(P79:P80)+SUM(P84:P84)+SUM(P88:P88)+SUM(P92:P93)+SUM(P97:P100)+SUM(P104:P104)+SUM(P108:P109)+SUM(P113:P113)+SUM(P117:P117)+SUM(P121:P121)+SUM(P125:P125)+SUM(P129:P130)+SUM(P134:P134)+SUM(P138:P139)+SUM(P143:P145)+SUM(P149:P149)+SUM(P153:P153)+SUM(P157:P158)+SUM(P162:P163)+SUM(P167:P167)+SUM(P171:P173)+SUM(P177:P177)+SUM(P181:P181)+SUM(P185:P187)+SUM(P191:P191)+SUM(P195:P195)+SUM(P199:P199)+SUM(P203:P203)+SUM(P207:P207)+SUM(P211:P211)+SUM(P215:P216)+SUM(P220:P220)+SUM(P224:P224)+SUM(P228:P228)+SUM(P232:P233)+SUM(P237:P237)+SUM(P241:P241)+SUM(P245:P245)+SUM(P249:P249)+SUM(P253:P254)+SUM(P258:P260)+SUM(P264:P264)+SUM(P268:P268)+SUM(P272:P272)+SUM(P276:P276)+SUM(P280:P281)+SUM(P285:P286)+SUM(P290:P290)+SUM(P294:P294)+SUM(P298:P298)+SUM(P302:P302)+SUM(P306:P306)+SUM(P310:P310)+SUM(P314:P315)+SUM(P319:P330)+SUM(P334:P334)+SUM(P338:P340)</f>
        <v/>
      </c>
      <c r="Q345" s="10">
        <f>SUM(Q6:Q6)+SUM(Q10:Q11)+SUM(Q15:Q17)+SUM(Q21:Q22)+SUM(Q26:Q32)+SUM(Q36:Q36)+SUM(Q40:Q41)+SUM(Q45:Q45)+SUM(Q49:Q49)+SUM(Q53:Q54)+SUM(Q58:Q58)+SUM(Q62:Q62)+SUM(Q66:Q67)+SUM(Q71:Q71)+SUM(Q75:Q75)+SUM(Q79:Q80)+SUM(Q84:Q84)+SUM(Q88:Q88)+SUM(Q92:Q93)+SUM(Q97:Q100)+SUM(Q104:Q104)+SUM(Q108:Q109)+SUM(Q113:Q113)+SUM(Q117:Q117)+SUM(Q121:Q121)+SUM(Q125:Q125)+SUM(Q129:Q130)+SUM(Q134:Q134)+SUM(Q138:Q139)+SUM(Q143:Q145)+SUM(Q149:Q149)+SUM(Q153:Q153)+SUM(Q157:Q158)+SUM(Q162:Q163)+SUM(Q167:Q167)+SUM(Q171:Q173)+SUM(Q177:Q177)+SUM(Q181:Q181)+SUM(Q185:Q187)+SUM(Q191:Q191)+SUM(Q195:Q195)+SUM(Q199:Q199)+SUM(Q203:Q203)+SUM(Q207:Q207)+SUM(Q211:Q211)+SUM(Q215:Q216)+SUM(Q220:Q220)+SUM(Q224:Q224)+SUM(Q228:Q228)+SUM(Q232:Q233)+SUM(Q237:Q237)+SUM(Q241:Q241)+SUM(Q245:Q245)+SUM(Q249:Q249)+SUM(Q253:Q254)+SUM(Q258:Q260)+SUM(Q264:Q264)+SUM(Q268:Q268)+SUM(Q272:Q272)+SUM(Q276:Q276)+SUM(Q280:Q281)+SUM(Q285:Q286)+SUM(Q290:Q290)+SUM(Q294:Q294)+SUM(Q298:Q298)+SUM(Q302:Q302)+SUM(Q306:Q306)+SUM(Q310:Q310)+SUM(Q314:Q315)+SUM(Q319:Q330)+SUM(Q334:Q334)+SUM(Q338:Q340)</f>
        <v/>
      </c>
      <c r="R345" s="10">
        <f>SUM(R6:R6)+SUM(R10:R11)+SUM(R15:R17)+SUM(R21:R22)+SUM(R26:R32)+SUM(R36:R36)+SUM(R40:R41)+SUM(R45:R45)+SUM(R49:R49)+SUM(R53:R54)+SUM(R58:R58)+SUM(R62:R62)+SUM(R66:R67)+SUM(R71:R71)+SUM(R75:R75)+SUM(R79:R80)+SUM(R84:R84)+SUM(R88:R88)+SUM(R92:R93)+SUM(R97:R100)+SUM(R104:R104)+SUM(R108:R109)+SUM(R113:R113)+SUM(R117:R117)+SUM(R121:R121)+SUM(R125:R125)+SUM(R129:R130)+SUM(R134:R134)+SUM(R138:R139)+SUM(R143:R145)+SUM(R149:R149)+SUM(R153:R153)+SUM(R157:R158)+SUM(R162:R163)+SUM(R167:R167)+SUM(R171:R173)+SUM(R177:R177)+SUM(R181:R181)+SUM(R185:R187)+SUM(R191:R191)+SUM(R195:R195)+SUM(R199:R199)+SUM(R203:R203)+SUM(R207:R207)+SUM(R211:R211)+SUM(R215:R216)+SUM(R220:R220)+SUM(R224:R224)+SUM(R228:R228)+SUM(R232:R233)+SUM(R237:R237)+SUM(R241:R241)+SUM(R245:R245)+SUM(R249:R249)+SUM(R253:R254)+SUM(R258:R260)+SUM(R264:R264)+SUM(R268:R268)+SUM(R272:R272)+SUM(R276:R276)+SUM(R280:R281)+SUM(R285:R286)+SUM(R290:R290)+SUM(R294:R294)+SUM(R298:R298)+SUM(R302:R302)+SUM(R306:R306)+SUM(R310:R310)+SUM(R314:R315)+SUM(R319:R330)+SUM(R334:R334)+SUM(R338:R340)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R34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20" customWidth="1" min="3" max="3"/>
    <col width="9" customWidth="1" min="4" max="4"/>
    <col width="9" customWidth="1" min="5" max="5"/>
    <col width="7" customWidth="1" min="6" max="6"/>
    <col width="7" customWidth="1" min="7" max="7"/>
    <col width="8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12" customWidth="1" min="16" max="16"/>
    <col width="13" customWidth="1" min="17" max="17"/>
    <col width="14" customWidth="1" min="18" max="18"/>
  </cols>
  <sheetData>
    <row r="1">
      <c r="A1" s="1" t="inlineStr">
        <is>
          <t>HOT COST</t>
        </is>
      </c>
      <c r="C1" t="inlineStr">
        <is>
          <t>Thursday 02 Nov 2017</t>
        </is>
      </c>
      <c r="F1" s="2" t="inlineStr">
        <is>
          <t>DAY #14</t>
        </is>
      </c>
    </row>
    <row r="2">
      <c r="A2" s="3" t="inlineStr">
        <is>
          <t>enter CALL, LUNCH, WRAP as decimal hours (e.g. 7.5) — everything right of WRAP computes</t>
        </is>
      </c>
    </row>
    <row r="4">
      <c r="A4" s="4" t="inlineStr">
        <is>
          <t>ACCT</t>
        </is>
      </c>
      <c r="B4" s="4" t="inlineStr">
        <is>
          <t>NAME</t>
        </is>
      </c>
      <c r="C4" s="4" t="inlineStr">
        <is>
          <t>POSITION</t>
        </is>
      </c>
      <c r="D4" s="4" t="inlineStr">
        <is>
          <t>UNION</t>
        </is>
      </c>
      <c r="E4" s="4" t="inlineStr">
        <is>
          <t>RATE</t>
        </is>
      </c>
      <c r="F4" s="4" t="inlineStr">
        <is>
          <t>CALL</t>
        </is>
      </c>
      <c r="G4" s="4" t="inlineStr">
        <is>
          <t>LUNCH</t>
        </is>
      </c>
      <c r="H4" s="4" t="inlineStr">
        <is>
          <t>LUNCH 2</t>
        </is>
      </c>
      <c r="I4" s="4" t="inlineStr">
        <is>
          <t>WRAP</t>
        </is>
      </c>
      <c r="J4" s="4" t="inlineStr">
        <is>
          <t>HRS</t>
        </is>
      </c>
      <c r="K4" s="4" t="inlineStr">
        <is>
          <t>MP'S</t>
        </is>
      </c>
      <c r="L4" s="4" t="inlineStr">
        <is>
          <t>ST</t>
        </is>
      </c>
      <c r="M4" s="4" t="inlineStr">
        <is>
          <t>1.5X</t>
        </is>
      </c>
      <c r="N4" s="4" t="inlineStr">
        <is>
          <t>2X</t>
        </is>
      </c>
      <c r="O4" s="4" t="inlineStr">
        <is>
          <t>3X</t>
        </is>
      </c>
      <c r="P4" s="4" t="inlineStr">
        <is>
          <t>TOTAL / DAY</t>
        </is>
      </c>
      <c r="Q4" s="4" t="inlineStr">
        <is>
          <t>BUDGET / DAY</t>
        </is>
      </c>
      <c r="R4" s="4" t="inlineStr">
        <is>
          <t>(OVER) / UNDER</t>
        </is>
      </c>
    </row>
    <row r="5">
      <c r="B5" s="2" t="inlineStr">
        <is>
          <t>LEAD#</t>
        </is>
      </c>
    </row>
    <row r="6">
      <c r="A6" s="5" t="inlineStr">
        <is>
          <t>1401</t>
        </is>
      </c>
      <c r="B6" s="5" t="inlineStr">
        <is>
          <t>Linda Cardellini</t>
        </is>
      </c>
      <c r="C6" s="5" t="inlineStr">
        <is>
          <t>"ANNA"</t>
        </is>
      </c>
      <c r="D6" s="5" t="inlineStr"/>
      <c r="E6" s="6" t="n">
        <v>1211.8</v>
      </c>
      <c r="F6" s="5" t="n"/>
      <c r="G6" s="5" t="n"/>
      <c r="H6" s="5" t="n"/>
      <c r="I6" s="5" t="n"/>
      <c r="J6" s="7">
        <f>IF(AND(N(F6)&gt;0,N(I6)&gt;0),I6-F6-IF(N(G6)&gt;0,0.5,0)-IF(N(H6)&gt;0,0.5,0),0)</f>
        <v/>
      </c>
      <c r="K6" s="5" t="n"/>
      <c r="L6" s="7">
        <f>MIN(J6,8.0)</f>
        <v/>
      </c>
      <c r="M6" s="7">
        <f>MAX(0,MIN(J6,12)-8.0)</f>
        <v/>
      </c>
      <c r="N6" s="7">
        <f>MAX(0,J6-12)</f>
        <v/>
      </c>
      <c r="O6" s="5" t="n"/>
      <c r="P6" s="6">
        <f>E6*(L6+M6*1.5+N6*2+O6*3+N(K6))</f>
        <v/>
      </c>
      <c r="Q6" s="6" t="n">
        <v>1211.8</v>
      </c>
      <c r="R6" s="6">
        <f>Q6-P6</f>
        <v/>
      </c>
    </row>
    <row r="7">
      <c r="P7" s="2" t="inlineStr">
        <is>
          <t>LEAD# LABOR</t>
        </is>
      </c>
      <c r="R7" s="8">
        <f>SUM(R6:R6)</f>
        <v/>
      </c>
    </row>
    <row r="9">
      <c r="B9" s="2" t="inlineStr">
        <is>
          <t>LEAD#2&amp;#</t>
        </is>
      </c>
    </row>
    <row r="10">
      <c r="A10" s="5" t="inlineStr">
        <is>
          <t>1402</t>
        </is>
      </c>
      <c r="B10" s="5" t="inlineStr">
        <is>
          <t>Roman Christou</t>
        </is>
      </c>
      <c r="C10" s="5" t="inlineStr">
        <is>
          <t>"CHRIS"(Minor)</t>
        </is>
      </c>
      <c r="D10" s="5" t="inlineStr"/>
      <c r="E10" s="6" t="n">
        <v>755.4</v>
      </c>
      <c r="F10" s="5" t="n"/>
      <c r="G10" s="5" t="n"/>
      <c r="H10" s="5" t="n"/>
      <c r="I10" s="5" t="n"/>
      <c r="J10" s="7">
        <f>IF(AND(N(F10)&gt;0,N(I10)&gt;0),I10-F10-IF(N(G10)&gt;0,0.5,0)-IF(N(H10)&gt;0,0.5,0),0)</f>
        <v/>
      </c>
      <c r="K10" s="5" t="n"/>
      <c r="L10" s="7">
        <f>MIN(J10,8.0)</f>
        <v/>
      </c>
      <c r="M10" s="7">
        <f>MAX(0,MIN(J10,12)-8.0)</f>
        <v/>
      </c>
      <c r="N10" s="7">
        <f>MAX(0,J10-12)</f>
        <v/>
      </c>
      <c r="O10" s="5" t="n"/>
      <c r="P10" s="6">
        <f>E10*(L10+M10*1.5+N10*2+O10*3+N(K10))</f>
        <v/>
      </c>
      <c r="Q10" s="6" t="n">
        <v>755.4</v>
      </c>
      <c r="R10" s="6">
        <f>Q10-P10</f>
        <v/>
      </c>
    </row>
    <row r="11">
      <c r="A11" s="5" t="inlineStr">
        <is>
          <t>1402</t>
        </is>
      </c>
      <c r="B11" s="5" t="inlineStr">
        <is>
          <t>Jaynee Lynee Kinchen</t>
        </is>
      </c>
      <c r="C11" s="5" t="inlineStr">
        <is>
          <t>"SAMANTHA"(Minor)</t>
        </is>
      </c>
      <c r="D11" s="5" t="inlineStr"/>
      <c r="E11" s="6" t="n">
        <v>755.4</v>
      </c>
      <c r="F11" s="5" t="n"/>
      <c r="G11" s="5" t="n"/>
      <c r="H11" s="5" t="n"/>
      <c r="I11" s="5" t="n"/>
      <c r="J11" s="7">
        <f>IF(AND(N(F11)&gt;0,N(I11)&gt;0),I11-F11-IF(N(G11)&gt;0,0.5,0)-IF(N(H11)&gt;0,0.5,0),0)</f>
        <v/>
      </c>
      <c r="K11" s="5" t="n"/>
      <c r="L11" s="7">
        <f>MIN(J11,8.0)</f>
        <v/>
      </c>
      <c r="M11" s="7">
        <f>MAX(0,MIN(J11,12)-8.0)</f>
        <v/>
      </c>
      <c r="N11" s="7">
        <f>MAX(0,J11-12)</f>
        <v/>
      </c>
      <c r="O11" s="5" t="n"/>
      <c r="P11" s="6">
        <f>E11*(L11+M11*1.5+N11*2+O11*3+N(K11))</f>
        <v/>
      </c>
      <c r="Q11" s="6" t="n">
        <v>755.4</v>
      </c>
      <c r="R11" s="6">
        <f>Q11-P11</f>
        <v/>
      </c>
    </row>
    <row r="12">
      <c r="P12" s="2" t="inlineStr">
        <is>
          <t>LEAD#2&amp;# LABOR</t>
        </is>
      </c>
      <c r="R12" s="8">
        <f>SUM(R10:R11)</f>
        <v/>
      </c>
    </row>
    <row r="14">
      <c r="B14" s="2" t="inlineStr">
        <is>
          <t>OTHERLEADCAST</t>
        </is>
      </c>
    </row>
    <row r="15">
      <c r="A15" s="5" t="inlineStr">
        <is>
          <t>1403</t>
        </is>
      </c>
      <c r="B15" s="5" t="inlineStr">
        <is>
          <t>Raymond Cruz</t>
        </is>
      </c>
      <c r="C15" s="5" t="inlineStr">
        <is>
          <t>"RAFAELOLVERA"</t>
        </is>
      </c>
      <c r="D15" s="5" t="inlineStr"/>
      <c r="E15" s="6" t="n">
        <v>1211.8</v>
      </c>
      <c r="F15" s="5" t="n"/>
      <c r="G15" s="5" t="n"/>
      <c r="H15" s="5" t="n"/>
      <c r="I15" s="5" t="n"/>
      <c r="J15" s="7">
        <f>IF(AND(N(F15)&gt;0,N(I15)&gt;0),I15-F15-IF(N(G15)&gt;0,0.5,0)-IF(N(H15)&gt;0,0.5,0),0)</f>
        <v/>
      </c>
      <c r="K15" s="5" t="n"/>
      <c r="L15" s="7">
        <f>MIN(J15,8.0)</f>
        <v/>
      </c>
      <c r="M15" s="7">
        <f>MAX(0,MIN(J15,12)-8.0)</f>
        <v/>
      </c>
      <c r="N15" s="7">
        <f>MAX(0,J15-12)</f>
        <v/>
      </c>
      <c r="O15" s="5" t="n"/>
      <c r="P15" s="6">
        <f>E15*(L15+M15*1.5+N15*2+O15*3+N(K15))</f>
        <v/>
      </c>
      <c r="Q15" s="6" t="n">
        <v>1211.8</v>
      </c>
      <c r="R15" s="6">
        <f>Q15-P15</f>
        <v/>
      </c>
    </row>
    <row r="16">
      <c r="A16" s="5" t="inlineStr">
        <is>
          <t>1403</t>
        </is>
      </c>
      <c r="B16" s="5" t="inlineStr">
        <is>
          <t>Marisol Ramirez</t>
        </is>
      </c>
      <c r="C16" s="5" t="inlineStr">
        <is>
          <t>"LALLORONA"</t>
        </is>
      </c>
      <c r="D16" s="5" t="inlineStr"/>
      <c r="E16" s="6" t="n">
        <v>1211.8</v>
      </c>
      <c r="F16" s="5" t="n"/>
      <c r="G16" s="5" t="n"/>
      <c r="H16" s="5" t="n"/>
      <c r="I16" s="5" t="n"/>
      <c r="J16" s="7">
        <f>IF(AND(N(F16)&gt;0,N(I16)&gt;0),I16-F16-IF(N(G16)&gt;0,0.5,0)-IF(N(H16)&gt;0,0.5,0),0)</f>
        <v/>
      </c>
      <c r="K16" s="5" t="n"/>
      <c r="L16" s="7">
        <f>MIN(J16,8.0)</f>
        <v/>
      </c>
      <c r="M16" s="7">
        <f>MAX(0,MIN(J16,12)-8.0)</f>
        <v/>
      </c>
      <c r="N16" s="7">
        <f>MAX(0,J16-12)</f>
        <v/>
      </c>
      <c r="O16" s="5" t="n"/>
      <c r="P16" s="6">
        <f>E16*(L16+M16*1.5+N16*2+O16*3+N(K16))</f>
        <v/>
      </c>
      <c r="Q16" s="6" t="n">
        <v>1211.8</v>
      </c>
      <c r="R16" s="6">
        <f>Q16-P16</f>
        <v/>
      </c>
    </row>
    <row r="17">
      <c r="A17" s="5" t="inlineStr">
        <is>
          <t>1403</t>
        </is>
      </c>
      <c r="B17" s="5" t="inlineStr">
        <is>
          <t>Patrica Velasquez</t>
        </is>
      </c>
      <c r="C17" s="5" t="inlineStr">
        <is>
          <t>"PATRICIA"</t>
        </is>
      </c>
      <c r="D17" s="5" t="inlineStr"/>
      <c r="E17" s="6" t="n">
        <v>1972</v>
      </c>
      <c r="F17" s="5" t="n"/>
      <c r="G17" s="5" t="n"/>
      <c r="H17" s="5" t="n"/>
      <c r="I17" s="5" t="n"/>
      <c r="J17" s="7">
        <f>IF(AND(N(F17)&gt;0,N(I17)&gt;0),I17-F17-IF(N(G17)&gt;0,0.5,0)-IF(N(H17)&gt;0,0.5,0),0)</f>
        <v/>
      </c>
      <c r="K17" s="5" t="n"/>
      <c r="L17" s="7">
        <f>MIN(J17,8.0)</f>
        <v/>
      </c>
      <c r="M17" s="7">
        <f>MAX(0,MIN(J17,12)-8.0)</f>
        <v/>
      </c>
      <c r="N17" s="7">
        <f>MAX(0,J17-12)</f>
        <v/>
      </c>
      <c r="O17" s="5" t="n"/>
      <c r="P17" s="6">
        <f>E17*(L17+M17*1.5+N17*2+O17*3+N(K17))</f>
        <v/>
      </c>
      <c r="Q17" s="6" t="n">
        <v>1972</v>
      </c>
      <c r="R17" s="6">
        <f>Q17-P17</f>
        <v/>
      </c>
    </row>
    <row r="18">
      <c r="P18" s="2" t="inlineStr">
        <is>
          <t>OTHERLEADCAST LABOR</t>
        </is>
      </c>
      <c r="R18" s="8">
        <f>SUM(R15:R17)</f>
        <v/>
      </c>
    </row>
    <row r="20">
      <c r="B20" s="2" t="inlineStr">
        <is>
          <t>SUPPORTINGCAST</t>
        </is>
      </c>
    </row>
    <row r="21">
      <c r="A21" s="5" t="inlineStr">
        <is>
          <t>1404</t>
        </is>
      </c>
      <c r="B21" s="5" t="inlineStr">
        <is>
          <t>Sean Patrick Thomas</t>
        </is>
      </c>
      <c r="C21" s="5" t="inlineStr">
        <is>
          <t>DETCOOPER</t>
        </is>
      </c>
      <c r="D21" s="5" t="inlineStr"/>
      <c r="E21" s="6" t="n">
        <v>1211.8</v>
      </c>
      <c r="F21" s="5" t="n"/>
      <c r="G21" s="5" t="n"/>
      <c r="H21" s="5" t="n"/>
      <c r="I21" s="5" t="n"/>
      <c r="J21" s="7">
        <f>IF(AND(N(F21)&gt;0,N(I21)&gt;0),I21-F21-IF(N(G21)&gt;0,0.5,0)-IF(N(H21)&gt;0,0.5,0),0)</f>
        <v/>
      </c>
      <c r="K21" s="5" t="n"/>
      <c r="L21" s="7">
        <f>MIN(J21,8.0)</f>
        <v/>
      </c>
      <c r="M21" s="7">
        <f>MAX(0,MIN(J21,12)-8.0)</f>
        <v/>
      </c>
      <c r="N21" s="7">
        <f>MAX(0,J21-12)</f>
        <v/>
      </c>
      <c r="O21" s="5" t="n"/>
      <c r="P21" s="6">
        <f>E21*(L21+M21*1.5+N21*2+O21*3+N(K21))</f>
        <v/>
      </c>
      <c r="Q21" s="6" t="n">
        <v>1211.8</v>
      </c>
      <c r="R21" s="6">
        <f>Q21-P21</f>
        <v/>
      </c>
    </row>
    <row r="22">
      <c r="A22" s="5" t="inlineStr">
        <is>
          <t>1404</t>
        </is>
      </c>
      <c r="B22" s="5" t="inlineStr">
        <is>
          <t>Tony Amendola</t>
        </is>
      </c>
      <c r="C22" s="5" t="inlineStr">
        <is>
          <t>"FATHERPEREZ"</t>
        </is>
      </c>
      <c r="D22" s="5" t="inlineStr"/>
      <c r="E22" s="6" t="n">
        <v>1972</v>
      </c>
      <c r="F22" s="5" t="n"/>
      <c r="G22" s="5" t="n"/>
      <c r="H22" s="5" t="n"/>
      <c r="I22" s="5" t="n"/>
      <c r="J22" s="7">
        <f>IF(AND(N(F22)&gt;0,N(I22)&gt;0),I22-F22-IF(N(G22)&gt;0,0.5,0)-IF(N(H22)&gt;0,0.5,0),0)</f>
        <v/>
      </c>
      <c r="K22" s="5" t="n"/>
      <c r="L22" s="7">
        <f>MIN(J22,8.0)</f>
        <v/>
      </c>
      <c r="M22" s="7">
        <f>MAX(0,MIN(J22,12)-8.0)</f>
        <v/>
      </c>
      <c r="N22" s="7">
        <f>MAX(0,J22-12)</f>
        <v/>
      </c>
      <c r="O22" s="5" t="n"/>
      <c r="P22" s="6">
        <f>E22*(L22+M22*1.5+N22*2+O22*3+N(K22))</f>
        <v/>
      </c>
      <c r="Q22" s="6" t="n">
        <v>1972</v>
      </c>
      <c r="R22" s="6">
        <f>Q22-P22</f>
        <v/>
      </c>
    </row>
    <row r="23">
      <c r="P23" s="2" t="inlineStr">
        <is>
          <t>SUPPORTINGCAST LABOR</t>
        </is>
      </c>
      <c r="R23" s="8">
        <f>SUM(R21:R22)</f>
        <v/>
      </c>
    </row>
    <row r="25">
      <c r="B25" s="2" t="inlineStr">
        <is>
          <t>DAYPLAYERS</t>
        </is>
      </c>
    </row>
    <row r="26">
      <c r="A26" s="5" t="inlineStr">
        <is>
          <t>1405</t>
        </is>
      </c>
      <c r="B26" s="5" t="inlineStr">
        <is>
          <t>Kristy Keng(Drop/Pickup)</t>
        </is>
      </c>
      <c r="C26" s="5" t="inlineStr">
        <is>
          <t>"DONNA"</t>
        </is>
      </c>
      <c r="D26" s="5" t="inlineStr"/>
      <c r="E26" s="6" t="n">
        <v>1972</v>
      </c>
      <c r="F26" s="5" t="n"/>
      <c r="G26" s="5" t="n"/>
      <c r="H26" s="5" t="n"/>
      <c r="I26" s="5" t="n"/>
      <c r="J26" s="7">
        <f>IF(AND(N(F26)&gt;0,N(I26)&gt;0),I26-F26-IF(N(G26)&gt;0,0.5,0)-IF(N(H26)&gt;0,0.5,0),0)</f>
        <v/>
      </c>
      <c r="K26" s="5" t="n"/>
      <c r="L26" s="7">
        <f>MIN(J26,8.0)</f>
        <v/>
      </c>
      <c r="M26" s="7">
        <f>MAX(0,MIN(J26,12)-8.0)</f>
        <v/>
      </c>
      <c r="N26" s="7">
        <f>MAX(0,J26-12)</f>
        <v/>
      </c>
      <c r="O26" s="5" t="n"/>
      <c r="P26" s="6">
        <f>E26*(L26+M26*1.5+N26*2+O26*3+N(K26))</f>
        <v/>
      </c>
      <c r="Q26" s="6" t="n">
        <v>1972</v>
      </c>
      <c r="R26" s="6">
        <f>Q26-P26</f>
        <v/>
      </c>
    </row>
    <row r="27">
      <c r="A27" s="5" t="inlineStr">
        <is>
          <t>1405</t>
        </is>
      </c>
      <c r="B27" s="5" t="inlineStr">
        <is>
          <t>Oliver Alexander</t>
        </is>
      </c>
      <c r="C27" s="5" t="inlineStr">
        <is>
          <t>"CARLOS"(Minor)</t>
        </is>
      </c>
      <c r="D27" s="5" t="inlineStr"/>
      <c r="E27" s="6" t="n">
        <v>1249</v>
      </c>
      <c r="F27" s="5" t="n"/>
      <c r="G27" s="5" t="n"/>
      <c r="H27" s="5" t="n"/>
      <c r="I27" s="5" t="n"/>
      <c r="J27" s="7">
        <f>IF(AND(N(F27)&gt;0,N(I27)&gt;0),I27-F27-IF(N(G27)&gt;0,0.5,0)-IF(N(H27)&gt;0,0.5,0),0)</f>
        <v/>
      </c>
      <c r="K27" s="5" t="n"/>
      <c r="L27" s="7">
        <f>MIN(J27,8.0)</f>
        <v/>
      </c>
      <c r="M27" s="7">
        <f>MAX(0,MIN(J27,12)-8.0)</f>
        <v/>
      </c>
      <c r="N27" s="7">
        <f>MAX(0,J27-12)</f>
        <v/>
      </c>
      <c r="O27" s="5" t="n"/>
      <c r="P27" s="6">
        <f>E27*(L27+M27*1.5+N27*2+O27*3+N(K27))</f>
        <v/>
      </c>
      <c r="Q27" s="6" t="n">
        <v>1249</v>
      </c>
      <c r="R27" s="6">
        <f>Q27-P27</f>
        <v/>
      </c>
    </row>
    <row r="28">
      <c r="A28" s="5" t="inlineStr">
        <is>
          <t>1405</t>
        </is>
      </c>
      <c r="B28" s="5" t="inlineStr">
        <is>
          <t>Adam Lewandowski</t>
        </is>
      </c>
      <c r="C28" s="5" t="inlineStr">
        <is>
          <t>"TOMAS"(Minor)</t>
        </is>
      </c>
      <c r="D28" s="5" t="inlineStr"/>
      <c r="E28" s="6" t="n">
        <v>1249</v>
      </c>
      <c r="F28" s="5" t="n"/>
      <c r="G28" s="5" t="n"/>
      <c r="H28" s="5" t="n"/>
      <c r="I28" s="5" t="n"/>
      <c r="J28" s="7">
        <f>IF(AND(N(F28)&gt;0,N(I28)&gt;0),I28-F28-IF(N(G28)&gt;0,0.5,0)-IF(N(H28)&gt;0,0.5,0),0)</f>
        <v/>
      </c>
      <c r="K28" s="5" t="n"/>
      <c r="L28" s="7">
        <f>MIN(J28,8.0)</f>
        <v/>
      </c>
      <c r="M28" s="7">
        <f>MAX(0,MIN(J28,12)-8.0)</f>
        <v/>
      </c>
      <c r="N28" s="7">
        <f>MAX(0,J28-12)</f>
        <v/>
      </c>
      <c r="O28" s="5" t="n"/>
      <c r="P28" s="6">
        <f>E28*(L28+M28*1.5+N28*2+O28*3+N(K28))</f>
        <v/>
      </c>
      <c r="Q28" s="6" t="n">
        <v>1249</v>
      </c>
      <c r="R28" s="6">
        <f>Q28-P28</f>
        <v/>
      </c>
    </row>
    <row r="29">
      <c r="A29" s="5" t="inlineStr">
        <is>
          <t>1405</t>
        </is>
      </c>
      <c r="B29" s="5" t="inlineStr">
        <is>
          <t>Paul Rodriquez Jr.</t>
        </is>
      </c>
      <c r="C29" s="5" t="inlineStr">
        <is>
          <t>"OFFICERCLARO"</t>
        </is>
      </c>
      <c r="D29" s="5" t="inlineStr"/>
      <c r="E29" s="6" t="n">
        <v>1972</v>
      </c>
      <c r="F29" s="5" t="n"/>
      <c r="G29" s="5" t="n"/>
      <c r="H29" s="5" t="n"/>
      <c r="I29" s="5" t="n"/>
      <c r="J29" s="7">
        <f>IF(AND(N(F29)&gt;0,N(I29)&gt;0),I29-F29-IF(N(G29)&gt;0,0.5,0)-IF(N(H29)&gt;0,0.5,0),0)</f>
        <v/>
      </c>
      <c r="K29" s="5" t="n"/>
      <c r="L29" s="7">
        <f>MIN(J29,8.0)</f>
        <v/>
      </c>
      <c r="M29" s="7">
        <f>MAX(0,MIN(J29,12)-8.0)</f>
        <v/>
      </c>
      <c r="N29" s="7">
        <f>MAX(0,J29-12)</f>
        <v/>
      </c>
      <c r="O29" s="5" t="n"/>
      <c r="P29" s="6">
        <f>E29*(L29+M29*1.5+N29*2+O29*3+N(K29))</f>
        <v/>
      </c>
      <c r="Q29" s="6" t="n">
        <v>1972</v>
      </c>
      <c r="R29" s="6">
        <f>Q29-P29</f>
        <v/>
      </c>
    </row>
    <row r="30">
      <c r="A30" s="5" t="inlineStr">
        <is>
          <t>1405</t>
        </is>
      </c>
      <c r="B30" s="5" t="inlineStr">
        <is>
          <t>Sophia Santi</t>
        </is>
      </c>
      <c r="C30" s="5" t="inlineStr">
        <is>
          <t>"FEMALECUSTOMER"</t>
        </is>
      </c>
      <c r="D30" s="5" t="inlineStr"/>
      <c r="E30" s="6" t="n">
        <v>1972</v>
      </c>
      <c r="F30" s="5" t="n"/>
      <c r="G30" s="5" t="n"/>
      <c r="H30" s="5" t="n"/>
      <c r="I30" s="5" t="n"/>
      <c r="J30" s="7">
        <f>IF(AND(N(F30)&gt;0,N(I30)&gt;0),I30-F30-IF(N(G30)&gt;0,0.5,0)-IF(N(H30)&gt;0,0.5,0),0)</f>
        <v/>
      </c>
      <c r="K30" s="5" t="n"/>
      <c r="L30" s="7">
        <f>MIN(J30,8.0)</f>
        <v/>
      </c>
      <c r="M30" s="7">
        <f>MAX(0,MIN(J30,12)-8.0)</f>
        <v/>
      </c>
      <c r="N30" s="7">
        <f>MAX(0,J30-12)</f>
        <v/>
      </c>
      <c r="O30" s="5" t="n"/>
      <c r="P30" s="6">
        <f>E30*(L30+M30*1.5+N30*2+O30*3+N(K30))</f>
        <v/>
      </c>
      <c r="Q30" s="6" t="n">
        <v>1972</v>
      </c>
      <c r="R30" s="6">
        <f>Q30-P30</f>
        <v/>
      </c>
    </row>
    <row r="31">
      <c r="A31" s="5" t="inlineStr">
        <is>
          <t>1405</t>
        </is>
      </c>
      <c r="B31" s="5" t="inlineStr">
        <is>
          <t>John Marshall Jones</t>
        </is>
      </c>
      <c r="C31" s="5" t="inlineStr">
        <is>
          <t>"MRHANKINS"</t>
        </is>
      </c>
      <c r="D31" s="5" t="inlineStr"/>
      <c r="E31" s="6" t="n">
        <v>1972</v>
      </c>
      <c r="F31" s="5" t="n"/>
      <c r="G31" s="5" t="n"/>
      <c r="H31" s="5" t="n"/>
      <c r="I31" s="5" t="n"/>
      <c r="J31" s="7">
        <f>IF(AND(N(F31)&gt;0,N(I31)&gt;0),I31-F31-IF(N(G31)&gt;0,0.5,0)-IF(N(H31)&gt;0,0.5,0),0)</f>
        <v/>
      </c>
      <c r="K31" s="5" t="n"/>
      <c r="L31" s="7">
        <f>MIN(J31,8.0)</f>
        <v/>
      </c>
      <c r="M31" s="7">
        <f>MAX(0,MIN(J31,12)-8.0)</f>
        <v/>
      </c>
      <c r="N31" s="7">
        <f>MAX(0,J31-12)</f>
        <v/>
      </c>
      <c r="O31" s="5" t="n"/>
      <c r="P31" s="6">
        <f>E31*(L31+M31*1.5+N31*2+O31*3+N(K31))</f>
        <v/>
      </c>
      <c r="Q31" s="6" t="n">
        <v>1972</v>
      </c>
      <c r="R31" s="6">
        <f>Q31-P31</f>
        <v/>
      </c>
    </row>
    <row r="32">
      <c r="A32" s="5" t="inlineStr">
        <is>
          <t>1405</t>
        </is>
      </c>
      <c r="B32" s="5" t="inlineStr">
        <is>
          <t>Madeleine Mcgraw</t>
        </is>
      </c>
      <c r="C32" s="5" t="inlineStr">
        <is>
          <t>"APRIL"(Minor)</t>
        </is>
      </c>
      <c r="D32" s="5" t="inlineStr"/>
      <c r="E32" s="6" t="n">
        <v>1249</v>
      </c>
      <c r="F32" s="5" t="n"/>
      <c r="G32" s="5" t="n"/>
      <c r="H32" s="5" t="n"/>
      <c r="I32" s="5" t="n"/>
      <c r="J32" s="7">
        <f>IF(AND(N(F32)&gt;0,N(I32)&gt;0),I32-F32-IF(N(G32)&gt;0,0.5,0)-IF(N(H32)&gt;0,0.5,0),0)</f>
        <v/>
      </c>
      <c r="K32" s="5" t="n"/>
      <c r="L32" s="7">
        <f>MIN(J32,8.0)</f>
        <v/>
      </c>
      <c r="M32" s="7">
        <f>MAX(0,MIN(J32,12)-8.0)</f>
        <v/>
      </c>
      <c r="N32" s="7">
        <f>MAX(0,J32-12)</f>
        <v/>
      </c>
      <c r="O32" s="5" t="n"/>
      <c r="P32" s="6">
        <f>E32*(L32+M32*1.5+N32*2+O32*3+N(K32))</f>
        <v/>
      </c>
      <c r="Q32" s="6" t="n">
        <v>1249</v>
      </c>
      <c r="R32" s="6">
        <f>Q32-P32</f>
        <v/>
      </c>
    </row>
    <row r="33">
      <c r="P33" s="2" t="inlineStr">
        <is>
          <t>DAYPLAYERS LABOR</t>
        </is>
      </c>
      <c r="R33" s="8">
        <f>SUM(R26:R32)</f>
        <v/>
      </c>
    </row>
    <row r="35">
      <c r="B35" s="2" t="inlineStr">
        <is>
          <t>STUNTCOORD</t>
        </is>
      </c>
    </row>
    <row r="36">
      <c r="A36" s="5" t="inlineStr">
        <is>
          <t>1406</t>
        </is>
      </c>
      <c r="B36" s="5" t="inlineStr">
        <is>
          <t>Rob King</t>
        </is>
      </c>
      <c r="C36" s="5" t="inlineStr">
        <is>
          <t>STUNTCOORDINATOR</t>
        </is>
      </c>
      <c r="D36" s="5" t="inlineStr"/>
      <c r="E36" s="6" t="n">
        <v>1173</v>
      </c>
      <c r="F36" s="5" t="n"/>
      <c r="G36" s="5" t="n"/>
      <c r="H36" s="5" t="n"/>
      <c r="I36" s="5" t="n"/>
      <c r="J36" s="7">
        <f>IF(AND(N(F36)&gt;0,N(I36)&gt;0),I36-F36-IF(N(G36)&gt;0,0.5,0)-IF(N(H36)&gt;0,0.5,0),0)</f>
        <v/>
      </c>
      <c r="K36" s="5" t="n"/>
      <c r="L36" s="7">
        <f>MIN(J36,8.0)</f>
        <v/>
      </c>
      <c r="M36" s="7">
        <f>MAX(0,MIN(J36,12)-8.0)</f>
        <v/>
      </c>
      <c r="N36" s="7">
        <f>MAX(0,J36-12)</f>
        <v/>
      </c>
      <c r="O36" s="5" t="n"/>
      <c r="P36" s="6">
        <f>E36*(L36+M36*1.5+N36*2+O36*3+N(K36))</f>
        <v/>
      </c>
      <c r="Q36" s="6" t="n">
        <v>1173</v>
      </c>
      <c r="R36" s="6">
        <f>Q36-P36</f>
        <v/>
      </c>
    </row>
    <row r="37">
      <c r="P37" s="2" t="inlineStr">
        <is>
          <t>STUNTCOORD LABOR</t>
        </is>
      </c>
      <c r="R37" s="8">
        <f>SUM(R36:R36)</f>
        <v/>
      </c>
    </row>
    <row r="39">
      <c r="B39" s="2" t="inlineStr">
        <is>
          <t>TEACHER/WELFAREWORKER</t>
        </is>
      </c>
    </row>
    <row r="40">
      <c r="A40" s="5" t="inlineStr">
        <is>
          <t>1412</t>
        </is>
      </c>
      <c r="B40" s="5" t="inlineStr"/>
      <c r="C40" s="5" t="inlineStr">
        <is>
          <t>WELFAREWORKER</t>
        </is>
      </c>
      <c r="D40" s="5" t="inlineStr">
        <is>
          <t>Local884</t>
        </is>
      </c>
      <c r="E40" s="6" t="n">
        <v>25.5</v>
      </c>
      <c r="F40" s="5" t="n"/>
      <c r="G40" s="5" t="n"/>
      <c r="H40" s="5" t="n"/>
      <c r="I40" s="5" t="n"/>
      <c r="J40" s="7">
        <f>IF(AND(N(F40)&gt;0,N(I40)&gt;0),I40-F40-IF(N(G40)&gt;0,0.5,0)-IF(N(H40)&gt;0,0.5,0),0)</f>
        <v/>
      </c>
      <c r="K40" s="5" t="n"/>
      <c r="L40" s="7">
        <f>MIN(J40,8.0)</f>
        <v/>
      </c>
      <c r="M40" s="7">
        <f>MAX(0,MIN(J40,12)-8.0)</f>
        <v/>
      </c>
      <c r="N40" s="7">
        <f>MAX(0,J40-12)</f>
        <v/>
      </c>
      <c r="O40" s="5" t="n"/>
      <c r="P40" s="6">
        <f>E40*(L40+M40*1.5+N40*2+O40*3+N(K40))</f>
        <v/>
      </c>
      <c r="Q40" s="6" t="n">
        <v>280.5</v>
      </c>
      <c r="R40" s="6">
        <f>Q40-P40</f>
        <v/>
      </c>
    </row>
    <row r="41">
      <c r="A41" s="5" t="inlineStr">
        <is>
          <t>1412</t>
        </is>
      </c>
      <c r="B41" s="5" t="inlineStr"/>
      <c r="C41" s="5" t="inlineStr">
        <is>
          <t>ADDLWELFAREWORKER</t>
        </is>
      </c>
      <c r="D41" s="5" t="inlineStr">
        <is>
          <t>Local884</t>
        </is>
      </c>
      <c r="E41" s="6" t="n">
        <v>25.5</v>
      </c>
      <c r="F41" s="5" t="n"/>
      <c r="G41" s="5" t="n"/>
      <c r="H41" s="5" t="n"/>
      <c r="I41" s="5" t="n"/>
      <c r="J41" s="7">
        <f>IF(AND(N(F41)&gt;0,N(I41)&gt;0),I41-F41-IF(N(G41)&gt;0,0.5,0)-IF(N(H41)&gt;0,0.5,0),0)</f>
        <v/>
      </c>
      <c r="K41" s="5" t="n"/>
      <c r="L41" s="7">
        <f>MIN(J41,8.0)</f>
        <v/>
      </c>
      <c r="M41" s="7">
        <f>MAX(0,MIN(J41,12)-8.0)</f>
        <v/>
      </c>
      <c r="N41" s="7">
        <f>MAX(0,J41-12)</f>
        <v/>
      </c>
      <c r="O41" s="5" t="n"/>
      <c r="P41" s="6">
        <f>E41*(L41+M41*1.5+N41*2+O41*3+N(K41))</f>
        <v/>
      </c>
      <c r="Q41" s="6" t="n">
        <v>280.5</v>
      </c>
      <c r="R41" s="6">
        <f>Q41-P41</f>
        <v/>
      </c>
    </row>
    <row r="42">
      <c r="P42" s="2" t="inlineStr">
        <is>
          <t>TEACHER/WELFAREWORKER LABOR</t>
        </is>
      </c>
      <c r="R42" s="8">
        <f>SUM(R40:R41)</f>
        <v/>
      </c>
    </row>
    <row r="44">
      <c r="B44" s="2" t="inlineStr">
        <is>
          <t>CASTINGDIRECTORS</t>
        </is>
      </c>
    </row>
    <row r="45">
      <c r="A45" s="5" t="inlineStr">
        <is>
          <t>1413</t>
        </is>
      </c>
      <c r="B45" s="5" t="inlineStr">
        <is>
          <t>Rich Delia</t>
        </is>
      </c>
      <c r="C45" s="5" t="inlineStr">
        <is>
          <t>CASTINGDIRECTOR</t>
        </is>
      </c>
      <c r="D45" s="5" t="inlineStr"/>
      <c r="E45" s="6" t="n">
        <v>600</v>
      </c>
      <c r="F45" s="5" t="n"/>
      <c r="G45" s="5" t="n"/>
      <c r="H45" s="5" t="n"/>
      <c r="I45" s="5" t="n"/>
      <c r="J45" s="7">
        <f>IF(AND(N(F45)&gt;0,N(I45)&gt;0),I45-F45-IF(N(G45)&gt;0,0.5,0)-IF(N(H45)&gt;0,0.5,0),0)</f>
        <v/>
      </c>
      <c r="K45" s="5" t="n"/>
      <c r="L45" s="7">
        <f>MIN(J45,8.0)</f>
        <v/>
      </c>
      <c r="M45" s="7">
        <f>MAX(0,MIN(J45,12)-8.0)</f>
        <v/>
      </c>
      <c r="N45" s="7">
        <f>MAX(0,J45-12)</f>
        <v/>
      </c>
      <c r="O45" s="5" t="n"/>
      <c r="P45" s="6">
        <f>E45*(L45+M45*1.5+N45*2+O45*3+N(K45))</f>
        <v/>
      </c>
      <c r="Q45" s="5" t="n"/>
      <c r="R45" s="6">
        <f>Q45-P45</f>
        <v/>
      </c>
    </row>
    <row r="46">
      <c r="P46" s="2" t="inlineStr">
        <is>
          <t>CASTINGDIRECTORS LABOR</t>
        </is>
      </c>
      <c r="R46" s="8">
        <f>SUM(R45:R45)</f>
        <v/>
      </c>
    </row>
    <row r="48">
      <c r="B48" s="2" t="inlineStr">
        <is>
          <t>CASTINGASSOCIATES/ASSISTANTS</t>
        </is>
      </c>
    </row>
    <row r="49">
      <c r="A49" s="5" t="inlineStr">
        <is>
          <t>1414</t>
        </is>
      </c>
      <c r="B49" s="5" t="inlineStr">
        <is>
          <t>Adam Richards</t>
        </is>
      </c>
      <c r="C49" s="5" t="inlineStr">
        <is>
          <t>CASTINGASSOCIATE</t>
        </is>
      </c>
      <c r="D49" s="5" t="inlineStr"/>
      <c r="E49" s="6" t="n">
        <v>200</v>
      </c>
      <c r="F49" s="5" t="n"/>
      <c r="G49" s="5" t="n"/>
      <c r="H49" s="5" t="n"/>
      <c r="I49" s="5" t="n"/>
      <c r="J49" s="7">
        <f>IF(AND(N(F49)&gt;0,N(I49)&gt;0),I49-F49-IF(N(G49)&gt;0,0.5,0)-IF(N(H49)&gt;0,0.5,0),0)</f>
        <v/>
      </c>
      <c r="K49" s="5" t="n"/>
      <c r="L49" s="7">
        <f>MIN(J49,8.0)</f>
        <v/>
      </c>
      <c r="M49" s="7">
        <f>MAX(0,MIN(J49,12)-8.0)</f>
        <v/>
      </c>
      <c r="N49" s="7">
        <f>MAX(0,J49-12)</f>
        <v/>
      </c>
      <c r="O49" s="5" t="n"/>
      <c r="P49" s="6">
        <f>E49*(L49+M49*1.5+N49*2+O49*3+N(K49))</f>
        <v/>
      </c>
      <c r="Q49" s="5" t="n"/>
      <c r="R49" s="6">
        <f>Q49-P49</f>
        <v/>
      </c>
    </row>
    <row r="50">
      <c r="P50" s="2" t="inlineStr">
        <is>
          <t>CASTINGASSOCIATES/ASSISTANTS LABOR</t>
        </is>
      </c>
      <c r="R50" s="8">
        <f>SUM(R49:R49)</f>
        <v/>
      </c>
    </row>
    <row r="52">
      <c r="B52" s="2" t="inlineStr">
        <is>
          <t>CASTDRIVERS/VEHICLES</t>
        </is>
      </c>
    </row>
    <row r="53">
      <c r="A53" s="5" t="inlineStr">
        <is>
          <t>1455</t>
        </is>
      </c>
      <c r="B53" s="5" t="inlineStr"/>
      <c r="C53" s="5" t="inlineStr">
        <is>
          <t>CAST 3-RMDRIVER</t>
        </is>
      </c>
      <c r="D53" s="5" t="inlineStr">
        <is>
          <t>Local399</t>
        </is>
      </c>
      <c r="E53" s="6" t="n">
        <v>32.36</v>
      </c>
      <c r="F53" s="5" t="n"/>
      <c r="G53" s="5" t="n"/>
      <c r="H53" s="5" t="n"/>
      <c r="I53" s="5" t="n"/>
      <c r="J53" s="7">
        <f>IF(AND(N(F53)&gt;0,N(I53)&gt;0),I53-F53-IF(N(G53)&gt;0,0.5,0)-IF(N(H53)&gt;0,0.5,0),0)</f>
        <v/>
      </c>
      <c r="K53" s="5" t="n"/>
      <c r="L53" s="7">
        <f>MIN(J53,8.0)</f>
        <v/>
      </c>
      <c r="M53" s="7">
        <f>MAX(0,MIN(J53,12)-8.0)</f>
        <v/>
      </c>
      <c r="N53" s="7">
        <f>MAX(0,J53-12)</f>
        <v/>
      </c>
      <c r="O53" s="5" t="n"/>
      <c r="P53" s="6">
        <f>E53*(L53+M53*1.5+N53*2+O53*3+N(K53))</f>
        <v/>
      </c>
      <c r="Q53" s="6" t="n">
        <v>501.58</v>
      </c>
      <c r="R53" s="6">
        <f>Q53-P53</f>
        <v/>
      </c>
    </row>
    <row r="54">
      <c r="A54" s="5" t="inlineStr">
        <is>
          <t>1455</t>
        </is>
      </c>
      <c r="B54" s="5" t="inlineStr"/>
      <c r="C54" s="5" t="inlineStr">
        <is>
          <t>CASTMINIVANDRIVER</t>
        </is>
      </c>
      <c r="D54" s="5" t="inlineStr">
        <is>
          <t>Local399</t>
        </is>
      </c>
      <c r="E54" s="6" t="n">
        <v>32.36</v>
      </c>
      <c r="F54" s="5" t="n"/>
      <c r="G54" s="5" t="n"/>
      <c r="H54" s="5" t="n"/>
      <c r="I54" s="5" t="n"/>
      <c r="J54" s="7">
        <f>IF(AND(N(F54)&gt;0,N(I54)&gt;0),I54-F54-IF(N(G54)&gt;0,0.5,0)-IF(N(H54)&gt;0,0.5,0),0)</f>
        <v/>
      </c>
      <c r="K54" s="5" t="n"/>
      <c r="L54" s="7">
        <f>MIN(J54,8.0)</f>
        <v/>
      </c>
      <c r="M54" s="7">
        <f>MAX(0,MIN(J54,12)-8.0)</f>
        <v/>
      </c>
      <c r="N54" s="7">
        <f>MAX(0,J54-12)</f>
        <v/>
      </c>
      <c r="O54" s="5" t="n"/>
      <c r="P54" s="6">
        <f>E54*(L54+M54*1.5+N54*2+O54*3+N(K54))</f>
        <v/>
      </c>
      <c r="Q54" s="6" t="n">
        <v>501.58</v>
      </c>
      <c r="R54" s="6">
        <f>Q54-P54</f>
        <v/>
      </c>
    </row>
    <row r="55">
      <c r="P55" s="2" t="inlineStr">
        <is>
          <t>CASTDRIVERS/VEHICLES LABOR</t>
        </is>
      </c>
      <c r="R55" s="8">
        <f>SUM(R53:R54)</f>
        <v/>
      </c>
    </row>
    <row r="57">
      <c r="B57" s="2" t="inlineStr">
        <is>
          <t>PRODUCTIONMANAGER</t>
        </is>
      </c>
    </row>
    <row r="58">
      <c r="A58" s="5" t="inlineStr">
        <is>
          <t>2001</t>
        </is>
      </c>
      <c r="B58" s="5" t="inlineStr">
        <is>
          <t>Carrie Morrow</t>
        </is>
      </c>
      <c r="C58" s="5" t="inlineStr">
        <is>
          <t>UPM</t>
        </is>
      </c>
      <c r="D58" s="5" t="inlineStr">
        <is>
          <t>DGA</t>
        </is>
      </c>
      <c r="E58" s="6" t="n">
        <v>1063.6</v>
      </c>
      <c r="F58" s="5" t="n"/>
      <c r="G58" s="5" t="n"/>
      <c r="H58" s="5" t="n"/>
      <c r="I58" s="5" t="n"/>
      <c r="J58" s="7">
        <f>IF(AND(N(F58)&gt;0,N(I58)&gt;0),I58-F58-IF(N(G58)&gt;0,0.5,0)-IF(N(H58)&gt;0,0.5,0),0)</f>
        <v/>
      </c>
      <c r="K58" s="5" t="n"/>
      <c r="L58" s="7">
        <f>MIN(J58,8.0)</f>
        <v/>
      </c>
      <c r="M58" s="7">
        <f>MAX(0,MIN(J58,12)-8.0)</f>
        <v/>
      </c>
      <c r="N58" s="7">
        <f>MAX(0,J58-12)</f>
        <v/>
      </c>
      <c r="O58" s="5" t="n"/>
      <c r="P58" s="6">
        <f>E58*(L58+M58*1.5+N58*2+O58*3+N(K58))</f>
        <v/>
      </c>
      <c r="Q58" s="6" t="n">
        <v>1063.6</v>
      </c>
      <c r="R58" s="6">
        <f>Q58-P58</f>
        <v/>
      </c>
    </row>
    <row r="59">
      <c r="P59" s="2" t="inlineStr">
        <is>
          <t>PRODUCTIONMANAGER LABOR</t>
        </is>
      </c>
      <c r="R59" s="8">
        <f>SUM(R58:R58)</f>
        <v/>
      </c>
    </row>
    <row r="61">
      <c r="B61" s="2" t="inlineStr">
        <is>
          <t>1STASSTDIRECTOR</t>
        </is>
      </c>
    </row>
    <row r="62">
      <c r="A62" s="5" t="inlineStr">
        <is>
          <t>2002</t>
        </is>
      </c>
      <c r="B62" s="5" t="inlineStr">
        <is>
          <t>James Moran</t>
        </is>
      </c>
      <c r="C62" s="5" t="inlineStr">
        <is>
          <t>1STASSTDIRECTOR</t>
        </is>
      </c>
      <c r="D62" s="5" t="inlineStr">
        <is>
          <t>DGA</t>
        </is>
      </c>
      <c r="E62" s="6" t="n">
        <v>985.6</v>
      </c>
      <c r="F62" s="5" t="n"/>
      <c r="G62" s="5" t="n"/>
      <c r="H62" s="5" t="n"/>
      <c r="I62" s="5" t="n"/>
      <c r="J62" s="7">
        <f>IF(AND(N(F62)&gt;0,N(I62)&gt;0),I62-F62-IF(N(G62)&gt;0,0.5,0)-IF(N(H62)&gt;0,0.5,0),0)</f>
        <v/>
      </c>
      <c r="K62" s="5" t="n"/>
      <c r="L62" s="7">
        <f>MIN(J62,8.0)</f>
        <v/>
      </c>
      <c r="M62" s="7">
        <f>MAX(0,MIN(J62,12)-8.0)</f>
        <v/>
      </c>
      <c r="N62" s="7">
        <f>MAX(0,J62-12)</f>
        <v/>
      </c>
      <c r="O62" s="5" t="n"/>
      <c r="P62" s="6">
        <f>E62*(L62+M62*1.5+N62*2+O62*3+N(K62))</f>
        <v/>
      </c>
      <c r="Q62" s="6" t="n">
        <v>985.6</v>
      </c>
      <c r="R62" s="6">
        <f>Q62-P62</f>
        <v/>
      </c>
    </row>
    <row r="63">
      <c r="P63" s="2" t="inlineStr">
        <is>
          <t>1STASSTDIRECTOR LABOR</t>
        </is>
      </c>
      <c r="R63" s="8">
        <f>SUM(R62:R62)</f>
        <v/>
      </c>
    </row>
    <row r="65">
      <c r="B65" s="2" t="inlineStr">
        <is>
          <t>2NDASSTDIRECTORS</t>
        </is>
      </c>
    </row>
    <row r="66">
      <c r="A66" s="5" t="inlineStr">
        <is>
          <t>2003</t>
        </is>
      </c>
      <c r="B66" s="5" t="inlineStr">
        <is>
          <t>Mark Newland</t>
        </is>
      </c>
      <c r="C66" s="5" t="inlineStr">
        <is>
          <t>KEY 2NDA. D.</t>
        </is>
      </c>
      <c r="D66" s="5" t="inlineStr">
        <is>
          <t>DGA</t>
        </is>
      </c>
      <c r="E66" s="6" t="n">
        <v>674.6</v>
      </c>
      <c r="F66" s="5" t="n"/>
      <c r="G66" s="5" t="n"/>
      <c r="H66" s="5" t="n"/>
      <c r="I66" s="5" t="n"/>
      <c r="J66" s="7">
        <f>IF(AND(N(F66)&gt;0,N(I66)&gt;0),I66-F66-IF(N(G66)&gt;0,0.5,0)-IF(N(H66)&gt;0,0.5,0),0)</f>
        <v/>
      </c>
      <c r="K66" s="5" t="n"/>
      <c r="L66" s="7">
        <f>MIN(J66,8.0)</f>
        <v/>
      </c>
      <c r="M66" s="7">
        <f>MAX(0,MIN(J66,12)-8.0)</f>
        <v/>
      </c>
      <c r="N66" s="7">
        <f>MAX(0,J66-12)</f>
        <v/>
      </c>
      <c r="O66" s="5" t="n"/>
      <c r="P66" s="6">
        <f>E66*(L66+M66*1.5+N66*2+O66*3+N(K66))</f>
        <v/>
      </c>
      <c r="Q66" s="6" t="n">
        <v>674.6</v>
      </c>
      <c r="R66" s="6">
        <f>Q66-P66</f>
        <v/>
      </c>
    </row>
    <row r="67">
      <c r="A67" s="5" t="inlineStr">
        <is>
          <t>2003</t>
        </is>
      </c>
      <c r="B67" s="5" t="inlineStr"/>
      <c r="C67" s="5" t="inlineStr">
        <is>
          <t>2ND 2NDA. D.</t>
        </is>
      </c>
      <c r="D67" s="5" t="inlineStr">
        <is>
          <t>DGA</t>
        </is>
      </c>
      <c r="E67" s="6" t="n">
        <v>526</v>
      </c>
      <c r="F67" s="5" t="n"/>
      <c r="G67" s="5" t="n"/>
      <c r="H67" s="5" t="n"/>
      <c r="I67" s="5" t="n"/>
      <c r="J67" s="7">
        <f>IF(AND(N(F67)&gt;0,N(I67)&gt;0),I67-F67-IF(N(G67)&gt;0,0.5,0)-IF(N(H67)&gt;0,0.5,0),0)</f>
        <v/>
      </c>
      <c r="K67" s="5" t="n"/>
      <c r="L67" s="7">
        <f>MIN(J67,8.0)</f>
        <v/>
      </c>
      <c r="M67" s="7">
        <f>MAX(0,MIN(J67,12)-8.0)</f>
        <v/>
      </c>
      <c r="N67" s="7">
        <f>MAX(0,J67-12)</f>
        <v/>
      </c>
      <c r="O67" s="5" t="n"/>
      <c r="P67" s="6">
        <f>E67*(L67+M67*1.5+N67*2+O67*3+N(K67))</f>
        <v/>
      </c>
      <c r="Q67" s="6" t="n">
        <v>526</v>
      </c>
      <c r="R67" s="6">
        <f>Q67-P67</f>
        <v/>
      </c>
    </row>
    <row r="68">
      <c r="P68" s="2" t="inlineStr">
        <is>
          <t>2NDASSTDIRECTORS LABOR</t>
        </is>
      </c>
      <c r="R68" s="8">
        <f>SUM(R66:R67)</f>
        <v/>
      </c>
    </row>
    <row r="70">
      <c r="B70" s="2" t="inlineStr">
        <is>
          <t>SCRIPTSUPERVISOR</t>
        </is>
      </c>
    </row>
    <row r="71">
      <c r="A71" s="5" t="inlineStr">
        <is>
          <t>2005</t>
        </is>
      </c>
      <c r="B71" s="5" t="inlineStr">
        <is>
          <t>Renata Amador</t>
        </is>
      </c>
      <c r="C71" s="5" t="inlineStr">
        <is>
          <t>SCRIPTSUPERVISOR</t>
        </is>
      </c>
      <c r="D71" s="5" t="inlineStr">
        <is>
          <t>Local871</t>
        </is>
      </c>
      <c r="E71" s="6" t="n">
        <v>25.5</v>
      </c>
      <c r="F71" s="5" t="n"/>
      <c r="G71" s="5" t="n"/>
      <c r="H71" s="5" t="n"/>
      <c r="I71" s="5" t="n"/>
      <c r="J71" s="7">
        <f>IF(AND(N(F71)&gt;0,N(I71)&gt;0),I71-F71-IF(N(G71)&gt;0,0.5,0)-IF(N(H71)&gt;0,0.5,0),0)</f>
        <v/>
      </c>
      <c r="K71" s="5" t="n"/>
      <c r="L71" s="7">
        <f>MIN(J71,10.0)</f>
        <v/>
      </c>
      <c r="M71" s="7">
        <f>MAX(0,MIN(J71,12)-10.0)</f>
        <v/>
      </c>
      <c r="N71" s="7">
        <f>MAX(0,J71-12)</f>
        <v/>
      </c>
      <c r="O71" s="5" t="n"/>
      <c r="P71" s="6">
        <f>E71*(L71+M71*1.5+N71*2+O71*3+N(K71))</f>
        <v/>
      </c>
      <c r="Q71" s="6" t="n">
        <v>439.87</v>
      </c>
      <c r="R71" s="6">
        <f>Q71-P71</f>
        <v/>
      </c>
    </row>
    <row r="72">
      <c r="P72" s="2" t="inlineStr">
        <is>
          <t>SCRIPTSUPERVISOR LABOR</t>
        </is>
      </c>
      <c r="R72" s="8">
        <f>SUM(R71:R71)</f>
        <v/>
      </c>
    </row>
    <row r="74">
      <c r="B74" s="2" t="inlineStr">
        <is>
          <t>LOCATIONMANAGERS</t>
        </is>
      </c>
    </row>
    <row r="75">
      <c r="A75" s="5" t="inlineStr">
        <is>
          <t>2007</t>
        </is>
      </c>
      <c r="B75" s="5" t="inlineStr">
        <is>
          <t>Stacey Brashear-Rodriquez</t>
        </is>
      </c>
      <c r="C75" s="5" t="inlineStr">
        <is>
          <t>LOCATIONMANAGER</t>
        </is>
      </c>
      <c r="D75" s="5" t="inlineStr">
        <is>
          <t>Local399</t>
        </is>
      </c>
      <c r="E75" s="6" t="n">
        <v>557.6</v>
      </c>
      <c r="F75" s="5" t="n"/>
      <c r="G75" s="5" t="n"/>
      <c r="H75" s="5" t="n"/>
      <c r="I75" s="5" t="n"/>
      <c r="J75" s="7">
        <f>IF(AND(N(F75)&gt;0,N(I75)&gt;0),I75-F75-IF(N(G75)&gt;0,0.5,0)-IF(N(H75)&gt;0,0.5,0),0)</f>
        <v/>
      </c>
      <c r="K75" s="5" t="n"/>
      <c r="L75" s="7">
        <f>MIN(J75,8.0)</f>
        <v/>
      </c>
      <c r="M75" s="7">
        <f>MAX(0,MIN(J75,12)-8.0)</f>
        <v/>
      </c>
      <c r="N75" s="7">
        <f>MAX(0,J75-12)</f>
        <v/>
      </c>
      <c r="O75" s="5" t="n"/>
      <c r="P75" s="6">
        <f>E75*(L75+M75*1.5+N75*2+O75*3+N(K75))</f>
        <v/>
      </c>
      <c r="Q75" s="6" t="n">
        <v>557.6</v>
      </c>
      <c r="R75" s="6">
        <f>Q75-P75</f>
        <v/>
      </c>
    </row>
    <row r="76">
      <c r="P76" s="2" t="inlineStr">
        <is>
          <t>LOCATIONMANAGERS LABOR</t>
        </is>
      </c>
      <c r="R76" s="8">
        <f>SUM(R75:R75)</f>
        <v/>
      </c>
    </row>
    <row r="78">
      <c r="B78" s="2" t="inlineStr">
        <is>
          <t>ASSISTANTLOCATIONMANAGERS</t>
        </is>
      </c>
    </row>
    <row r="79">
      <c r="A79" s="5" t="inlineStr">
        <is>
          <t>2008</t>
        </is>
      </c>
      <c r="B79" s="5" t="inlineStr">
        <is>
          <t>Rich Heichel</t>
        </is>
      </c>
      <c r="C79" s="5" t="inlineStr">
        <is>
          <t>KEYASSTLOCATIONMGR#1</t>
        </is>
      </c>
      <c r="D79" s="5" t="inlineStr">
        <is>
          <t>Local399</t>
        </is>
      </c>
      <c r="E79" s="6" t="n">
        <v>334.2</v>
      </c>
      <c r="F79" s="5" t="n"/>
      <c r="G79" s="5" t="n"/>
      <c r="H79" s="5" t="n"/>
      <c r="I79" s="5" t="n"/>
      <c r="J79" s="7">
        <f>IF(AND(N(F79)&gt;0,N(I79)&gt;0),I79-F79-IF(N(G79)&gt;0,0.5,0)-IF(N(H79)&gt;0,0.5,0),0)</f>
        <v/>
      </c>
      <c r="K79" s="5" t="n"/>
      <c r="L79" s="7">
        <f>MIN(J79,8.0)</f>
        <v/>
      </c>
      <c r="M79" s="7">
        <f>MAX(0,MIN(J79,12)-8.0)</f>
        <v/>
      </c>
      <c r="N79" s="7">
        <f>MAX(0,J79-12)</f>
        <v/>
      </c>
      <c r="O79" s="5" t="n"/>
      <c r="P79" s="6">
        <f>E79*(L79+M79*1.5+N79*2+O79*3+N(K79))</f>
        <v/>
      </c>
      <c r="Q79" s="6" t="n">
        <v>334.2</v>
      </c>
      <c r="R79" s="6">
        <f>Q79-P79</f>
        <v/>
      </c>
    </row>
    <row r="80">
      <c r="A80" s="5" t="inlineStr">
        <is>
          <t>2008</t>
        </is>
      </c>
      <c r="B80" s="5" t="inlineStr">
        <is>
          <t>Jason Mc Cauley</t>
        </is>
      </c>
      <c r="C80" s="5" t="inlineStr">
        <is>
          <t>LOCATIONASST</t>
        </is>
      </c>
      <c r="D80" s="5" t="inlineStr">
        <is>
          <t>Local399</t>
        </is>
      </c>
      <c r="E80" s="6" t="n">
        <v>229</v>
      </c>
      <c r="F80" s="5" t="n"/>
      <c r="G80" s="5" t="n"/>
      <c r="H80" s="5" t="n"/>
      <c r="I80" s="5" t="n"/>
      <c r="J80" s="7">
        <f>IF(AND(N(F80)&gt;0,N(I80)&gt;0),I80-F80-IF(N(G80)&gt;0,0.5,0)-IF(N(H80)&gt;0,0.5,0),0)</f>
        <v/>
      </c>
      <c r="K80" s="5" t="n"/>
      <c r="L80" s="7">
        <f>MIN(J80,8.0)</f>
        <v/>
      </c>
      <c r="M80" s="7">
        <f>MAX(0,MIN(J80,12)-8.0)</f>
        <v/>
      </c>
      <c r="N80" s="7">
        <f>MAX(0,J80-12)</f>
        <v/>
      </c>
      <c r="O80" s="5" t="n"/>
      <c r="P80" s="6">
        <f>E80*(L80+M80*1.5+N80*2+O80*3+N(K80))</f>
        <v/>
      </c>
      <c r="Q80" s="6" t="n">
        <v>229</v>
      </c>
      <c r="R80" s="6">
        <f>Q80-P80</f>
        <v/>
      </c>
    </row>
    <row r="81">
      <c r="P81" s="2" t="inlineStr">
        <is>
          <t>ASSISTANTLOCATIONMANAGERS LABOR</t>
        </is>
      </c>
      <c r="R81" s="8">
        <f>SUM(R79:R80)</f>
        <v/>
      </c>
    </row>
    <row r="83">
      <c r="B83" s="2" t="inlineStr">
        <is>
          <t>PRODUCTIONCOORDINATOR</t>
        </is>
      </c>
    </row>
    <row r="84">
      <c r="A84" s="5" t="inlineStr">
        <is>
          <t>2009</t>
        </is>
      </c>
      <c r="B84" s="5" t="inlineStr">
        <is>
          <t>Ali Griffith</t>
        </is>
      </c>
      <c r="C84" s="5" t="inlineStr">
        <is>
          <t>PRODUCTIONOFCCOORD</t>
        </is>
      </c>
      <c r="D84" s="5" t="inlineStr"/>
      <c r="E84" s="6" t="n">
        <v>360</v>
      </c>
      <c r="F84" s="5" t="n"/>
      <c r="G84" s="5" t="n"/>
      <c r="H84" s="5" t="n"/>
      <c r="I84" s="5" t="n"/>
      <c r="J84" s="7">
        <f>IF(AND(N(F84)&gt;0,N(I84)&gt;0),I84-F84-IF(N(G84)&gt;0,0.5,0)-IF(N(H84)&gt;0,0.5,0),0)</f>
        <v/>
      </c>
      <c r="K84" s="5" t="n"/>
      <c r="L84" s="7">
        <f>MIN(J84,8.0)</f>
        <v/>
      </c>
      <c r="M84" s="7">
        <f>MAX(0,MIN(J84,12)-8.0)</f>
        <v/>
      </c>
      <c r="N84" s="7">
        <f>MAX(0,J84-12)</f>
        <v/>
      </c>
      <c r="O84" s="5" t="n"/>
      <c r="P84" s="6">
        <f>E84*(L84+M84*1.5+N84*2+O84*3+N(K84))</f>
        <v/>
      </c>
      <c r="Q84" s="6" t="n">
        <v>360</v>
      </c>
      <c r="R84" s="6">
        <f>Q84-P84</f>
        <v/>
      </c>
    </row>
    <row r="85">
      <c r="P85" s="2" t="inlineStr">
        <is>
          <t>PRODUCTIONCOORDINATOR LABOR</t>
        </is>
      </c>
      <c r="R85" s="8">
        <f>SUM(R84:R84)</f>
        <v/>
      </c>
    </row>
    <row r="87">
      <c r="B87" s="2" t="inlineStr">
        <is>
          <t>ASSTPRODUCTIONCOORDINATOR</t>
        </is>
      </c>
    </row>
    <row r="88">
      <c r="A88" s="5" t="inlineStr">
        <is>
          <t>2010</t>
        </is>
      </c>
      <c r="B88" s="5" t="inlineStr">
        <is>
          <t>Holly Dellocono</t>
        </is>
      </c>
      <c r="C88" s="5" t="inlineStr">
        <is>
          <t>APOC</t>
        </is>
      </c>
      <c r="D88" s="5" t="inlineStr">
        <is>
          <t>Local871</t>
        </is>
      </c>
      <c r="E88" s="6" t="n">
        <v>20.57</v>
      </c>
      <c r="F88" s="5" t="n"/>
      <c r="G88" s="5" t="n"/>
      <c r="H88" s="5" t="n"/>
      <c r="I88" s="5" t="n"/>
      <c r="J88" s="7">
        <f>IF(AND(N(F88)&gt;0,N(I88)&gt;0),I88-F88-IF(N(G88)&gt;0,0.5,0)-IF(N(H88)&gt;0,0.5,0),0)</f>
        <v/>
      </c>
      <c r="K88" s="5" t="n"/>
      <c r="L88" s="7">
        <f>MIN(J88,10.0)</f>
        <v/>
      </c>
      <c r="M88" s="7">
        <f>MAX(0,MIN(J88,12)-10.0)</f>
        <v/>
      </c>
      <c r="N88" s="7">
        <f>MAX(0,J88-12)</f>
        <v/>
      </c>
      <c r="O88" s="5" t="n"/>
      <c r="P88" s="6">
        <f>E88*(L88+M88*1.5+N88*2+O88*3+N(K88))</f>
        <v/>
      </c>
      <c r="Q88" s="6" t="n">
        <v>287.98</v>
      </c>
      <c r="R88" s="6">
        <f>Q88-P88</f>
        <v/>
      </c>
    </row>
    <row r="89">
      <c r="P89" s="2" t="inlineStr">
        <is>
          <t>ASSTPRODUCTIONCOORDINATOR LABOR</t>
        </is>
      </c>
      <c r="R89" s="8">
        <f>SUM(R88:R88)</f>
        <v/>
      </c>
    </row>
    <row r="91">
      <c r="B91" s="2" t="inlineStr">
        <is>
          <t>OFFICESTAFFASSISTANTS</t>
        </is>
      </c>
    </row>
    <row r="92">
      <c r="A92" s="5" t="inlineStr">
        <is>
          <t>2011</t>
        </is>
      </c>
      <c r="B92" s="5" t="inlineStr">
        <is>
          <t>John Humber</t>
        </is>
      </c>
      <c r="C92" s="5" t="inlineStr">
        <is>
          <t>OFFICEPA#1</t>
        </is>
      </c>
      <c r="D92" s="5" t="inlineStr"/>
      <c r="E92" s="6" t="n">
        <v>22.5</v>
      </c>
      <c r="F92" s="5" t="n"/>
      <c r="G92" s="5" t="n"/>
      <c r="H92" s="5" t="n"/>
      <c r="I92" s="5" t="n"/>
      <c r="J92" s="7">
        <f>IF(AND(N(F92)&gt;0,N(I92)&gt;0),I92-F92-IF(N(G92)&gt;0,0.5,0)-IF(N(H92)&gt;0,0.5,0),0)</f>
        <v/>
      </c>
      <c r="K92" s="5" t="n"/>
      <c r="L92" s="7">
        <f>MIN(J92,8.0)</f>
        <v/>
      </c>
      <c r="M92" s="7">
        <f>MAX(0,MIN(J92,12)-8.0)</f>
        <v/>
      </c>
      <c r="N92" s="7">
        <f>MAX(0,J92-12)</f>
        <v/>
      </c>
      <c r="O92" s="5" t="n"/>
      <c r="P92" s="6">
        <f>E92*(L92+M92*1.5+N92*2+O92*3+N(K92))</f>
        <v/>
      </c>
      <c r="Q92" s="6" t="n">
        <v>168</v>
      </c>
      <c r="R92" s="6">
        <f>Q92-P92</f>
        <v/>
      </c>
    </row>
    <row r="93">
      <c r="A93" s="5" t="inlineStr">
        <is>
          <t>2011</t>
        </is>
      </c>
      <c r="B93" s="5" t="inlineStr">
        <is>
          <t>Sarah Semenas</t>
        </is>
      </c>
      <c r="C93" s="5" t="inlineStr">
        <is>
          <t>OFFICEPA#2</t>
        </is>
      </c>
      <c r="D93" s="5" t="inlineStr"/>
      <c r="E93" s="6" t="n">
        <v>22.5</v>
      </c>
      <c r="F93" s="5" t="n"/>
      <c r="G93" s="5" t="n"/>
      <c r="H93" s="5" t="n"/>
      <c r="I93" s="5" t="n"/>
      <c r="J93" s="7">
        <f>IF(AND(N(F93)&gt;0,N(I93)&gt;0),I93-F93-IF(N(G93)&gt;0,0.5,0)-IF(N(H93)&gt;0,0.5,0),0)</f>
        <v/>
      </c>
      <c r="K93" s="5" t="n"/>
      <c r="L93" s="7">
        <f>MIN(J93,8.0)</f>
        <v/>
      </c>
      <c r="M93" s="7">
        <f>MAX(0,MIN(J93,12)-8.0)</f>
        <v/>
      </c>
      <c r="N93" s="7">
        <f>MAX(0,J93-12)</f>
        <v/>
      </c>
      <c r="O93" s="5" t="n"/>
      <c r="P93" s="6">
        <f>E93*(L93+M93*1.5+N93*2+O93*3+N(K93))</f>
        <v/>
      </c>
      <c r="Q93" s="6" t="n">
        <v>168</v>
      </c>
      <c r="R93" s="6">
        <f>Q93-P93</f>
        <v/>
      </c>
    </row>
    <row r="94">
      <c r="P94" s="2" t="inlineStr">
        <is>
          <t>OFFICESTAFFASSISTANTS LABOR</t>
        </is>
      </c>
      <c r="R94" s="8">
        <f>SUM(R92:R93)</f>
        <v/>
      </c>
    </row>
    <row r="96">
      <c r="B96" s="2" t="inlineStr">
        <is>
          <t>SETSTAFFASSISTANTS</t>
        </is>
      </c>
    </row>
    <row r="97">
      <c r="A97" s="5" t="inlineStr">
        <is>
          <t>2012</t>
        </is>
      </c>
      <c r="B97" s="5" t="inlineStr">
        <is>
          <t>Paula Henry</t>
        </is>
      </c>
      <c r="C97" s="5" t="inlineStr">
        <is>
          <t>KEYSETPA</t>
        </is>
      </c>
      <c r="D97" s="5" t="inlineStr"/>
      <c r="E97" s="6" t="n">
        <v>12</v>
      </c>
      <c r="F97" s="5" t="n"/>
      <c r="G97" s="5" t="n"/>
      <c r="H97" s="5" t="n"/>
      <c r="I97" s="5" t="n"/>
      <c r="J97" s="7">
        <f>IF(AND(N(F97)&gt;0,N(I97)&gt;0),I97-F97-IF(N(G97)&gt;0,0.5,0)-IF(N(H97)&gt;0,0.5,0),0)</f>
        <v/>
      </c>
      <c r="K97" s="5" t="n"/>
      <c r="L97" s="7">
        <f>MIN(J97,8.0)</f>
        <v/>
      </c>
      <c r="M97" s="7">
        <f>MAX(0,MIN(J97,12)-8.0)</f>
        <v/>
      </c>
      <c r="N97" s="7">
        <f>MAX(0,J97-12)</f>
        <v/>
      </c>
      <c r="O97" s="5" t="n"/>
      <c r="P97" s="6">
        <f>E97*(L97+M97*1.5+N97*2+O97*3+N(K97))</f>
        <v/>
      </c>
      <c r="Q97" s="6" t="n">
        <v>216</v>
      </c>
      <c r="R97" s="6">
        <f>Q97-P97</f>
        <v/>
      </c>
    </row>
    <row r="98">
      <c r="A98" s="5" t="inlineStr">
        <is>
          <t>2012</t>
        </is>
      </c>
      <c r="B98" s="5" t="inlineStr"/>
      <c r="C98" s="5" t="inlineStr">
        <is>
          <t>SETPA#2</t>
        </is>
      </c>
      <c r="D98" s="5" t="inlineStr"/>
      <c r="E98" s="6" t="n">
        <v>12</v>
      </c>
      <c r="F98" s="5" t="n"/>
      <c r="G98" s="5" t="n"/>
      <c r="H98" s="5" t="n"/>
      <c r="I98" s="5" t="n"/>
      <c r="J98" s="7">
        <f>IF(AND(N(F98)&gt;0,N(I98)&gt;0),I98-F98-IF(N(G98)&gt;0,0.5,0)-IF(N(H98)&gt;0,0.5,0),0)</f>
        <v/>
      </c>
      <c r="K98" s="5" t="n"/>
      <c r="L98" s="7">
        <f>MIN(J98,8.0)</f>
        <v/>
      </c>
      <c r="M98" s="7">
        <f>MAX(0,MIN(J98,12)-8.0)</f>
        <v/>
      </c>
      <c r="N98" s="7">
        <f>MAX(0,J98-12)</f>
        <v/>
      </c>
      <c r="O98" s="5" t="n"/>
      <c r="P98" s="6">
        <f>E98*(L98+M98*1.5+N98*2+O98*3+N(K98))</f>
        <v/>
      </c>
      <c r="Q98" s="6" t="n">
        <v>216</v>
      </c>
      <c r="R98" s="6">
        <f>Q98-P98</f>
        <v/>
      </c>
    </row>
    <row r="99">
      <c r="A99" s="5" t="inlineStr">
        <is>
          <t>2012</t>
        </is>
      </c>
      <c r="B99" s="5" t="inlineStr"/>
      <c r="C99" s="5" t="inlineStr">
        <is>
          <t>SETPA#3</t>
        </is>
      </c>
      <c r="D99" s="5" t="inlineStr"/>
      <c r="E99" s="6" t="n">
        <v>12</v>
      </c>
      <c r="F99" s="5" t="n"/>
      <c r="G99" s="5" t="n"/>
      <c r="H99" s="5" t="n"/>
      <c r="I99" s="5" t="n"/>
      <c r="J99" s="7">
        <f>IF(AND(N(F99)&gt;0,N(I99)&gt;0),I99-F99-IF(N(G99)&gt;0,0.5,0)-IF(N(H99)&gt;0,0.5,0),0)</f>
        <v/>
      </c>
      <c r="K99" s="5" t="n"/>
      <c r="L99" s="7">
        <f>MIN(J99,8.0)</f>
        <v/>
      </c>
      <c r="M99" s="7">
        <f>MAX(0,MIN(J99,12)-8.0)</f>
        <v/>
      </c>
      <c r="N99" s="7">
        <f>MAX(0,J99-12)</f>
        <v/>
      </c>
      <c r="O99" s="5" t="n"/>
      <c r="P99" s="6">
        <f>E99*(L99+M99*1.5+N99*2+O99*3+N(K99))</f>
        <v/>
      </c>
      <c r="Q99" s="6" t="n">
        <v>216</v>
      </c>
      <c r="R99" s="6">
        <f>Q99-P99</f>
        <v/>
      </c>
    </row>
    <row r="100">
      <c r="A100" s="5" t="inlineStr">
        <is>
          <t>2012</t>
        </is>
      </c>
      <c r="B100" s="5" t="inlineStr"/>
      <c r="C100" s="5" t="inlineStr">
        <is>
          <t>SETPA#4</t>
        </is>
      </c>
      <c r="D100" s="5" t="inlineStr"/>
      <c r="E100" s="6" t="n">
        <v>12</v>
      </c>
      <c r="F100" s="5" t="n"/>
      <c r="G100" s="5" t="n"/>
      <c r="H100" s="5" t="n"/>
      <c r="I100" s="5" t="n"/>
      <c r="J100" s="7">
        <f>IF(AND(N(F100)&gt;0,N(I100)&gt;0),I100-F100-IF(N(G100)&gt;0,0.5,0)-IF(N(H100)&gt;0,0.5,0),0)</f>
        <v/>
      </c>
      <c r="K100" s="5" t="n"/>
      <c r="L100" s="7">
        <f>MIN(J100,8.0)</f>
        <v/>
      </c>
      <c r="M100" s="7">
        <f>MAX(0,MIN(J100,12)-8.0)</f>
        <v/>
      </c>
      <c r="N100" s="7">
        <f>MAX(0,J100-12)</f>
        <v/>
      </c>
      <c r="O100" s="5" t="n"/>
      <c r="P100" s="6">
        <f>E100*(L100+M100*1.5+N100*2+O100*3+N(K100))</f>
        <v/>
      </c>
      <c r="Q100" s="6" t="n">
        <v>216</v>
      </c>
      <c r="R100" s="6">
        <f>Q100-P100</f>
        <v/>
      </c>
    </row>
    <row r="101">
      <c r="P101" s="2" t="inlineStr">
        <is>
          <t>SETSTAFFASSISTANTS LABOR</t>
        </is>
      </c>
      <c r="R101" s="8">
        <f>SUM(R97:R100)</f>
        <v/>
      </c>
    </row>
    <row r="103">
      <c r="B103" s="2" t="inlineStr">
        <is>
          <t>PRODUCTIONACCOUNTANT</t>
        </is>
      </c>
    </row>
    <row r="104">
      <c r="A104" s="5" t="inlineStr">
        <is>
          <t>2013</t>
        </is>
      </c>
      <c r="B104" s="5" t="inlineStr">
        <is>
          <t>Joel Tokarsky</t>
        </is>
      </c>
      <c r="C104" s="5" t="inlineStr">
        <is>
          <t>PRODUCTIONACCOUNTANT</t>
        </is>
      </c>
      <c r="D104" s="5" t="inlineStr">
        <is>
          <t>Local871</t>
        </is>
      </c>
      <c r="E104" s="6" t="n">
        <v>740</v>
      </c>
      <c r="F104" s="5" t="n"/>
      <c r="G104" s="5" t="n"/>
      <c r="H104" s="5" t="n"/>
      <c r="I104" s="5" t="n"/>
      <c r="J104" s="7">
        <f>IF(AND(N(F104)&gt;0,N(I104)&gt;0),I104-F104-IF(N(G104)&gt;0,0.5,0)-IF(N(H104)&gt;0,0.5,0),0)</f>
        <v/>
      </c>
      <c r="K104" s="5" t="n"/>
      <c r="L104" s="7">
        <f>MIN(J104,10.0)</f>
        <v/>
      </c>
      <c r="M104" s="7">
        <f>MAX(0,MIN(J104,12)-10.0)</f>
        <v/>
      </c>
      <c r="N104" s="7">
        <f>MAX(0,J104-12)</f>
        <v/>
      </c>
      <c r="O104" s="5" t="n"/>
      <c r="P104" s="6">
        <f>E104*(L104+M104*1.5+N104*2+O104*3+N(K104))</f>
        <v/>
      </c>
      <c r="Q104" s="6" t="n">
        <v>740</v>
      </c>
      <c r="R104" s="6">
        <f>Q104-P104</f>
        <v/>
      </c>
    </row>
    <row r="105">
      <c r="P105" s="2" t="inlineStr">
        <is>
          <t>PRODUCTIONACCOUNTANT LABOR</t>
        </is>
      </c>
      <c r="R105" s="8">
        <f>SUM(R104:R104)</f>
        <v/>
      </c>
    </row>
    <row r="107">
      <c r="B107" s="2" t="inlineStr">
        <is>
          <t>ASSTPRODUCTIONACCOUNTANTS</t>
        </is>
      </c>
    </row>
    <row r="108">
      <c r="A108" s="5" t="inlineStr">
        <is>
          <t>2014</t>
        </is>
      </c>
      <c r="B108" s="5" t="inlineStr">
        <is>
          <t>Co-Co Aiello</t>
        </is>
      </c>
      <c r="C108" s="5" t="inlineStr">
        <is>
          <t>1STASSTACCT</t>
        </is>
      </c>
      <c r="D108" s="5" t="inlineStr">
        <is>
          <t>Local871</t>
        </is>
      </c>
      <c r="E108" s="6" t="n">
        <v>480</v>
      </c>
      <c r="F108" s="5" t="n"/>
      <c r="G108" s="5" t="n"/>
      <c r="H108" s="5" t="n"/>
      <c r="I108" s="5" t="n"/>
      <c r="J108" s="7">
        <f>IF(AND(N(F108)&gt;0,N(I108)&gt;0),I108-F108-IF(N(G108)&gt;0,0.5,0)-IF(N(H108)&gt;0,0.5,0),0)</f>
        <v/>
      </c>
      <c r="K108" s="5" t="n"/>
      <c r="L108" s="7">
        <f>MIN(J108,10.0)</f>
        <v/>
      </c>
      <c r="M108" s="7">
        <f>MAX(0,MIN(J108,12)-10.0)</f>
        <v/>
      </c>
      <c r="N108" s="7">
        <f>MAX(0,J108-12)</f>
        <v/>
      </c>
      <c r="O108" s="5" t="n"/>
      <c r="P108" s="6">
        <f>E108*(L108+M108*1.5+N108*2+O108*3+N(K108))</f>
        <v/>
      </c>
      <c r="Q108" s="6" t="n">
        <v>480</v>
      </c>
      <c r="R108" s="6">
        <f>Q108-P108</f>
        <v/>
      </c>
    </row>
    <row r="109">
      <c r="A109" s="5" t="inlineStr">
        <is>
          <t>2014</t>
        </is>
      </c>
      <c r="B109" s="5" t="inlineStr">
        <is>
          <t>Steve Goldstein</t>
        </is>
      </c>
      <c r="C109" s="5" t="inlineStr">
        <is>
          <t>PAYROLLACCT</t>
        </is>
      </c>
      <c r="D109" s="5" t="inlineStr">
        <is>
          <t>Local871</t>
        </is>
      </c>
      <c r="E109" s="6" t="n">
        <v>420</v>
      </c>
      <c r="F109" s="5" t="n"/>
      <c r="G109" s="5" t="n"/>
      <c r="H109" s="5" t="n"/>
      <c r="I109" s="5" t="n"/>
      <c r="J109" s="7">
        <f>IF(AND(N(F109)&gt;0,N(I109)&gt;0),I109-F109-IF(N(G109)&gt;0,0.5,0)-IF(N(H109)&gt;0,0.5,0),0)</f>
        <v/>
      </c>
      <c r="K109" s="5" t="n"/>
      <c r="L109" s="7">
        <f>MIN(J109,10.0)</f>
        <v/>
      </c>
      <c r="M109" s="7">
        <f>MAX(0,MIN(J109,12)-10.0)</f>
        <v/>
      </c>
      <c r="N109" s="7">
        <f>MAX(0,J109-12)</f>
        <v/>
      </c>
      <c r="O109" s="5" t="n"/>
      <c r="P109" s="6">
        <f>E109*(L109+M109*1.5+N109*2+O109*3+N(K109))</f>
        <v/>
      </c>
      <c r="Q109" s="6" t="n">
        <v>420</v>
      </c>
      <c r="R109" s="6">
        <f>Q109-P109</f>
        <v/>
      </c>
    </row>
    <row r="110">
      <c r="P110" s="2" t="inlineStr">
        <is>
          <t>ASSTPRODUCTIONACCOUNTANTS LABOR</t>
        </is>
      </c>
      <c r="R110" s="8">
        <f>SUM(R108:R109)</f>
        <v/>
      </c>
    </row>
    <row r="112">
      <c r="B112" s="2" t="inlineStr">
        <is>
          <t>CONSTRUCTIONCOORDINATOR</t>
        </is>
      </c>
    </row>
    <row r="113">
      <c r="A113" s="5" t="inlineStr">
        <is>
          <t>2302</t>
        </is>
      </c>
      <c r="B113" s="5" t="inlineStr">
        <is>
          <t>Drew Rebelin</t>
        </is>
      </c>
      <c r="C113" s="5" t="inlineStr">
        <is>
          <t>CONSTCOORDINATOR</t>
        </is>
      </c>
      <c r="D113" s="5" t="inlineStr">
        <is>
          <t>Local44</t>
        </is>
      </c>
      <c r="E113" s="6" t="n">
        <v>400</v>
      </c>
      <c r="F113" s="5" t="n"/>
      <c r="G113" s="5" t="n"/>
      <c r="H113" s="5" t="n"/>
      <c r="I113" s="5" t="n"/>
      <c r="J113" s="7">
        <f>IF(AND(N(F113)&gt;0,N(I113)&gt;0),I113-F113-IF(N(G113)&gt;0,0.5,0)-IF(N(H113)&gt;0,0.5,0),0)</f>
        <v/>
      </c>
      <c r="K113" s="5" t="n"/>
      <c r="L113" s="7">
        <f>MIN(J113,10.0)</f>
        <v/>
      </c>
      <c r="M113" s="7">
        <f>MAX(0,MIN(J113,12)-10.0)</f>
        <v/>
      </c>
      <c r="N113" s="7">
        <f>MAX(0,J113-12)</f>
        <v/>
      </c>
      <c r="O113" s="5" t="n"/>
      <c r="P113" s="6">
        <f>E113*(L113+M113*1.5+N113*2+O113*3+N(K113))</f>
        <v/>
      </c>
      <c r="Q113" s="5" t="n"/>
      <c r="R113" s="6">
        <f>Q113-P113</f>
        <v/>
      </c>
    </row>
    <row r="114">
      <c r="P114" s="2" t="inlineStr">
        <is>
          <t>CONSTRUCTIONCOORDINATOR LABOR</t>
        </is>
      </c>
      <c r="R114" s="8">
        <f>SUM(R113:R113)</f>
        <v/>
      </c>
    </row>
    <row r="116">
      <c r="B116" s="2" t="inlineStr">
        <is>
          <t>PAINTFOREMAN</t>
        </is>
      </c>
    </row>
    <row r="117">
      <c r="A117" s="5" t="inlineStr">
        <is>
          <t>2304</t>
        </is>
      </c>
      <c r="B117" s="5" t="inlineStr">
        <is>
          <t>Kristeen Reimnitz</t>
        </is>
      </c>
      <c r="C117" s="5" t="inlineStr">
        <is>
          <t>PAINTER</t>
        </is>
      </c>
      <c r="D117" s="5" t="inlineStr">
        <is>
          <t>Local729</t>
        </is>
      </c>
      <c r="E117" s="6" t="n">
        <v>23.04</v>
      </c>
      <c r="F117" s="5" t="n"/>
      <c r="G117" s="5" t="n"/>
      <c r="H117" s="5" t="n"/>
      <c r="I117" s="5" t="n"/>
      <c r="J117" s="7">
        <f>IF(AND(N(F117)&gt;0,N(I117)&gt;0),I117-F117-IF(N(G117)&gt;0,0.5,0)-IF(N(H117)&gt;0,0.5,0),0)</f>
        <v/>
      </c>
      <c r="K117" s="5" t="n"/>
      <c r="L117" s="7">
        <f>MIN(J117,10.0)</f>
        <v/>
      </c>
      <c r="M117" s="7">
        <f>MAX(0,MIN(J117,12)-10.0)</f>
        <v/>
      </c>
      <c r="N117" s="7">
        <f>MAX(0,J117-12)</f>
        <v/>
      </c>
      <c r="O117" s="5" t="n"/>
      <c r="P117" s="6">
        <f>E117*(L117+M117*1.5+N117*2+O117*3+N(K117))</f>
        <v/>
      </c>
      <c r="Q117" s="5" t="n"/>
      <c r="R117" s="6">
        <f>Q117-P117</f>
        <v/>
      </c>
    </row>
    <row r="118">
      <c r="P118" s="2" t="inlineStr">
        <is>
          <t>PAINTFOREMAN LABOR</t>
        </is>
      </c>
      <c r="R118" s="8">
        <f>SUM(R117:R117)</f>
        <v/>
      </c>
    </row>
    <row r="120">
      <c r="B120" s="2" t="inlineStr">
        <is>
          <t>FIRSTAIDLABOR</t>
        </is>
      </c>
    </row>
    <row r="121">
      <c r="A121" s="5" t="inlineStr">
        <is>
          <t>2310</t>
        </is>
      </c>
      <c r="B121" s="5" t="inlineStr"/>
      <c r="C121" s="5" t="inlineStr">
        <is>
          <t>CONSTRUCTIONMEDIC</t>
        </is>
      </c>
      <c r="D121" s="5" t="inlineStr">
        <is>
          <t>Local80</t>
        </is>
      </c>
      <c r="E121" s="6" t="n">
        <v>23.04</v>
      </c>
      <c r="F121" s="5" t="n"/>
      <c r="G121" s="5" t="n"/>
      <c r="H121" s="5" t="n"/>
      <c r="I121" s="5" t="n"/>
      <c r="J121" s="7">
        <f>IF(AND(N(F121)&gt;0,N(I121)&gt;0),I121-F121-IF(N(G121)&gt;0,0.5,0)-IF(N(H121)&gt;0,0.5,0),0)</f>
        <v/>
      </c>
      <c r="K121" s="5" t="n"/>
      <c r="L121" s="7">
        <f>MIN(J121,10.0)</f>
        <v/>
      </c>
      <c r="M121" s="7">
        <f>MAX(0,MIN(J121,12)-10.0)</f>
        <v/>
      </c>
      <c r="N121" s="7">
        <f>MAX(0,J121-12)</f>
        <v/>
      </c>
      <c r="O121" s="5" t="n"/>
      <c r="P121" s="6">
        <f>E121*(L121+M121*1.5+N121*2+O121*3+N(K121))</f>
        <v/>
      </c>
      <c r="Q121" s="5" t="n"/>
      <c r="R121" s="6">
        <f>Q121-P121</f>
        <v/>
      </c>
    </row>
    <row r="122">
      <c r="P122" s="2" t="inlineStr">
        <is>
          <t>FIRSTAIDLABOR LABOR</t>
        </is>
      </c>
      <c r="R122" s="8">
        <f>SUM(R121:R121)</f>
        <v/>
      </c>
    </row>
    <row r="124">
      <c r="B124" s="2" t="inlineStr">
        <is>
          <t>KEYGRIP</t>
        </is>
      </c>
    </row>
    <row r="125">
      <c r="A125" s="5" t="inlineStr">
        <is>
          <t>2501</t>
        </is>
      </c>
      <c r="B125" s="5" t="inlineStr">
        <is>
          <t>Pat O'Mara</t>
        </is>
      </c>
      <c r="C125" s="5" t="inlineStr">
        <is>
          <t>KEYGRIP</t>
        </is>
      </c>
      <c r="D125" s="5" t="inlineStr">
        <is>
          <t>Local80</t>
        </is>
      </c>
      <c r="E125" s="6" t="n">
        <v>25.5</v>
      </c>
      <c r="F125" s="5" t="n"/>
      <c r="G125" s="5" t="n"/>
      <c r="H125" s="5" t="n"/>
      <c r="I125" s="5" t="n"/>
      <c r="J125" s="7">
        <f>IF(AND(N(F125)&gt;0,N(I125)&gt;0),I125-F125-IF(N(G125)&gt;0,0.5,0)-IF(N(H125)&gt;0,0.5,0),0)</f>
        <v/>
      </c>
      <c r="K125" s="5" t="n"/>
      <c r="L125" s="7">
        <f>MIN(J125,10.0)</f>
        <v/>
      </c>
      <c r="M125" s="7">
        <f>MAX(0,MIN(J125,12)-10.0)</f>
        <v/>
      </c>
      <c r="N125" s="7">
        <f>MAX(0,J125-12)</f>
        <v/>
      </c>
      <c r="O125" s="5" t="n"/>
      <c r="P125" s="6">
        <f>E125*(L125+M125*1.5+N125*2+O125*3+N(K125))</f>
        <v/>
      </c>
      <c r="Q125" s="6" t="n">
        <v>395.25</v>
      </c>
      <c r="R125" s="6">
        <f>Q125-P125</f>
        <v/>
      </c>
    </row>
    <row r="126">
      <c r="P126" s="2" t="inlineStr">
        <is>
          <t>KEYGRIP LABOR</t>
        </is>
      </c>
      <c r="R126" s="8">
        <f>SUM(R125:R125)</f>
        <v/>
      </c>
    </row>
    <row r="128">
      <c r="B128" s="2" t="inlineStr">
        <is>
          <t>BESTBOYGRIP</t>
        </is>
      </c>
    </row>
    <row r="129">
      <c r="A129" s="5" t="inlineStr">
        <is>
          <t>2502</t>
        </is>
      </c>
      <c r="B129" s="5" t="inlineStr">
        <is>
          <t>Aaron Fairley</t>
        </is>
      </c>
      <c r="C129" s="5" t="inlineStr">
        <is>
          <t>BESTBOYGRIP</t>
        </is>
      </c>
      <c r="D129" s="5" t="inlineStr">
        <is>
          <t>Local80</t>
        </is>
      </c>
      <c r="E129" s="6" t="n">
        <v>23.04</v>
      </c>
      <c r="F129" s="5" t="n"/>
      <c r="G129" s="5" t="n"/>
      <c r="H129" s="5" t="n"/>
      <c r="I129" s="5" t="n"/>
      <c r="J129" s="7">
        <f>IF(AND(N(F129)&gt;0,N(I129)&gt;0),I129-F129-IF(N(G129)&gt;0,0.5,0)-IF(N(H129)&gt;0,0.5,0),0)</f>
        <v/>
      </c>
      <c r="K129" s="5" t="n"/>
      <c r="L129" s="7">
        <f>MIN(J129,10.0)</f>
        <v/>
      </c>
      <c r="M129" s="7">
        <f>MAX(0,MIN(J129,12)-10.0)</f>
        <v/>
      </c>
      <c r="N129" s="7">
        <f>MAX(0,J129-12)</f>
        <v/>
      </c>
      <c r="O129" s="5" t="n"/>
      <c r="P129" s="6">
        <f>E129*(L129+M129*1.5+N129*2+O129*3+N(K129))</f>
        <v/>
      </c>
      <c r="Q129" s="6" t="n">
        <v>357.12</v>
      </c>
      <c r="R129" s="6">
        <f>Q129-P129</f>
        <v/>
      </c>
    </row>
    <row r="130">
      <c r="A130" s="5" t="inlineStr">
        <is>
          <t>2502</t>
        </is>
      </c>
      <c r="B130" s="5" t="inlineStr"/>
      <c r="C130" s="5" t="inlineStr">
        <is>
          <t>STUDIOBESTBOYGRIP</t>
        </is>
      </c>
      <c r="D130" s="5" t="inlineStr">
        <is>
          <t>Local80</t>
        </is>
      </c>
      <c r="E130" s="6" t="n">
        <v>43.05</v>
      </c>
      <c r="F130" s="5" t="n"/>
      <c r="G130" s="5" t="n"/>
      <c r="H130" s="5" t="n"/>
      <c r="I130" s="5" t="n"/>
      <c r="J130" s="7">
        <f>IF(AND(N(F130)&gt;0,N(I130)&gt;0),I130-F130-IF(N(G130)&gt;0,0.5,0)-IF(N(H130)&gt;0,0.5,0),0)</f>
        <v/>
      </c>
      <c r="K130" s="5" t="n"/>
      <c r="L130" s="7">
        <f>MIN(J130,10.0)</f>
        <v/>
      </c>
      <c r="M130" s="7">
        <f>MAX(0,MIN(J130,12)-10.0)</f>
        <v/>
      </c>
      <c r="N130" s="7">
        <f>MAX(0,J130-12)</f>
        <v/>
      </c>
      <c r="O130" s="5" t="n"/>
      <c r="P130" s="6">
        <f>E130*(L130+M130*1.5+N130*2+O130*3+N(K130))</f>
        <v/>
      </c>
      <c r="Q130" s="6" t="n">
        <v>667.27</v>
      </c>
      <c r="R130" s="6">
        <f>Q130-P130</f>
        <v/>
      </c>
    </row>
    <row r="131">
      <c r="P131" s="2" t="inlineStr">
        <is>
          <t>BESTBOYGRIP LABOR</t>
        </is>
      </c>
      <c r="R131" s="8">
        <f>SUM(R129:R130)</f>
        <v/>
      </c>
    </row>
    <row r="133">
      <c r="B133" s="2" t="inlineStr">
        <is>
          <t>DOLLYGRIP</t>
        </is>
      </c>
    </row>
    <row r="134">
      <c r="A134" s="5" t="inlineStr">
        <is>
          <t>2503</t>
        </is>
      </c>
      <c r="B134" s="5" t="inlineStr">
        <is>
          <t>Peter Weidenfeller</t>
        </is>
      </c>
      <c r="C134" s="5" t="inlineStr">
        <is>
          <t>"A"DOLLYGRIP</t>
        </is>
      </c>
      <c r="D134" s="5" t="inlineStr">
        <is>
          <t>Local80</t>
        </is>
      </c>
      <c r="E134" s="6" t="n">
        <v>23.04</v>
      </c>
      <c r="F134" s="5" t="n"/>
      <c r="G134" s="5" t="n"/>
      <c r="H134" s="5" t="n"/>
      <c r="I134" s="5" t="n"/>
      <c r="J134" s="7">
        <f>IF(AND(N(F134)&gt;0,N(I134)&gt;0),I134-F134-IF(N(G134)&gt;0,0.5,0)-IF(N(H134)&gt;0,0.5,0),0)</f>
        <v/>
      </c>
      <c r="K134" s="5" t="n"/>
      <c r="L134" s="7">
        <f>MIN(J134,10.0)</f>
        <v/>
      </c>
      <c r="M134" s="7">
        <f>MAX(0,MIN(J134,12)-10.0)</f>
        <v/>
      </c>
      <c r="N134" s="7">
        <f>MAX(0,J134-12)</f>
        <v/>
      </c>
      <c r="O134" s="5" t="n"/>
      <c r="P134" s="6">
        <f>E134*(L134+M134*1.5+N134*2+O134*3+N(K134))</f>
        <v/>
      </c>
      <c r="Q134" s="6" t="n">
        <v>357.12</v>
      </c>
      <c r="R134" s="6">
        <f>Q134-P134</f>
        <v/>
      </c>
    </row>
    <row r="135">
      <c r="P135" s="2" t="inlineStr">
        <is>
          <t>DOLLYGRIP LABOR</t>
        </is>
      </c>
      <c r="R135" s="8">
        <f>SUM(R134:R134)</f>
        <v/>
      </c>
    </row>
    <row r="137">
      <c r="B137" s="2" t="inlineStr">
        <is>
          <t>CRANEGRIPS</t>
        </is>
      </c>
    </row>
    <row r="138">
      <c r="A138" s="5" t="inlineStr">
        <is>
          <t>2504</t>
        </is>
      </c>
      <c r="B138" s="5" t="inlineStr"/>
      <c r="C138" s="5" t="inlineStr">
        <is>
          <t>CRANEOPERATOR</t>
        </is>
      </c>
      <c r="D138" s="5" t="inlineStr">
        <is>
          <t>Local80</t>
        </is>
      </c>
      <c r="E138" s="6" t="n">
        <v>792</v>
      </c>
      <c r="F138" s="5" t="n"/>
      <c r="G138" s="5" t="n"/>
      <c r="H138" s="5" t="n"/>
      <c r="I138" s="5" t="n"/>
      <c r="J138" s="7">
        <f>IF(AND(N(F138)&gt;0,N(I138)&gt;0),I138-F138-IF(N(G138)&gt;0,0.5,0)-IF(N(H138)&gt;0,0.5,0),0)</f>
        <v/>
      </c>
      <c r="K138" s="5" t="n"/>
      <c r="L138" s="7">
        <f>MIN(J138,10.0)</f>
        <v/>
      </c>
      <c r="M138" s="7">
        <f>MAX(0,MIN(J138,12)-10.0)</f>
        <v/>
      </c>
      <c r="N138" s="7">
        <f>MAX(0,J138-12)</f>
        <v/>
      </c>
      <c r="O138" s="5" t="n"/>
      <c r="P138" s="6">
        <f>E138*(L138+M138*1.5+N138*2+O138*3+N(K138))</f>
        <v/>
      </c>
      <c r="Q138" s="6" t="n">
        <v>924</v>
      </c>
      <c r="R138" s="6">
        <f>Q138-P138</f>
        <v/>
      </c>
    </row>
    <row r="139">
      <c r="A139" s="5" t="inlineStr">
        <is>
          <t>2504</t>
        </is>
      </c>
      <c r="B139" s="5" t="inlineStr"/>
      <c r="C139" s="5" t="inlineStr">
        <is>
          <t>CRANEASSISTANT</t>
        </is>
      </c>
      <c r="D139" s="5" t="inlineStr">
        <is>
          <t>Local80</t>
        </is>
      </c>
      <c r="E139" s="6" t="n">
        <v>660</v>
      </c>
      <c r="F139" s="5" t="n"/>
      <c r="G139" s="5" t="n"/>
      <c r="H139" s="5" t="n"/>
      <c r="I139" s="5" t="n"/>
      <c r="J139" s="7">
        <f>IF(AND(N(F139)&gt;0,N(I139)&gt;0),I139-F139-IF(N(G139)&gt;0,0.5,0)-IF(N(H139)&gt;0,0.5,0),0)</f>
        <v/>
      </c>
      <c r="K139" s="5" t="n"/>
      <c r="L139" s="7">
        <f>MIN(J139,10.0)</f>
        <v/>
      </c>
      <c r="M139" s="7">
        <f>MAX(0,MIN(J139,12)-10.0)</f>
        <v/>
      </c>
      <c r="N139" s="7">
        <f>MAX(0,J139-12)</f>
        <v/>
      </c>
      <c r="O139" s="5" t="n"/>
      <c r="P139" s="6">
        <f>E139*(L139+M139*1.5+N139*2+O139*3+N(K139))</f>
        <v/>
      </c>
      <c r="Q139" s="6" t="n">
        <v>770</v>
      </c>
      <c r="R139" s="6">
        <f>Q139-P139</f>
        <v/>
      </c>
    </row>
    <row r="140">
      <c r="P140" s="2" t="inlineStr">
        <is>
          <t>CRANEGRIPS LABOR</t>
        </is>
      </c>
      <c r="R140" s="8">
        <f>SUM(R138:R139)</f>
        <v/>
      </c>
    </row>
    <row r="142">
      <c r="B142" s="2" t="inlineStr">
        <is>
          <t>COMPANYGRIPS</t>
        </is>
      </c>
    </row>
    <row r="143">
      <c r="A143" s="5" t="inlineStr">
        <is>
          <t>2505</t>
        </is>
      </c>
      <c r="B143" s="5" t="inlineStr"/>
      <c r="C143" s="5" t="inlineStr">
        <is>
          <t>GRIP#1</t>
        </is>
      </c>
      <c r="D143" s="5" t="inlineStr">
        <is>
          <t>Local80</t>
        </is>
      </c>
      <c r="E143" s="6" t="n">
        <v>20.57</v>
      </c>
      <c r="F143" s="5" t="n"/>
      <c r="G143" s="5" t="n"/>
      <c r="H143" s="5" t="n"/>
      <c r="I143" s="5" t="n"/>
      <c r="J143" s="7">
        <f>IF(AND(N(F143)&gt;0,N(I143)&gt;0),I143-F143-IF(N(G143)&gt;0,0.5,0)-IF(N(H143)&gt;0,0.5,0),0)</f>
        <v/>
      </c>
      <c r="K143" s="5" t="n"/>
      <c r="L143" s="7">
        <f>MIN(J143,10.0)</f>
        <v/>
      </c>
      <c r="M143" s="7">
        <f>MAX(0,MIN(J143,12)-10.0)</f>
        <v/>
      </c>
      <c r="N143" s="7">
        <f>MAX(0,J143-12)</f>
        <v/>
      </c>
      <c r="O143" s="5" t="n"/>
      <c r="P143" s="6">
        <f>E143*(L143+M143*1.5+N143*2+O143*3+N(K143))</f>
        <v/>
      </c>
      <c r="Q143" s="6" t="n">
        <v>318.83</v>
      </c>
      <c r="R143" s="6">
        <f>Q143-P143</f>
        <v/>
      </c>
    </row>
    <row r="144">
      <c r="A144" s="5" t="inlineStr">
        <is>
          <t>2505</t>
        </is>
      </c>
      <c r="B144" s="5" t="inlineStr"/>
      <c r="C144" s="5" t="inlineStr">
        <is>
          <t>GRIP#2</t>
        </is>
      </c>
      <c r="D144" s="5" t="inlineStr">
        <is>
          <t>Local80</t>
        </is>
      </c>
      <c r="E144" s="6" t="n">
        <v>20.57</v>
      </c>
      <c r="F144" s="5" t="n"/>
      <c r="G144" s="5" t="n"/>
      <c r="H144" s="5" t="n"/>
      <c r="I144" s="5" t="n"/>
      <c r="J144" s="7">
        <f>IF(AND(N(F144)&gt;0,N(I144)&gt;0),I144-F144-IF(N(G144)&gt;0,0.5,0)-IF(N(H144)&gt;0,0.5,0),0)</f>
        <v/>
      </c>
      <c r="K144" s="5" t="n"/>
      <c r="L144" s="7">
        <f>MIN(J144,10.0)</f>
        <v/>
      </c>
      <c r="M144" s="7">
        <f>MAX(0,MIN(J144,12)-10.0)</f>
        <v/>
      </c>
      <c r="N144" s="7">
        <f>MAX(0,J144-12)</f>
        <v/>
      </c>
      <c r="O144" s="5" t="n"/>
      <c r="P144" s="6">
        <f>E144*(L144+M144*1.5+N144*2+O144*3+N(K144))</f>
        <v/>
      </c>
      <c r="Q144" s="6" t="n">
        <v>318.83</v>
      </c>
      <c r="R144" s="6">
        <f>Q144-P144</f>
        <v/>
      </c>
    </row>
    <row r="145">
      <c r="A145" s="5" t="inlineStr">
        <is>
          <t>2505</t>
        </is>
      </c>
      <c r="B145" s="5" t="inlineStr"/>
      <c r="C145" s="5" t="inlineStr">
        <is>
          <t>GRIP#3</t>
        </is>
      </c>
      <c r="D145" s="5" t="inlineStr">
        <is>
          <t>Local80</t>
        </is>
      </c>
      <c r="E145" s="6" t="n">
        <v>20.57</v>
      </c>
      <c r="F145" s="5" t="n"/>
      <c r="G145" s="5" t="n"/>
      <c r="H145" s="5" t="n"/>
      <c r="I145" s="5" t="n"/>
      <c r="J145" s="7">
        <f>IF(AND(N(F145)&gt;0,N(I145)&gt;0),I145-F145-IF(N(G145)&gt;0,0.5,0)-IF(N(H145)&gt;0,0.5,0),0)</f>
        <v/>
      </c>
      <c r="K145" s="5" t="n"/>
      <c r="L145" s="7">
        <f>MIN(J145,10.0)</f>
        <v/>
      </c>
      <c r="M145" s="7">
        <f>MAX(0,MIN(J145,12)-10.0)</f>
        <v/>
      </c>
      <c r="N145" s="7">
        <f>MAX(0,J145-12)</f>
        <v/>
      </c>
      <c r="O145" s="5" t="n"/>
      <c r="P145" s="6">
        <f>E145*(L145+M145*1.5+N145*2+O145*3+N(K145))</f>
        <v/>
      </c>
      <c r="Q145" s="6" t="n">
        <v>318.83</v>
      </c>
      <c r="R145" s="6">
        <f>Q145-P145</f>
        <v/>
      </c>
    </row>
    <row r="146">
      <c r="P146" s="2" t="inlineStr">
        <is>
          <t>COMPANYGRIPS LABOR</t>
        </is>
      </c>
      <c r="R146" s="8">
        <f>SUM(R143:R145)</f>
        <v/>
      </c>
    </row>
    <row r="148">
      <c r="B148" s="2" t="inlineStr">
        <is>
          <t>OTHERLABOR</t>
        </is>
      </c>
    </row>
    <row r="149">
      <c r="A149" s="5" t="inlineStr">
        <is>
          <t>2506</t>
        </is>
      </c>
      <c r="B149" s="5" t="inlineStr"/>
      <c r="C149" s="5" t="inlineStr">
        <is>
          <t>GRIPMANDAYS&amp;RIGGINGMANDAYS</t>
        </is>
      </c>
      <c r="D149" s="5" t="inlineStr">
        <is>
          <t>Local80</t>
        </is>
      </c>
      <c r="E149" s="6" t="n">
        <v>20.57</v>
      </c>
      <c r="F149" s="5" t="n"/>
      <c r="G149" s="5" t="n"/>
      <c r="H149" s="5" t="n"/>
      <c r="I149" s="5" t="n"/>
      <c r="J149" s="7">
        <f>IF(AND(N(F149)&gt;0,N(I149)&gt;0),I149-F149-IF(N(G149)&gt;0,0.5,0)-IF(N(H149)&gt;0,0.5,0),0)</f>
        <v/>
      </c>
      <c r="K149" s="5" t="n"/>
      <c r="L149" s="7">
        <f>MIN(J149,10.0)</f>
        <v/>
      </c>
      <c r="M149" s="7">
        <f>MAX(0,MIN(J149,12)-10.0)</f>
        <v/>
      </c>
      <c r="N149" s="7">
        <f>MAX(0,J149-12)</f>
        <v/>
      </c>
      <c r="O149" s="5" t="n"/>
      <c r="P149" s="6">
        <f>E149*(L149+M149*1.5+N149*2+O149*3+N(K149))</f>
        <v/>
      </c>
      <c r="Q149" s="6" t="n">
        <v>318.83</v>
      </c>
      <c r="R149" s="6">
        <f>Q149-P149</f>
        <v/>
      </c>
    </row>
    <row r="150">
      <c r="P150" s="2" t="inlineStr">
        <is>
          <t>OTHERLABOR LABOR</t>
        </is>
      </c>
      <c r="R150" s="8">
        <f>SUM(R149:R149)</f>
        <v/>
      </c>
    </row>
    <row r="152">
      <c r="B152" s="2" t="inlineStr">
        <is>
          <t>STANDBYLABOR</t>
        </is>
      </c>
    </row>
    <row r="153">
      <c r="A153" s="5" t="inlineStr">
        <is>
          <t>2510</t>
        </is>
      </c>
      <c r="B153" s="5" t="inlineStr"/>
      <c r="C153" s="5" t="inlineStr">
        <is>
          <t>LAYOUTBOARD</t>
        </is>
      </c>
      <c r="D153" s="5" t="inlineStr">
        <is>
          <t>Local729</t>
        </is>
      </c>
      <c r="E153" s="6" t="n">
        <v>25.5</v>
      </c>
      <c r="F153" s="5" t="n"/>
      <c r="G153" s="5" t="n"/>
      <c r="H153" s="5" t="n"/>
      <c r="I153" s="5" t="n"/>
      <c r="J153" s="7">
        <f>IF(AND(N(F153)&gt;0,N(I153)&gt;0),I153-F153-IF(N(G153)&gt;0,0.5,0)-IF(N(H153)&gt;0,0.5,0),0)</f>
        <v/>
      </c>
      <c r="K153" s="5" t="n"/>
      <c r="L153" s="7">
        <f>MIN(J153,10.0)</f>
        <v/>
      </c>
      <c r="M153" s="7">
        <f>MAX(0,MIN(J153,12)-10.0)</f>
        <v/>
      </c>
      <c r="N153" s="7">
        <f>MAX(0,J153-12)</f>
        <v/>
      </c>
      <c r="O153" s="5" t="n"/>
      <c r="P153" s="6">
        <f>E153*(L153+M153*1.5+N153*2+O153*3+N(K153))</f>
        <v/>
      </c>
      <c r="Q153" s="6" t="n">
        <v>395.25</v>
      </c>
      <c r="R153" s="6">
        <f>Q153-P153</f>
        <v/>
      </c>
    </row>
    <row r="154">
      <c r="P154" s="2" t="inlineStr">
        <is>
          <t>STANDBYLABOR LABOR</t>
        </is>
      </c>
      <c r="R154" s="8">
        <f>SUM(R153:R153)</f>
        <v/>
      </c>
    </row>
    <row r="156">
      <c r="B156" s="2" t="inlineStr">
        <is>
          <t>SETCRAFTSERVICELABOR</t>
        </is>
      </c>
    </row>
    <row r="157">
      <c r="A157" s="5" t="inlineStr">
        <is>
          <t>2511</t>
        </is>
      </c>
      <c r="B157" s="5" t="inlineStr">
        <is>
          <t>Maurico Solis</t>
        </is>
      </c>
      <c r="C157" s="5" t="inlineStr">
        <is>
          <t>KEYCRAFTSERVICE</t>
        </is>
      </c>
      <c r="D157" s="5" t="inlineStr">
        <is>
          <t>Local80</t>
        </is>
      </c>
      <c r="E157" s="6" t="n">
        <v>25.5</v>
      </c>
      <c r="F157" s="5" t="n"/>
      <c r="G157" s="5" t="n"/>
      <c r="H157" s="5" t="n"/>
      <c r="I157" s="5" t="n"/>
      <c r="J157" s="7">
        <f>IF(AND(N(F157)&gt;0,N(I157)&gt;0),I157-F157-IF(N(G157)&gt;0,0.5,0)-IF(N(H157)&gt;0,0.5,0),0)</f>
        <v/>
      </c>
      <c r="K157" s="5" t="n"/>
      <c r="L157" s="7">
        <f>MIN(J157,10.0)</f>
        <v/>
      </c>
      <c r="M157" s="7">
        <f>MAX(0,MIN(J157,12)-10.0)</f>
        <v/>
      </c>
      <c r="N157" s="7">
        <f>MAX(0,J157-12)</f>
        <v/>
      </c>
      <c r="O157" s="5" t="n"/>
      <c r="P157" s="6">
        <f>E157*(L157+M157*1.5+N157*2+O157*3+N(K157))</f>
        <v/>
      </c>
      <c r="Q157" s="6" t="n">
        <v>439.87</v>
      </c>
      <c r="R157" s="6">
        <f>Q157-P157</f>
        <v/>
      </c>
    </row>
    <row r="158">
      <c r="A158" s="5" t="inlineStr">
        <is>
          <t>2511</t>
        </is>
      </c>
      <c r="B158" s="5" t="inlineStr"/>
      <c r="C158" s="5" t="inlineStr">
        <is>
          <t>ASSTCRAFTSERVICE</t>
        </is>
      </c>
      <c r="D158" s="5" t="inlineStr">
        <is>
          <t>Local80</t>
        </is>
      </c>
      <c r="E158" s="6" t="n">
        <v>23.04</v>
      </c>
      <c r="F158" s="5" t="n"/>
      <c r="G158" s="5" t="n"/>
      <c r="H158" s="5" t="n"/>
      <c r="I158" s="5" t="n"/>
      <c r="J158" s="7">
        <f>IF(AND(N(F158)&gt;0,N(I158)&gt;0),I158-F158-IF(N(G158)&gt;0,0.5,0)-IF(N(H158)&gt;0,0.5,0),0)</f>
        <v/>
      </c>
      <c r="K158" s="5" t="n"/>
      <c r="L158" s="7">
        <f>MIN(J158,10.0)</f>
        <v/>
      </c>
      <c r="M158" s="7">
        <f>MAX(0,MIN(J158,12)-10.0)</f>
        <v/>
      </c>
      <c r="N158" s="7">
        <f>MAX(0,J158-12)</f>
        <v/>
      </c>
      <c r="O158" s="5" t="n"/>
      <c r="P158" s="6">
        <f>E158*(L158+M158*1.5+N158*2+O158*3+N(K158))</f>
        <v/>
      </c>
      <c r="Q158" s="6" t="n">
        <v>397.43</v>
      </c>
      <c r="R158" s="6">
        <f>Q158-P158</f>
        <v/>
      </c>
    </row>
    <row r="159">
      <c r="P159" s="2" t="inlineStr">
        <is>
          <t>SETCRAFTSERVICELABOR LABOR</t>
        </is>
      </c>
      <c r="R159" s="8">
        <f>SUM(R157:R158)</f>
        <v/>
      </c>
    </row>
    <row r="161">
      <c r="B161" s="2" t="inlineStr">
        <is>
          <t>SETFIRSTAIDLABOR</t>
        </is>
      </c>
    </row>
    <row r="162">
      <c r="A162" s="5" t="inlineStr">
        <is>
          <t>2514</t>
        </is>
      </c>
      <c r="B162" s="5" t="inlineStr">
        <is>
          <t>Robert Hill</t>
        </is>
      </c>
      <c r="C162" s="5" t="inlineStr">
        <is>
          <t>SETMEDIC</t>
        </is>
      </c>
      <c r="D162" s="5" t="inlineStr">
        <is>
          <t>Local80</t>
        </is>
      </c>
      <c r="E162" s="6" t="n">
        <v>23.04</v>
      </c>
      <c r="F162" s="5" t="n"/>
      <c r="G162" s="5" t="n"/>
      <c r="H162" s="5" t="n"/>
      <c r="I162" s="5" t="n"/>
      <c r="J162" s="7">
        <f>IF(AND(N(F162)&gt;0,N(I162)&gt;0),I162-F162-IF(N(G162)&gt;0,0.5,0)-IF(N(H162)&gt;0,0.5,0),0)</f>
        <v/>
      </c>
      <c r="K162" s="5" t="n"/>
      <c r="L162" s="7">
        <f>MIN(J162,10.0)</f>
        <v/>
      </c>
      <c r="M162" s="7">
        <f>MAX(0,MIN(J162,12)-10.0)</f>
        <v/>
      </c>
      <c r="N162" s="7">
        <f>MAX(0,J162-12)</f>
        <v/>
      </c>
      <c r="O162" s="5" t="n"/>
      <c r="P162" s="6">
        <f>E162*(L162+M162*1.5+N162*2+O162*3+N(K162))</f>
        <v/>
      </c>
      <c r="Q162" s="6" t="n">
        <v>397.43</v>
      </c>
      <c r="R162" s="6">
        <f>Q162-P162</f>
        <v/>
      </c>
    </row>
    <row r="163">
      <c r="A163" s="5" t="inlineStr">
        <is>
          <t>2514</t>
        </is>
      </c>
      <c r="B163" s="5" t="inlineStr"/>
      <c r="C163" s="5" t="inlineStr">
        <is>
          <t>RIGGINGMEDICMANDAYS</t>
        </is>
      </c>
      <c r="D163" s="5" t="inlineStr">
        <is>
          <t>Local80</t>
        </is>
      </c>
      <c r="E163" s="6" t="n">
        <v>23.04</v>
      </c>
      <c r="F163" s="5" t="n"/>
      <c r="G163" s="5" t="n"/>
      <c r="H163" s="5" t="n"/>
      <c r="I163" s="5" t="n"/>
      <c r="J163" s="7">
        <f>IF(AND(N(F163)&gt;0,N(I163)&gt;0),I163-F163-IF(N(G163)&gt;0,0.5,0)-IF(N(H163)&gt;0,0.5,0),0)</f>
        <v/>
      </c>
      <c r="K163" s="5" t="n"/>
      <c r="L163" s="7">
        <f>MIN(J163,10.0)</f>
        <v/>
      </c>
      <c r="M163" s="7">
        <f>MAX(0,MIN(J163,12)-10.0)</f>
        <v/>
      </c>
      <c r="N163" s="7">
        <f>MAX(0,J163-12)</f>
        <v/>
      </c>
      <c r="O163" s="5" t="n"/>
      <c r="P163" s="6">
        <f>E163*(L163+M163*1.5+N163*2+O163*3+N(K163))</f>
        <v/>
      </c>
      <c r="Q163" s="5" t="n"/>
      <c r="R163" s="6">
        <f>Q163-P163</f>
        <v/>
      </c>
    </row>
    <row r="164">
      <c r="P164" s="2" t="inlineStr">
        <is>
          <t>SETFIRSTAIDLABOR LABOR</t>
        </is>
      </c>
      <c r="R164" s="8">
        <f>SUM(R162:R163)</f>
        <v/>
      </c>
    </row>
    <row r="166">
      <c r="B166" s="2" t="inlineStr">
        <is>
          <t>SFXCOORDINATOR</t>
        </is>
      </c>
    </row>
    <row r="167">
      <c r="A167" s="5" t="inlineStr">
        <is>
          <t>2601</t>
        </is>
      </c>
      <c r="B167" s="5" t="inlineStr">
        <is>
          <t>Zak Knight</t>
        </is>
      </c>
      <c r="C167" s="5" t="inlineStr">
        <is>
          <t>SPFXCOORDINATOR</t>
        </is>
      </c>
      <c r="D167" s="5" t="inlineStr">
        <is>
          <t>Local44</t>
        </is>
      </c>
      <c r="E167" s="6" t="n">
        <v>42</v>
      </c>
      <c r="F167" s="5" t="n"/>
      <c r="G167" s="5" t="n"/>
      <c r="H167" s="5" t="n"/>
      <c r="I167" s="5" t="n"/>
      <c r="J167" s="7">
        <f>IF(AND(N(F167)&gt;0,N(I167)&gt;0),I167-F167-IF(N(G167)&gt;0,0.5,0)-IF(N(H167)&gt;0,0.5,0),0)</f>
        <v/>
      </c>
      <c r="K167" s="5" t="n"/>
      <c r="L167" s="7">
        <f>MIN(J167,10.0)</f>
        <v/>
      </c>
      <c r="M167" s="7">
        <f>MAX(0,MIN(J167,12)-10.0)</f>
        <v/>
      </c>
      <c r="N167" s="7">
        <f>MAX(0,J167-12)</f>
        <v/>
      </c>
      <c r="O167" s="5" t="n"/>
      <c r="P167" s="6">
        <f>E167*(L167+M167*1.5+N167*2+O167*3+N(K167))</f>
        <v/>
      </c>
      <c r="Q167" s="6" t="n">
        <v>651</v>
      </c>
      <c r="R167" s="6">
        <f>Q167-P167</f>
        <v/>
      </c>
    </row>
    <row r="168">
      <c r="P168" s="2" t="inlineStr">
        <is>
          <t>SFXCOORDINATOR LABOR</t>
        </is>
      </c>
      <c r="R168" s="8">
        <f>SUM(R167:R167)</f>
        <v/>
      </c>
    </row>
    <row r="170">
      <c r="B170" s="2" t="inlineStr">
        <is>
          <t>SFXTECHMANDAYS</t>
        </is>
      </c>
    </row>
    <row r="171">
      <c r="A171" s="5" t="inlineStr">
        <is>
          <t>2609</t>
        </is>
      </c>
      <c r="B171" s="5" t="inlineStr"/>
      <c r="C171" s="5" t="inlineStr">
        <is>
          <t>SPFXTECHMANDAYS</t>
        </is>
      </c>
      <c r="D171" s="5" t="inlineStr">
        <is>
          <t>Local44</t>
        </is>
      </c>
      <c r="E171" s="6" t="n">
        <v>40</v>
      </c>
      <c r="F171" s="5" t="n"/>
      <c r="G171" s="5" t="n"/>
      <c r="H171" s="5" t="n"/>
      <c r="I171" s="5" t="n"/>
      <c r="J171" s="7">
        <f>IF(AND(N(F171)&gt;0,N(I171)&gt;0),I171-F171-IF(N(G171)&gt;0,0.5,0)-IF(N(H171)&gt;0,0.5,0),0)</f>
        <v/>
      </c>
      <c r="K171" s="5" t="n"/>
      <c r="L171" s="7">
        <f>MIN(J171,10.0)</f>
        <v/>
      </c>
      <c r="M171" s="7">
        <f>MAX(0,MIN(J171,12)-10.0)</f>
        <v/>
      </c>
      <c r="N171" s="7">
        <f>MAX(0,J171-12)</f>
        <v/>
      </c>
      <c r="O171" s="5" t="n"/>
      <c r="P171" s="6">
        <f>E171*(L171+M171*1.5+N171*2+O171*3+N(K171))</f>
        <v/>
      </c>
      <c r="Q171" s="6" t="n">
        <v>620</v>
      </c>
      <c r="R171" s="6">
        <f>Q171-P171</f>
        <v/>
      </c>
    </row>
    <row r="172">
      <c r="A172" s="5" t="inlineStr">
        <is>
          <t>2609</t>
        </is>
      </c>
      <c r="B172" s="5" t="inlineStr"/>
      <c r="C172" s="5" t="inlineStr">
        <is>
          <t>SPFXASSISTANTMANDAYS</t>
        </is>
      </c>
      <c r="D172" s="5" t="inlineStr">
        <is>
          <t>Local44</t>
        </is>
      </c>
      <c r="E172" s="6" t="n">
        <v>25.5</v>
      </c>
      <c r="F172" s="5" t="n"/>
      <c r="G172" s="5" t="n"/>
      <c r="H172" s="5" t="n"/>
      <c r="I172" s="5" t="n"/>
      <c r="J172" s="7">
        <f>IF(AND(N(F172)&gt;0,N(I172)&gt;0),I172-F172-IF(N(G172)&gt;0,0.5,0)-IF(N(H172)&gt;0,0.5,0),0)</f>
        <v/>
      </c>
      <c r="K172" s="5" t="n"/>
      <c r="L172" s="7">
        <f>MIN(J172,10.0)</f>
        <v/>
      </c>
      <c r="M172" s="7">
        <f>MAX(0,MIN(J172,12)-10.0)</f>
        <v/>
      </c>
      <c r="N172" s="7">
        <f>MAX(0,J172-12)</f>
        <v/>
      </c>
      <c r="O172" s="5" t="n"/>
      <c r="P172" s="6">
        <f>E172*(L172+M172*1.5+N172*2+O172*3+N(K172))</f>
        <v/>
      </c>
      <c r="Q172" s="6" t="n">
        <v>395.25</v>
      </c>
      <c r="R172" s="6">
        <f>Q172-P172</f>
        <v/>
      </c>
    </row>
    <row r="173">
      <c r="A173" s="5" t="inlineStr">
        <is>
          <t>2609</t>
        </is>
      </c>
      <c r="B173" s="5" t="inlineStr"/>
      <c r="C173" s="5" t="inlineStr">
        <is>
          <t>PYROMANDAYS</t>
        </is>
      </c>
      <c r="D173" s="5" t="inlineStr">
        <is>
          <t>Local44</t>
        </is>
      </c>
      <c r="E173" s="6" t="n">
        <v>68.18000000000001</v>
      </c>
      <c r="F173" s="5" t="n"/>
      <c r="G173" s="5" t="n"/>
      <c r="H173" s="5" t="n"/>
      <c r="I173" s="5" t="n"/>
      <c r="J173" s="7">
        <f>IF(AND(N(F173)&gt;0,N(I173)&gt;0),I173-F173-IF(N(G173)&gt;0,0.5,0)-IF(N(H173)&gt;0,0.5,0),0)</f>
        <v/>
      </c>
      <c r="K173" s="5" t="n"/>
      <c r="L173" s="7">
        <f>MIN(J173,10.0)</f>
        <v/>
      </c>
      <c r="M173" s="7">
        <f>MAX(0,MIN(J173,12)-10.0)</f>
        <v/>
      </c>
      <c r="N173" s="7">
        <f>MAX(0,J173-12)</f>
        <v/>
      </c>
      <c r="O173" s="5" t="n"/>
      <c r="P173" s="6">
        <f>E173*(L173+M173*1.5+N173*2+O173*3+N(K173))</f>
        <v/>
      </c>
      <c r="Q173" s="6" t="n">
        <v>749.98</v>
      </c>
      <c r="R173" s="6">
        <f>Q173-P173</f>
        <v/>
      </c>
    </row>
    <row r="174">
      <c r="P174" s="2" t="inlineStr">
        <is>
          <t>SFXTECHMANDAYS LABOR</t>
        </is>
      </c>
      <c r="R174" s="8">
        <f>SUM(R171:R173)</f>
        <v/>
      </c>
    </row>
    <row r="176">
      <c r="B176" s="2" t="inlineStr">
        <is>
          <t>SETDECORATOR</t>
        </is>
      </c>
    </row>
    <row r="177">
      <c r="A177" s="5" t="inlineStr">
        <is>
          <t>2701</t>
        </is>
      </c>
      <c r="B177" s="5" t="inlineStr">
        <is>
          <t>Sandy Skora</t>
        </is>
      </c>
      <c r="C177" s="5" t="inlineStr">
        <is>
          <t>SETDECORATOR</t>
        </is>
      </c>
      <c r="D177" s="5" t="inlineStr">
        <is>
          <t>Local44</t>
        </is>
      </c>
      <c r="E177" s="6" t="n">
        <v>400</v>
      </c>
      <c r="F177" s="5" t="n"/>
      <c r="G177" s="5" t="n"/>
      <c r="H177" s="5" t="n"/>
      <c r="I177" s="5" t="n"/>
      <c r="J177" s="7">
        <f>IF(AND(N(F177)&gt;0,N(I177)&gt;0),I177-F177-IF(N(G177)&gt;0,0.5,0)-IF(N(H177)&gt;0,0.5,0),0)</f>
        <v/>
      </c>
      <c r="K177" s="5" t="n"/>
      <c r="L177" s="7">
        <f>MIN(J177,10.0)</f>
        <v/>
      </c>
      <c r="M177" s="7">
        <f>MAX(0,MIN(J177,12)-10.0)</f>
        <v/>
      </c>
      <c r="N177" s="7">
        <f>MAX(0,J177-12)</f>
        <v/>
      </c>
      <c r="O177" s="5" t="n"/>
      <c r="P177" s="6">
        <f>E177*(L177+M177*1.5+N177*2+O177*3+N(K177))</f>
        <v/>
      </c>
      <c r="Q177" s="6" t="n">
        <v>400</v>
      </c>
      <c r="R177" s="6">
        <f>Q177-P177</f>
        <v/>
      </c>
    </row>
    <row r="178">
      <c r="P178" s="2" t="inlineStr">
        <is>
          <t>SETDECORATOR LABOR</t>
        </is>
      </c>
      <c r="R178" s="8">
        <f>SUM(R177:R177)</f>
        <v/>
      </c>
    </row>
    <row r="180">
      <c r="B180" s="2" t="inlineStr">
        <is>
          <t>LEADPERSON</t>
        </is>
      </c>
    </row>
    <row r="181">
      <c r="A181" s="5" t="inlineStr">
        <is>
          <t>2702</t>
        </is>
      </c>
      <c r="B181" s="5" t="inlineStr">
        <is>
          <t>Josh Richmond</t>
        </is>
      </c>
      <c r="C181" s="5" t="inlineStr">
        <is>
          <t>LEADPERSON</t>
        </is>
      </c>
      <c r="D181" s="5" t="inlineStr">
        <is>
          <t>Local44</t>
        </is>
      </c>
      <c r="E181" s="6" t="n">
        <v>23.04</v>
      </c>
      <c r="F181" s="5" t="n"/>
      <c r="G181" s="5" t="n"/>
      <c r="H181" s="5" t="n"/>
      <c r="I181" s="5" t="n"/>
      <c r="J181" s="7">
        <f>IF(AND(N(F181)&gt;0,N(I181)&gt;0),I181-F181-IF(N(G181)&gt;0,0.5,0)-IF(N(H181)&gt;0,0.5,0),0)</f>
        <v/>
      </c>
      <c r="K181" s="5" t="n"/>
      <c r="L181" s="7">
        <f>MIN(J181,10.0)</f>
        <v/>
      </c>
      <c r="M181" s="7">
        <f>MAX(0,MIN(J181,12)-10.0)</f>
        <v/>
      </c>
      <c r="N181" s="7">
        <f>MAX(0,J181-12)</f>
        <v/>
      </c>
      <c r="O181" s="5" t="n"/>
      <c r="P181" s="6">
        <f>E181*(L181+M181*1.5+N181*2+O181*3+N(K181))</f>
        <v/>
      </c>
      <c r="Q181" s="6" t="n">
        <v>322.56</v>
      </c>
      <c r="R181" s="6">
        <f>Q181-P181</f>
        <v/>
      </c>
    </row>
    <row r="182">
      <c r="P182" s="2" t="inlineStr">
        <is>
          <t>LEADPERSON LABOR</t>
        </is>
      </c>
      <c r="R182" s="8">
        <f>SUM(R181:R181)</f>
        <v/>
      </c>
    </row>
    <row r="184">
      <c r="B184" s="2" t="inlineStr">
        <is>
          <t>SWINGLABOR</t>
        </is>
      </c>
    </row>
    <row r="185">
      <c r="A185" s="5" t="inlineStr">
        <is>
          <t>2703</t>
        </is>
      </c>
      <c r="B185" s="5" t="inlineStr">
        <is>
          <t>Tim Dodge</t>
        </is>
      </c>
      <c r="C185" s="5" t="inlineStr">
        <is>
          <t>SWING#1</t>
        </is>
      </c>
      <c r="D185" s="5" t="inlineStr">
        <is>
          <t>Local44</t>
        </is>
      </c>
      <c r="E185" s="6" t="n">
        <v>20.57</v>
      </c>
      <c r="F185" s="5" t="n"/>
      <c r="G185" s="5" t="n"/>
      <c r="H185" s="5" t="n"/>
      <c r="I185" s="5" t="n"/>
      <c r="J185" s="7">
        <f>IF(AND(N(F185)&gt;0,N(I185)&gt;0),I185-F185-IF(N(G185)&gt;0,0.5,0)-IF(N(H185)&gt;0,0.5,0),0)</f>
        <v/>
      </c>
      <c r="K185" s="5" t="n"/>
      <c r="L185" s="7">
        <f>MIN(J185,10.0)</f>
        <v/>
      </c>
      <c r="M185" s="7">
        <f>MAX(0,MIN(J185,12)-10.0)</f>
        <v/>
      </c>
      <c r="N185" s="7">
        <f>MAX(0,J185-12)</f>
        <v/>
      </c>
      <c r="O185" s="5" t="n"/>
      <c r="P185" s="6">
        <f>E185*(L185+M185*1.5+N185*2+O185*3+N(K185))</f>
        <v/>
      </c>
      <c r="Q185" s="6" t="n">
        <v>287.98</v>
      </c>
      <c r="R185" s="6">
        <f>Q185-P185</f>
        <v/>
      </c>
    </row>
    <row r="186">
      <c r="A186" s="5" t="inlineStr">
        <is>
          <t>2703</t>
        </is>
      </c>
      <c r="B186" s="5" t="inlineStr"/>
      <c r="C186" s="5" t="inlineStr">
        <is>
          <t>SWING#2</t>
        </is>
      </c>
      <c r="D186" s="5" t="inlineStr">
        <is>
          <t>Local44</t>
        </is>
      </c>
      <c r="E186" s="6" t="n">
        <v>20.57</v>
      </c>
      <c r="F186" s="5" t="n"/>
      <c r="G186" s="5" t="n"/>
      <c r="H186" s="5" t="n"/>
      <c r="I186" s="5" t="n"/>
      <c r="J186" s="7">
        <f>IF(AND(N(F186)&gt;0,N(I186)&gt;0),I186-F186-IF(N(G186)&gt;0,0.5,0)-IF(N(H186)&gt;0,0.5,0),0)</f>
        <v/>
      </c>
      <c r="K186" s="5" t="n"/>
      <c r="L186" s="7">
        <f>MIN(J186,10.0)</f>
        <v/>
      </c>
      <c r="M186" s="7">
        <f>MAX(0,MIN(J186,12)-10.0)</f>
        <v/>
      </c>
      <c r="N186" s="7">
        <f>MAX(0,J186-12)</f>
        <v/>
      </c>
      <c r="O186" s="5" t="n"/>
      <c r="P186" s="6">
        <f>E186*(L186+M186*1.5+N186*2+O186*3+N(K186))</f>
        <v/>
      </c>
      <c r="Q186" s="6" t="n">
        <v>287.98</v>
      </c>
      <c r="R186" s="6">
        <f>Q186-P186</f>
        <v/>
      </c>
    </row>
    <row r="187">
      <c r="A187" s="5" t="inlineStr">
        <is>
          <t>2703</t>
        </is>
      </c>
      <c r="B187" s="5" t="inlineStr"/>
      <c r="C187" s="5" t="inlineStr">
        <is>
          <t>ADDITIONALSWINGMANDAYS</t>
        </is>
      </c>
      <c r="D187" s="5" t="inlineStr">
        <is>
          <t>Local44</t>
        </is>
      </c>
      <c r="E187" s="6" t="n">
        <v>20.57</v>
      </c>
      <c r="F187" s="5" t="n"/>
      <c r="G187" s="5" t="n"/>
      <c r="H187" s="5" t="n"/>
      <c r="I187" s="5" t="n"/>
      <c r="J187" s="7">
        <f>IF(AND(N(F187)&gt;0,N(I187)&gt;0),I187-F187-IF(N(G187)&gt;0,0.5,0)-IF(N(H187)&gt;0,0.5,0),0)</f>
        <v/>
      </c>
      <c r="K187" s="5" t="n"/>
      <c r="L187" s="7">
        <f>MIN(J187,10.0)</f>
        <v/>
      </c>
      <c r="M187" s="7">
        <f>MAX(0,MIN(J187,12)-10.0)</f>
        <v/>
      </c>
      <c r="N187" s="7">
        <f>MAX(0,J187-12)</f>
        <v/>
      </c>
      <c r="O187" s="5" t="n"/>
      <c r="P187" s="6">
        <f>E187*(L187+M187*1.5+N187*2+O187*3+N(K187))</f>
        <v/>
      </c>
      <c r="Q187" s="6" t="n">
        <v>287.98</v>
      </c>
      <c r="R187" s="6">
        <f>Q187-P187</f>
        <v/>
      </c>
    </row>
    <row r="188">
      <c r="P188" s="2" t="inlineStr">
        <is>
          <t>SWINGLABOR LABOR</t>
        </is>
      </c>
      <c r="R188" s="8">
        <f>SUM(R185:R187)</f>
        <v/>
      </c>
    </row>
    <row r="190">
      <c r="B190" s="2" t="inlineStr">
        <is>
          <t>ON-SETDRESSER</t>
        </is>
      </c>
    </row>
    <row r="191">
      <c r="A191" s="5" t="inlineStr">
        <is>
          <t>2705</t>
        </is>
      </c>
      <c r="B191" s="5" t="inlineStr">
        <is>
          <t>Khamisi Thurman</t>
        </is>
      </c>
      <c r="C191" s="5" t="inlineStr">
        <is>
          <t>ON-SETDRESSER</t>
        </is>
      </c>
      <c r="D191" s="5" t="inlineStr">
        <is>
          <t>Local44</t>
        </is>
      </c>
      <c r="E191" s="6" t="n">
        <v>20.57</v>
      </c>
      <c r="F191" s="5" t="n"/>
      <c r="G191" s="5" t="n"/>
      <c r="H191" s="5" t="n"/>
      <c r="I191" s="5" t="n"/>
      <c r="J191" s="7">
        <f>IF(AND(N(F191)&gt;0,N(I191)&gt;0),I191-F191-IF(N(G191)&gt;0,0.5,0)-IF(N(H191)&gt;0,0.5,0),0)</f>
        <v/>
      </c>
      <c r="K191" s="5" t="n"/>
      <c r="L191" s="7">
        <f>MIN(J191,10.0)</f>
        <v/>
      </c>
      <c r="M191" s="7">
        <f>MAX(0,MIN(J191,12)-10.0)</f>
        <v/>
      </c>
      <c r="N191" s="7">
        <f>MAX(0,J191-12)</f>
        <v/>
      </c>
      <c r="O191" s="5" t="n"/>
      <c r="P191" s="6">
        <f>E191*(L191+M191*1.5+N191*2+O191*3+N(K191))</f>
        <v/>
      </c>
      <c r="Q191" s="6" t="n">
        <v>318.83</v>
      </c>
      <c r="R191" s="6">
        <f>Q191-P191</f>
        <v/>
      </c>
    </row>
    <row r="192">
      <c r="P192" s="2" t="inlineStr">
        <is>
          <t>ON-SETDRESSER LABOR</t>
        </is>
      </c>
      <c r="R192" s="8">
        <f>SUM(R191:R191)</f>
        <v/>
      </c>
    </row>
    <row r="194">
      <c r="B194" s="2" t="inlineStr">
        <is>
          <t>BUYERS</t>
        </is>
      </c>
    </row>
    <row r="195">
      <c r="A195" s="5" t="inlineStr">
        <is>
          <t>2706</t>
        </is>
      </c>
      <c r="B195" s="5" t="inlineStr">
        <is>
          <t>Sarah Hickman</t>
        </is>
      </c>
      <c r="C195" s="5" t="inlineStr">
        <is>
          <t>BUYER</t>
        </is>
      </c>
      <c r="D195" s="5" t="inlineStr">
        <is>
          <t>Local44</t>
        </is>
      </c>
      <c r="E195" s="6" t="n">
        <v>23.04</v>
      </c>
      <c r="F195" s="5" t="n"/>
      <c r="G195" s="5" t="n"/>
      <c r="H195" s="5" t="n"/>
      <c r="I195" s="5" t="n"/>
      <c r="J195" s="7">
        <f>IF(AND(N(F195)&gt;0,N(I195)&gt;0),I195-F195-IF(N(G195)&gt;0,0.5,0)-IF(N(H195)&gt;0,0.5,0),0)</f>
        <v/>
      </c>
      <c r="K195" s="5" t="n"/>
      <c r="L195" s="7">
        <f>MIN(J195,10.0)</f>
        <v/>
      </c>
      <c r="M195" s="7">
        <f>MAX(0,MIN(J195,12)-10.0)</f>
        <v/>
      </c>
      <c r="N195" s="7">
        <f>MAX(0,J195-12)</f>
        <v/>
      </c>
      <c r="O195" s="5" t="n"/>
      <c r="P195" s="6">
        <f>E195*(L195+M195*1.5+N195*2+O195*3+N(K195))</f>
        <v/>
      </c>
      <c r="Q195" s="5" t="n"/>
      <c r="R195" s="6">
        <f>Q195-P195</f>
        <v/>
      </c>
    </row>
    <row r="196">
      <c r="P196" s="2" t="inlineStr">
        <is>
          <t>BUYERS LABOR</t>
        </is>
      </c>
      <c r="R196" s="8">
        <f>SUM(R195:R195)</f>
        <v/>
      </c>
    </row>
    <row r="198">
      <c r="B198" s="2" t="inlineStr">
        <is>
          <t>PROPMASTER</t>
        </is>
      </c>
    </row>
    <row r="199">
      <c r="A199" s="5" t="inlineStr">
        <is>
          <t>2801</t>
        </is>
      </c>
      <c r="B199" s="5" t="inlineStr">
        <is>
          <t>Annie Brandt</t>
        </is>
      </c>
      <c r="C199" s="5" t="inlineStr">
        <is>
          <t>PROPMASTER</t>
        </is>
      </c>
      <c r="D199" s="5" t="inlineStr">
        <is>
          <t>Local44</t>
        </is>
      </c>
      <c r="E199" s="6" t="n">
        <v>25.5</v>
      </c>
      <c r="F199" s="5" t="n"/>
      <c r="G199" s="5" t="n"/>
      <c r="H199" s="5" t="n"/>
      <c r="I199" s="5" t="n"/>
      <c r="J199" s="7">
        <f>IF(AND(N(F199)&gt;0,N(I199)&gt;0),I199-F199-IF(N(G199)&gt;0,0.5,0)-IF(N(H199)&gt;0,0.5,0),0)</f>
        <v/>
      </c>
      <c r="K199" s="5" t="n"/>
      <c r="L199" s="7">
        <f>MIN(J199,10.0)</f>
        <v/>
      </c>
      <c r="M199" s="7">
        <f>MAX(0,MIN(J199,12)-10.0)</f>
        <v/>
      </c>
      <c r="N199" s="7">
        <f>MAX(0,J199-12)</f>
        <v/>
      </c>
      <c r="O199" s="5" t="n"/>
      <c r="P199" s="6">
        <f>E199*(L199+M199*1.5+N199*2+O199*3+N(K199))</f>
        <v/>
      </c>
      <c r="Q199" s="6" t="n">
        <v>395.25</v>
      </c>
      <c r="R199" s="6">
        <f>Q199-P199</f>
        <v/>
      </c>
    </row>
    <row r="200">
      <c r="P200" s="2" t="inlineStr">
        <is>
          <t>PROPMASTER LABOR</t>
        </is>
      </c>
      <c r="R200" s="8">
        <f>SUM(R199:R199)</f>
        <v/>
      </c>
    </row>
    <row r="202">
      <c r="B202" s="2" t="inlineStr">
        <is>
          <t>ASSTPROPMASTER</t>
        </is>
      </c>
    </row>
    <row r="203">
      <c r="A203" s="5" t="inlineStr">
        <is>
          <t>2802</t>
        </is>
      </c>
      <c r="B203" s="5" t="inlineStr">
        <is>
          <t>Nate Bakes</t>
        </is>
      </c>
      <c r="C203" s="5" t="inlineStr">
        <is>
          <t>ASSTPROPMASTER</t>
        </is>
      </c>
      <c r="D203" s="5" t="inlineStr">
        <is>
          <t>Local44</t>
        </is>
      </c>
      <c r="E203" s="6" t="n">
        <v>23.04</v>
      </c>
      <c r="F203" s="5" t="n"/>
      <c r="G203" s="5" t="n"/>
      <c r="H203" s="5" t="n"/>
      <c r="I203" s="5" t="n"/>
      <c r="J203" s="7">
        <f>IF(AND(N(F203)&gt;0,N(I203)&gt;0),I203-F203-IF(N(G203)&gt;0,0.5,0)-IF(N(H203)&gt;0,0.5,0),0)</f>
        <v/>
      </c>
      <c r="K203" s="5" t="n"/>
      <c r="L203" s="7">
        <f>MIN(J203,10.0)</f>
        <v/>
      </c>
      <c r="M203" s="7">
        <f>MAX(0,MIN(J203,12)-10.0)</f>
        <v/>
      </c>
      <c r="N203" s="7">
        <f>MAX(0,J203-12)</f>
        <v/>
      </c>
      <c r="O203" s="5" t="n"/>
      <c r="P203" s="6">
        <f>E203*(L203+M203*1.5+N203*2+O203*3+N(K203))</f>
        <v/>
      </c>
      <c r="Q203" s="6" t="n">
        <v>357.12</v>
      </c>
      <c r="R203" s="6">
        <f>Q203-P203</f>
        <v/>
      </c>
    </row>
    <row r="204">
      <c r="P204" s="2" t="inlineStr">
        <is>
          <t>ASSTPROPMASTER LABOR</t>
        </is>
      </c>
      <c r="R204" s="8">
        <f>SUM(R203:R203)</f>
        <v/>
      </c>
    </row>
    <row r="206">
      <c r="B206" s="2" t="inlineStr">
        <is>
          <t>COSTUMEDESIGNER</t>
        </is>
      </c>
    </row>
    <row r="207">
      <c r="A207" s="5" t="inlineStr">
        <is>
          <t>2901</t>
        </is>
      </c>
      <c r="B207" s="5" t="inlineStr">
        <is>
          <t>Megan Spatz</t>
        </is>
      </c>
      <c r="C207" s="5" t="inlineStr">
        <is>
          <t>COSTUMEDESIGNER</t>
        </is>
      </c>
      <c r="D207" s="5" t="inlineStr">
        <is>
          <t>Local892</t>
        </is>
      </c>
      <c r="E207" s="6" t="n">
        <v>540</v>
      </c>
      <c r="F207" s="5" t="n"/>
      <c r="G207" s="5" t="n"/>
      <c r="H207" s="5" t="n"/>
      <c r="I207" s="5" t="n"/>
      <c r="J207" s="7">
        <f>IF(AND(N(F207)&gt;0,N(I207)&gt;0),I207-F207-IF(N(G207)&gt;0,0.5,0)-IF(N(H207)&gt;0,0.5,0),0)</f>
        <v/>
      </c>
      <c r="K207" s="5" t="n"/>
      <c r="L207" s="7">
        <f>MIN(J207,8.0)</f>
        <v/>
      </c>
      <c r="M207" s="7">
        <f>MAX(0,MIN(J207,12)-8.0)</f>
        <v/>
      </c>
      <c r="N207" s="7">
        <f>MAX(0,J207-12)</f>
        <v/>
      </c>
      <c r="O207" s="5" t="n"/>
      <c r="P207" s="6">
        <f>E207*(L207+M207*1.5+N207*2+O207*3+N(K207))</f>
        <v/>
      </c>
      <c r="Q207" s="6" t="n">
        <v>540</v>
      </c>
      <c r="R207" s="6">
        <f>Q207-P207</f>
        <v/>
      </c>
    </row>
    <row r="208">
      <c r="P208" s="2" t="inlineStr">
        <is>
          <t>COSTUMEDESIGNER LABOR</t>
        </is>
      </c>
      <c r="R208" s="8">
        <f>SUM(R207:R207)</f>
        <v/>
      </c>
    </row>
    <row r="210">
      <c r="B210" s="2" t="inlineStr">
        <is>
          <t>COSTUMESUPERVISOR</t>
        </is>
      </c>
    </row>
    <row r="211">
      <c r="A211" s="5" t="inlineStr">
        <is>
          <t>2903</t>
        </is>
      </c>
      <c r="B211" s="5" t="inlineStr">
        <is>
          <t>Danielle Schuck</t>
        </is>
      </c>
      <c r="C211" s="5" t="inlineStr">
        <is>
          <t>COSTUMESUPERVISOR</t>
        </is>
      </c>
      <c r="D211" s="5" t="inlineStr">
        <is>
          <t>Local705</t>
        </is>
      </c>
      <c r="E211" s="6" t="n">
        <v>25.5</v>
      </c>
      <c r="F211" s="5" t="n"/>
      <c r="G211" s="5" t="n"/>
      <c r="H211" s="5" t="n"/>
      <c r="I211" s="5" t="n"/>
      <c r="J211" s="7">
        <f>IF(AND(N(F211)&gt;0,N(I211)&gt;0),I211-F211-IF(N(G211)&gt;0,0.5,0)-IF(N(H211)&gt;0,0.5,0),0)</f>
        <v/>
      </c>
      <c r="K211" s="5" t="n"/>
      <c r="L211" s="7">
        <f>MIN(J211,8.0)</f>
        <v/>
      </c>
      <c r="M211" s="7">
        <f>MAX(0,MIN(J211,12)-8.0)</f>
        <v/>
      </c>
      <c r="N211" s="7">
        <f>MAX(0,J211-12)</f>
        <v/>
      </c>
      <c r="O211" s="5" t="n"/>
      <c r="P211" s="6">
        <f>E211*(L211+M211*1.5+N211*2+O211*3+N(K211))</f>
        <v/>
      </c>
      <c r="Q211" s="6" t="n">
        <v>395.25</v>
      </c>
      <c r="R211" s="6">
        <f>Q211-P211</f>
        <v/>
      </c>
    </row>
    <row r="212">
      <c r="P212" s="2" t="inlineStr">
        <is>
          <t>COSTUMESUPERVISOR LABOR</t>
        </is>
      </c>
      <c r="R212" s="8">
        <f>SUM(R211:R211)</f>
        <v/>
      </c>
    </row>
    <row r="214">
      <c r="B214" s="2" t="inlineStr">
        <is>
          <t>SETCOSTUMERS</t>
        </is>
      </c>
    </row>
    <row r="215">
      <c r="A215" s="5" t="inlineStr">
        <is>
          <t>2905</t>
        </is>
      </c>
      <c r="B215" s="5" t="inlineStr">
        <is>
          <t>Monavie Tutop</t>
        </is>
      </c>
      <c r="C215" s="5" t="inlineStr">
        <is>
          <t>COSTUMER#1</t>
        </is>
      </c>
      <c r="D215" s="5" t="inlineStr">
        <is>
          <t>Local705</t>
        </is>
      </c>
      <c r="E215" s="6" t="n">
        <v>23.04</v>
      </c>
      <c r="F215" s="5" t="n"/>
      <c r="G215" s="5" t="n"/>
      <c r="H215" s="5" t="n"/>
      <c r="I215" s="5" t="n"/>
      <c r="J215" s="7">
        <f>IF(AND(N(F215)&gt;0,N(I215)&gt;0),I215-F215-IF(N(G215)&gt;0,0.5,0)-IF(N(H215)&gt;0,0.5,0),0)</f>
        <v/>
      </c>
      <c r="K215" s="5" t="n"/>
      <c r="L215" s="7">
        <f>MIN(J215,8.0)</f>
        <v/>
      </c>
      <c r="M215" s="7">
        <f>MAX(0,MIN(J215,12)-8.0)</f>
        <v/>
      </c>
      <c r="N215" s="7">
        <f>MAX(0,J215-12)</f>
        <v/>
      </c>
      <c r="O215" s="5" t="n"/>
      <c r="P215" s="6">
        <f>E215*(L215+M215*1.5+N215*2+O215*3+N(K215))</f>
        <v/>
      </c>
      <c r="Q215" s="6" t="n">
        <v>397.43</v>
      </c>
      <c r="R215" s="6">
        <f>Q215-P215</f>
        <v/>
      </c>
    </row>
    <row r="216">
      <c r="A216" s="5" t="inlineStr">
        <is>
          <t>2905</t>
        </is>
      </c>
      <c r="B216" s="5" t="inlineStr"/>
      <c r="C216" s="5" t="inlineStr">
        <is>
          <t>COSTUMER#2</t>
        </is>
      </c>
      <c r="D216" s="5" t="inlineStr">
        <is>
          <t>Local705</t>
        </is>
      </c>
      <c r="E216" s="6" t="n">
        <v>20.57</v>
      </c>
      <c r="F216" s="5" t="n"/>
      <c r="G216" s="5" t="n"/>
      <c r="H216" s="5" t="n"/>
      <c r="I216" s="5" t="n"/>
      <c r="J216" s="7">
        <f>IF(AND(N(F216)&gt;0,N(I216)&gt;0),I216-F216-IF(N(G216)&gt;0,0.5,0)-IF(N(H216)&gt;0,0.5,0),0)</f>
        <v/>
      </c>
      <c r="K216" s="5" t="n"/>
      <c r="L216" s="7">
        <f>MIN(J216,8.0)</f>
        <v/>
      </c>
      <c r="M216" s="7">
        <f>MAX(0,MIN(J216,12)-8.0)</f>
        <v/>
      </c>
      <c r="N216" s="7">
        <f>MAX(0,J216-12)</f>
        <v/>
      </c>
      <c r="O216" s="5" t="n"/>
      <c r="P216" s="6">
        <f>E216*(L216+M216*1.5+N216*2+O216*3+N(K216))</f>
        <v/>
      </c>
      <c r="Q216" s="6" t="n">
        <v>354.83</v>
      </c>
      <c r="R216" s="6">
        <f>Q216-P216</f>
        <v/>
      </c>
    </row>
    <row r="217">
      <c r="P217" s="2" t="inlineStr">
        <is>
          <t>SETCOSTUMERS LABOR</t>
        </is>
      </c>
      <c r="R217" s="8">
        <f>SUM(R215:R216)</f>
        <v/>
      </c>
    </row>
    <row r="219">
      <c r="B219" s="2" t="inlineStr">
        <is>
          <t>KEYMAKE-UP</t>
        </is>
      </c>
    </row>
    <row r="220">
      <c r="A220" s="5" t="inlineStr">
        <is>
          <t>3101</t>
        </is>
      </c>
      <c r="B220" s="5" t="inlineStr">
        <is>
          <t>Eleanor Sabaduquia</t>
        </is>
      </c>
      <c r="C220" s="5" t="inlineStr">
        <is>
          <t>KEYMAKEUPARTIST</t>
        </is>
      </c>
      <c r="D220" s="5" t="inlineStr">
        <is>
          <t>Local706</t>
        </is>
      </c>
      <c r="E220" s="6" t="n">
        <v>25.5</v>
      </c>
      <c r="F220" s="5" t="n"/>
      <c r="G220" s="5" t="n"/>
      <c r="H220" s="5" t="n"/>
      <c r="I220" s="5" t="n"/>
      <c r="J220" s="7">
        <f>IF(AND(N(F220)&gt;0,N(I220)&gt;0),I220-F220-IF(N(G220)&gt;0,0.5,0)-IF(N(H220)&gt;0,0.5,0),0)</f>
        <v/>
      </c>
      <c r="K220" s="5" t="n"/>
      <c r="L220" s="7">
        <f>MIN(J220,10.0)</f>
        <v/>
      </c>
      <c r="M220" s="7">
        <f>MAX(0,MIN(J220,12)-10.0)</f>
        <v/>
      </c>
      <c r="N220" s="7">
        <f>MAX(0,J220-12)</f>
        <v/>
      </c>
      <c r="O220" s="5" t="n"/>
      <c r="P220" s="6">
        <f>E220*(L220+M220*1.5+N220*2+O220*3+N(K220))</f>
        <v/>
      </c>
      <c r="Q220" s="6" t="n">
        <v>439.87</v>
      </c>
      <c r="R220" s="6">
        <f>Q220-P220</f>
        <v/>
      </c>
    </row>
    <row r="221">
      <c r="P221" s="2" t="inlineStr">
        <is>
          <t>KEYMAKE-UP LABOR</t>
        </is>
      </c>
      <c r="R221" s="8">
        <f>SUM(R220:R220)</f>
        <v/>
      </c>
    </row>
    <row r="223">
      <c r="B223" s="2" t="inlineStr">
        <is>
          <t>ASSTMAKE-UP</t>
        </is>
      </c>
    </row>
    <row r="224">
      <c r="A224" s="5" t="inlineStr">
        <is>
          <t>3102</t>
        </is>
      </c>
      <c r="B224" s="5" t="inlineStr">
        <is>
          <t>Yoko Nobushi</t>
        </is>
      </c>
      <c r="C224" s="5" t="inlineStr">
        <is>
          <t>ASSTMAKEUPARTIST#1</t>
        </is>
      </c>
      <c r="D224" s="5" t="inlineStr">
        <is>
          <t>Local706</t>
        </is>
      </c>
      <c r="E224" s="6" t="n">
        <v>23.04</v>
      </c>
      <c r="F224" s="5" t="n"/>
      <c r="G224" s="5" t="n"/>
      <c r="H224" s="5" t="n"/>
      <c r="I224" s="5" t="n"/>
      <c r="J224" s="7">
        <f>IF(AND(N(F224)&gt;0,N(I224)&gt;0),I224-F224-IF(N(G224)&gt;0,0.5,0)-IF(N(H224)&gt;0,0.5,0),0)</f>
        <v/>
      </c>
      <c r="K224" s="5" t="n"/>
      <c r="L224" s="7">
        <f>MIN(J224,10.0)</f>
        <v/>
      </c>
      <c r="M224" s="7">
        <f>MAX(0,MIN(J224,12)-10.0)</f>
        <v/>
      </c>
      <c r="N224" s="7">
        <f>MAX(0,J224-12)</f>
        <v/>
      </c>
      <c r="O224" s="5" t="n"/>
      <c r="P224" s="6">
        <f>E224*(L224+M224*1.5+N224*2+O224*3+N(K224))</f>
        <v/>
      </c>
      <c r="Q224" s="6" t="n">
        <v>397.43</v>
      </c>
      <c r="R224" s="6">
        <f>Q224-P224</f>
        <v/>
      </c>
    </row>
    <row r="225">
      <c r="P225" s="2" t="inlineStr">
        <is>
          <t>ASSTMAKE-UP LABOR</t>
        </is>
      </c>
      <c r="R225" s="8">
        <f>SUM(R224:R224)</f>
        <v/>
      </c>
    </row>
    <row r="227">
      <c r="B227" s="2" t="inlineStr">
        <is>
          <t>ADDITIONALMAKE-UPLABOR</t>
        </is>
      </c>
    </row>
    <row r="228">
      <c r="A228" s="5" t="inlineStr">
        <is>
          <t>3103</t>
        </is>
      </c>
      <c r="B228" s="5" t="inlineStr"/>
      <c r="C228" s="5" t="inlineStr">
        <is>
          <t>ADDLMAKEUPARTISTDAYS</t>
        </is>
      </c>
      <c r="D228" s="5" t="inlineStr">
        <is>
          <t>Local706</t>
        </is>
      </c>
      <c r="E228" s="6" t="n">
        <v>23.04</v>
      </c>
      <c r="F228" s="5" t="n"/>
      <c r="G228" s="5" t="n"/>
      <c r="H228" s="5" t="n"/>
      <c r="I228" s="5" t="n"/>
      <c r="J228" s="7">
        <f>IF(AND(N(F228)&gt;0,N(I228)&gt;0),I228-F228-IF(N(G228)&gt;0,0.5,0)-IF(N(H228)&gt;0,0.5,0),0)</f>
        <v/>
      </c>
      <c r="K228" s="5" t="n"/>
      <c r="L228" s="7">
        <f>MIN(J228,10.0)</f>
        <v/>
      </c>
      <c r="M228" s="7">
        <f>MAX(0,MIN(J228,12)-10.0)</f>
        <v/>
      </c>
      <c r="N228" s="7">
        <f>MAX(0,J228-12)</f>
        <v/>
      </c>
      <c r="O228" s="5" t="n"/>
      <c r="P228" s="6">
        <f>E228*(L228+M228*1.5+N228*2+O228*3+N(K228))</f>
        <v/>
      </c>
      <c r="Q228" s="6" t="n">
        <v>397.43</v>
      </c>
      <c r="R228" s="6">
        <f>Q228-P228</f>
        <v/>
      </c>
    </row>
    <row r="229">
      <c r="P229" s="2" t="inlineStr">
        <is>
          <t>ADDITIONALMAKE-UPLABOR LABOR</t>
        </is>
      </c>
      <c r="R229" s="8">
        <f>SUM(R228:R228)</f>
        <v/>
      </c>
    </row>
    <row r="231">
      <c r="B231" s="2" t="inlineStr">
        <is>
          <t>PROSTHETICS</t>
        </is>
      </c>
    </row>
    <row r="232">
      <c r="A232" s="5" t="inlineStr">
        <is>
          <t>3105</t>
        </is>
      </c>
      <c r="B232" s="5" t="inlineStr"/>
      <c r="C232" s="5" t="inlineStr">
        <is>
          <t>PROSTHETICMAKEUPARTIST</t>
        </is>
      </c>
      <c r="D232" s="5" t="inlineStr">
        <is>
          <t>Local706</t>
        </is>
      </c>
      <c r="E232" s="6" t="n">
        <v>25.5</v>
      </c>
      <c r="F232" s="5" t="n"/>
      <c r="G232" s="5" t="n"/>
      <c r="H232" s="5" t="n"/>
      <c r="I232" s="5" t="n"/>
      <c r="J232" s="7">
        <f>IF(AND(N(F232)&gt;0,N(I232)&gt;0),I232-F232-IF(N(G232)&gt;0,0.5,0)-IF(N(H232)&gt;0,0.5,0),0)</f>
        <v/>
      </c>
      <c r="K232" s="5" t="n"/>
      <c r="L232" s="7">
        <f>MIN(J232,10.0)</f>
        <v/>
      </c>
      <c r="M232" s="7">
        <f>MAX(0,MIN(J232,12)-10.0)</f>
        <v/>
      </c>
      <c r="N232" s="7">
        <f>MAX(0,J232-12)</f>
        <v/>
      </c>
      <c r="O232" s="5" t="n"/>
      <c r="P232" s="6">
        <f>E232*(L232+M232*1.5+N232*2+O232*3+N(K232))</f>
        <v/>
      </c>
      <c r="Q232" s="6" t="n">
        <v>439.87</v>
      </c>
      <c r="R232" s="6">
        <f>Q232-P232</f>
        <v/>
      </c>
    </row>
    <row r="233">
      <c r="A233" s="5" t="inlineStr">
        <is>
          <t>3105</t>
        </is>
      </c>
      <c r="B233" s="5" t="inlineStr"/>
      <c r="C233" s="5" t="inlineStr">
        <is>
          <t>LENSCONSULTANT</t>
        </is>
      </c>
      <c r="D233" s="5" t="inlineStr"/>
      <c r="E233" s="6" t="n">
        <v>50</v>
      </c>
      <c r="F233" s="5" t="n"/>
      <c r="G233" s="5" t="n"/>
      <c r="H233" s="5" t="n"/>
      <c r="I233" s="5" t="n"/>
      <c r="J233" s="7">
        <f>IF(AND(N(F233)&gt;0,N(I233)&gt;0),I233-F233-IF(N(G233)&gt;0,0.5,0)-IF(N(H233)&gt;0,0.5,0),0)</f>
        <v/>
      </c>
      <c r="K233" s="5" t="n"/>
      <c r="L233" s="7">
        <f>MIN(J233,8.0)</f>
        <v/>
      </c>
      <c r="M233" s="7">
        <f>MAX(0,MIN(J233,12)-8.0)</f>
        <v/>
      </c>
      <c r="N233" s="7">
        <f>MAX(0,J233-12)</f>
        <v/>
      </c>
      <c r="O233" s="5" t="n"/>
      <c r="P233" s="6">
        <f>E233*(L233+M233*1.5+N233*2+O233*3+N(K233))</f>
        <v/>
      </c>
      <c r="Q233" s="6" t="n">
        <v>862.53</v>
      </c>
      <c r="R233" s="6">
        <f>Q233-P233</f>
        <v/>
      </c>
    </row>
    <row r="234">
      <c r="P234" s="2" t="inlineStr">
        <is>
          <t>PROSTHETICS LABOR</t>
        </is>
      </c>
      <c r="R234" s="8">
        <f>SUM(R232:R233)</f>
        <v/>
      </c>
    </row>
    <row r="236">
      <c r="B236" s="2" t="inlineStr">
        <is>
          <t>KEYHAIR</t>
        </is>
      </c>
    </row>
    <row r="237">
      <c r="A237" s="5" t="inlineStr">
        <is>
          <t>3111</t>
        </is>
      </c>
      <c r="B237" s="5" t="inlineStr">
        <is>
          <t>Traci Smithe</t>
        </is>
      </c>
      <c r="C237" s="5" t="inlineStr">
        <is>
          <t>KEYHAIR</t>
        </is>
      </c>
      <c r="D237" s="5" t="inlineStr">
        <is>
          <t>Local706</t>
        </is>
      </c>
      <c r="E237" s="6" t="n">
        <v>25.5</v>
      </c>
      <c r="F237" s="5" t="n"/>
      <c r="G237" s="5" t="n"/>
      <c r="H237" s="5" t="n"/>
      <c r="I237" s="5" t="n"/>
      <c r="J237" s="7">
        <f>IF(AND(N(F237)&gt;0,N(I237)&gt;0),I237-F237-IF(N(G237)&gt;0,0.5,0)-IF(N(H237)&gt;0,0.5,0),0)</f>
        <v/>
      </c>
      <c r="K237" s="5" t="n"/>
      <c r="L237" s="7">
        <f>MIN(J237,10.0)</f>
        <v/>
      </c>
      <c r="M237" s="7">
        <f>MAX(0,MIN(J237,12)-10.0)</f>
        <v/>
      </c>
      <c r="N237" s="7">
        <f>MAX(0,J237-12)</f>
        <v/>
      </c>
      <c r="O237" s="5" t="n"/>
      <c r="P237" s="6">
        <f>E237*(L237+M237*1.5+N237*2+O237*3+N(K237))</f>
        <v/>
      </c>
      <c r="Q237" s="6" t="n">
        <v>439.87</v>
      </c>
      <c r="R237" s="6">
        <f>Q237-P237</f>
        <v/>
      </c>
    </row>
    <row r="238">
      <c r="P238" s="2" t="inlineStr">
        <is>
          <t>KEYHAIR LABOR</t>
        </is>
      </c>
      <c r="R238" s="8">
        <f>SUM(R237:R237)</f>
        <v/>
      </c>
    </row>
    <row r="240">
      <c r="B240" s="2" t="inlineStr">
        <is>
          <t>ASSTHAIR</t>
        </is>
      </c>
    </row>
    <row r="241">
      <c r="A241" s="5" t="inlineStr">
        <is>
          <t>3112</t>
        </is>
      </c>
      <c r="B241" s="5" t="inlineStr">
        <is>
          <t>Yunea Cruz</t>
        </is>
      </c>
      <c r="C241" s="5" t="inlineStr">
        <is>
          <t>ASSTHAIRSTYLIST#1</t>
        </is>
      </c>
      <c r="D241" s="5" t="inlineStr">
        <is>
          <t>Local706</t>
        </is>
      </c>
      <c r="E241" s="6" t="n">
        <v>23.04</v>
      </c>
      <c r="F241" s="5" t="n"/>
      <c r="G241" s="5" t="n"/>
      <c r="H241" s="5" t="n"/>
      <c r="I241" s="5" t="n"/>
      <c r="J241" s="7">
        <f>IF(AND(N(F241)&gt;0,N(I241)&gt;0),I241-F241-IF(N(G241)&gt;0,0.5,0)-IF(N(H241)&gt;0,0.5,0),0)</f>
        <v/>
      </c>
      <c r="K241" s="5" t="n"/>
      <c r="L241" s="7">
        <f>MIN(J241,10.0)</f>
        <v/>
      </c>
      <c r="M241" s="7">
        <f>MAX(0,MIN(J241,12)-10.0)</f>
        <v/>
      </c>
      <c r="N241" s="7">
        <f>MAX(0,J241-12)</f>
        <v/>
      </c>
      <c r="O241" s="5" t="n"/>
      <c r="P241" s="6">
        <f>E241*(L241+M241*1.5+N241*2+O241*3+N(K241))</f>
        <v/>
      </c>
      <c r="Q241" s="6" t="n">
        <v>397.43</v>
      </c>
      <c r="R241" s="6">
        <f>Q241-P241</f>
        <v/>
      </c>
    </row>
    <row r="242">
      <c r="P242" s="2" t="inlineStr">
        <is>
          <t>ASSTHAIR LABOR</t>
        </is>
      </c>
      <c r="R242" s="8">
        <f>SUM(R241:R241)</f>
        <v/>
      </c>
    </row>
    <row r="244">
      <c r="B244" s="2" t="inlineStr">
        <is>
          <t>ADDITIONALHAIRLABOR</t>
        </is>
      </c>
    </row>
    <row r="245">
      <c r="A245" s="5" t="inlineStr">
        <is>
          <t>3113</t>
        </is>
      </c>
      <c r="B245" s="5" t="inlineStr"/>
      <c r="C245" s="5" t="inlineStr">
        <is>
          <t>ADDLHAIRSTYLISTDAYS</t>
        </is>
      </c>
      <c r="D245" s="5" t="inlineStr">
        <is>
          <t>Local706</t>
        </is>
      </c>
      <c r="E245" s="6" t="n">
        <v>23.04</v>
      </c>
      <c r="F245" s="5" t="n"/>
      <c r="G245" s="5" t="n"/>
      <c r="H245" s="5" t="n"/>
      <c r="I245" s="5" t="n"/>
      <c r="J245" s="7">
        <f>IF(AND(N(F245)&gt;0,N(I245)&gt;0),I245-F245-IF(N(G245)&gt;0,0.5,0)-IF(N(H245)&gt;0,0.5,0),0)</f>
        <v/>
      </c>
      <c r="K245" s="5" t="n"/>
      <c r="L245" s="7">
        <f>MIN(J245,10.0)</f>
        <v/>
      </c>
      <c r="M245" s="7">
        <f>MAX(0,MIN(J245,12)-10.0)</f>
        <v/>
      </c>
      <c r="N245" s="7">
        <f>MAX(0,J245-12)</f>
        <v/>
      </c>
      <c r="O245" s="5" t="n"/>
      <c r="P245" s="6">
        <f>E245*(L245+M245*1.5+N245*2+O245*3+N(K245))</f>
        <v/>
      </c>
      <c r="Q245" s="6" t="n">
        <v>397.43</v>
      </c>
      <c r="R245" s="6">
        <f>Q245-P245</f>
        <v/>
      </c>
    </row>
    <row r="246">
      <c r="P246" s="2" t="inlineStr">
        <is>
          <t>ADDITIONALHAIRLABOR LABOR</t>
        </is>
      </c>
      <c r="R246" s="8">
        <f>SUM(R245:R245)</f>
        <v/>
      </c>
    </row>
    <row r="248">
      <c r="B248" s="2" t="inlineStr">
        <is>
          <t>GAFFER</t>
        </is>
      </c>
    </row>
    <row r="249">
      <c r="A249" s="5" t="inlineStr">
        <is>
          <t>3201</t>
        </is>
      </c>
      <c r="B249" s="5" t="inlineStr">
        <is>
          <t>Nicholas Kaat</t>
        </is>
      </c>
      <c r="C249" s="5" t="inlineStr">
        <is>
          <t>GAFFER</t>
        </is>
      </c>
      <c r="D249" s="5" t="inlineStr">
        <is>
          <t>Local728</t>
        </is>
      </c>
      <c r="E249" s="6" t="n">
        <v>25.5</v>
      </c>
      <c r="F249" s="5" t="n"/>
      <c r="G249" s="5" t="n"/>
      <c r="H249" s="5" t="n"/>
      <c r="I249" s="5" t="n"/>
      <c r="J249" s="7">
        <f>IF(AND(N(F249)&gt;0,N(I249)&gt;0),I249-F249-IF(N(G249)&gt;0,0.5,0)-IF(N(H249)&gt;0,0.5,0),0)</f>
        <v/>
      </c>
      <c r="K249" s="5" t="n"/>
      <c r="L249" s="7">
        <f>MIN(J249,10.0)</f>
        <v/>
      </c>
      <c r="M249" s="7">
        <f>MAX(0,MIN(J249,12)-10.0)</f>
        <v/>
      </c>
      <c r="N249" s="7">
        <f>MAX(0,J249-12)</f>
        <v/>
      </c>
      <c r="O249" s="5" t="n"/>
      <c r="P249" s="6">
        <f>E249*(L249+M249*1.5+N249*2+O249*3+N(K249))</f>
        <v/>
      </c>
      <c r="Q249" s="6" t="n">
        <v>395.25</v>
      </c>
      <c r="R249" s="6">
        <f>Q249-P249</f>
        <v/>
      </c>
    </row>
    <row r="250">
      <c r="P250" s="2" t="inlineStr">
        <is>
          <t>GAFFER LABOR</t>
        </is>
      </c>
      <c r="R250" s="8">
        <f>SUM(R249:R249)</f>
        <v/>
      </c>
    </row>
    <row r="252">
      <c r="B252" s="2" t="inlineStr">
        <is>
          <t>BESTBOYELECTRIC</t>
        </is>
      </c>
    </row>
    <row r="253">
      <c r="A253" s="5" t="inlineStr">
        <is>
          <t>3202</t>
        </is>
      </c>
      <c r="B253" s="5" t="inlineStr">
        <is>
          <t>Nathan Fetzer</t>
        </is>
      </c>
      <c r="C253" s="5" t="inlineStr">
        <is>
          <t>BESTBOYELECTRIC</t>
        </is>
      </c>
      <c r="D253" s="5" t="inlineStr">
        <is>
          <t>Local728</t>
        </is>
      </c>
      <c r="E253" s="6" t="n">
        <v>23.04</v>
      </c>
      <c r="F253" s="5" t="n"/>
      <c r="G253" s="5" t="n"/>
      <c r="H253" s="5" t="n"/>
      <c r="I253" s="5" t="n"/>
      <c r="J253" s="7">
        <f>IF(AND(N(F253)&gt;0,N(I253)&gt;0),I253-F253-IF(N(G253)&gt;0,0.5,0)-IF(N(H253)&gt;0,0.5,0),0)</f>
        <v/>
      </c>
      <c r="K253" s="5" t="n"/>
      <c r="L253" s="7">
        <f>MIN(J253,10.0)</f>
        <v/>
      </c>
      <c r="M253" s="7">
        <f>MAX(0,MIN(J253,12)-10.0)</f>
        <v/>
      </c>
      <c r="N253" s="7">
        <f>MAX(0,J253-12)</f>
        <v/>
      </c>
      <c r="O253" s="5" t="n"/>
      <c r="P253" s="6">
        <f>E253*(L253+M253*1.5+N253*2+O253*3+N(K253))</f>
        <v/>
      </c>
      <c r="Q253" s="6" t="n">
        <v>357.12</v>
      </c>
      <c r="R253" s="6">
        <f>Q253-P253</f>
        <v/>
      </c>
    </row>
    <row r="254">
      <c r="A254" s="5" t="inlineStr">
        <is>
          <t>3202</t>
        </is>
      </c>
      <c r="B254" s="5" t="inlineStr"/>
      <c r="C254" s="5" t="inlineStr">
        <is>
          <t>STUDIOBESTBOYELECTRIC</t>
        </is>
      </c>
      <c r="D254" s="5" t="inlineStr">
        <is>
          <t>Local728</t>
        </is>
      </c>
      <c r="E254" s="6" t="n">
        <v>43.05</v>
      </c>
      <c r="F254" s="5" t="n"/>
      <c r="G254" s="5" t="n"/>
      <c r="H254" s="5" t="n"/>
      <c r="I254" s="5" t="n"/>
      <c r="J254" s="7">
        <f>IF(AND(N(F254)&gt;0,N(I254)&gt;0),I254-F254-IF(N(G254)&gt;0,0.5,0)-IF(N(H254)&gt;0,0.5,0),0)</f>
        <v/>
      </c>
      <c r="K254" s="5" t="n"/>
      <c r="L254" s="7">
        <f>MIN(J254,10.0)</f>
        <v/>
      </c>
      <c r="M254" s="7">
        <f>MAX(0,MIN(J254,12)-10.0)</f>
        <v/>
      </c>
      <c r="N254" s="7">
        <f>MAX(0,J254-12)</f>
        <v/>
      </c>
      <c r="O254" s="5" t="n"/>
      <c r="P254" s="6">
        <f>E254*(L254+M254*1.5+N254*2+O254*3+N(K254))</f>
        <v/>
      </c>
      <c r="Q254" s="6" t="n">
        <v>667.27</v>
      </c>
      <c r="R254" s="6">
        <f>Q254-P254</f>
        <v/>
      </c>
    </row>
    <row r="255">
      <c r="P255" s="2" t="inlineStr">
        <is>
          <t>BESTBOYELECTRIC LABOR</t>
        </is>
      </c>
      <c r="R255" s="8">
        <f>SUM(R253:R254)</f>
        <v/>
      </c>
    </row>
    <row r="257">
      <c r="B257" s="2" t="inlineStr">
        <is>
          <t>ELECTRICIANS</t>
        </is>
      </c>
    </row>
    <row r="258">
      <c r="A258" s="5" t="inlineStr">
        <is>
          <t>3204</t>
        </is>
      </c>
      <c r="B258" s="5" t="inlineStr"/>
      <c r="C258" s="5" t="inlineStr">
        <is>
          <t>ELECTRICIAN#1</t>
        </is>
      </c>
      <c r="D258" s="5" t="inlineStr">
        <is>
          <t>Local728</t>
        </is>
      </c>
      <c r="E258" s="6" t="n">
        <v>20.57</v>
      </c>
      <c r="F258" s="5" t="n"/>
      <c r="G258" s="5" t="n"/>
      <c r="H258" s="5" t="n"/>
      <c r="I258" s="5" t="n"/>
      <c r="J258" s="7">
        <f>IF(AND(N(F258)&gt;0,N(I258)&gt;0),I258-F258-IF(N(G258)&gt;0,0.5,0)-IF(N(H258)&gt;0,0.5,0),0)</f>
        <v/>
      </c>
      <c r="K258" s="5" t="n"/>
      <c r="L258" s="7">
        <f>MIN(J258,10.0)</f>
        <v/>
      </c>
      <c r="M258" s="7">
        <f>MAX(0,MIN(J258,12)-10.0)</f>
        <v/>
      </c>
      <c r="N258" s="7">
        <f>MAX(0,J258-12)</f>
        <v/>
      </c>
      <c r="O258" s="5" t="n"/>
      <c r="P258" s="6">
        <f>E258*(L258+M258*1.5+N258*2+O258*3+N(K258))</f>
        <v/>
      </c>
      <c r="Q258" s="6" t="n">
        <v>318.83</v>
      </c>
      <c r="R258" s="6">
        <f>Q258-P258</f>
        <v/>
      </c>
    </row>
    <row r="259">
      <c r="A259" s="5" t="inlineStr">
        <is>
          <t>3204</t>
        </is>
      </c>
      <c r="B259" s="5" t="inlineStr"/>
      <c r="C259" s="5" t="inlineStr">
        <is>
          <t>ELECTRICIAN#2</t>
        </is>
      </c>
      <c r="D259" s="5" t="inlineStr">
        <is>
          <t>Local728</t>
        </is>
      </c>
      <c r="E259" s="6" t="n">
        <v>20.57</v>
      </c>
      <c r="F259" s="5" t="n"/>
      <c r="G259" s="5" t="n"/>
      <c r="H259" s="5" t="n"/>
      <c r="I259" s="5" t="n"/>
      <c r="J259" s="7">
        <f>IF(AND(N(F259)&gt;0,N(I259)&gt;0),I259-F259-IF(N(G259)&gt;0,0.5,0)-IF(N(H259)&gt;0,0.5,0),0)</f>
        <v/>
      </c>
      <c r="K259" s="5" t="n"/>
      <c r="L259" s="7">
        <f>MIN(J259,10.0)</f>
        <v/>
      </c>
      <c r="M259" s="7">
        <f>MAX(0,MIN(J259,12)-10.0)</f>
        <v/>
      </c>
      <c r="N259" s="7">
        <f>MAX(0,J259-12)</f>
        <v/>
      </c>
      <c r="O259" s="5" t="n"/>
      <c r="P259" s="6">
        <f>E259*(L259+M259*1.5+N259*2+O259*3+N(K259))</f>
        <v/>
      </c>
      <c r="Q259" s="6" t="n">
        <v>318.83</v>
      </c>
      <c r="R259" s="6">
        <f>Q259-P259</f>
        <v/>
      </c>
    </row>
    <row r="260">
      <c r="A260" s="5" t="inlineStr">
        <is>
          <t>3204</t>
        </is>
      </c>
      <c r="B260" s="5" t="inlineStr"/>
      <c r="C260" s="5" t="inlineStr">
        <is>
          <t>ELECTRICIAN#3</t>
        </is>
      </c>
      <c r="D260" s="5" t="inlineStr">
        <is>
          <t>Local728</t>
        </is>
      </c>
      <c r="E260" s="6" t="n">
        <v>20.57</v>
      </c>
      <c r="F260" s="5" t="n"/>
      <c r="G260" s="5" t="n"/>
      <c r="H260" s="5" t="n"/>
      <c r="I260" s="5" t="n"/>
      <c r="J260" s="7">
        <f>IF(AND(N(F260)&gt;0,N(I260)&gt;0),I260-F260-IF(N(G260)&gt;0,0.5,0)-IF(N(H260)&gt;0,0.5,0),0)</f>
        <v/>
      </c>
      <c r="K260" s="5" t="n"/>
      <c r="L260" s="7">
        <f>MIN(J260,10.0)</f>
        <v/>
      </c>
      <c r="M260" s="7">
        <f>MAX(0,MIN(J260,12)-10.0)</f>
        <v/>
      </c>
      <c r="N260" s="7">
        <f>MAX(0,J260-12)</f>
        <v/>
      </c>
      <c r="O260" s="5" t="n"/>
      <c r="P260" s="6">
        <f>E260*(L260+M260*1.5+N260*2+O260*3+N(K260))</f>
        <v/>
      </c>
      <c r="Q260" s="6" t="n">
        <v>318.83</v>
      </c>
      <c r="R260" s="6">
        <f>Q260-P260</f>
        <v/>
      </c>
    </row>
    <row r="261">
      <c r="P261" s="2" t="inlineStr">
        <is>
          <t>ELECTRICIANS LABOR</t>
        </is>
      </c>
      <c r="R261" s="8">
        <f>SUM(R258:R260)</f>
        <v/>
      </c>
    </row>
    <row r="263">
      <c r="B263" s="2" t="inlineStr">
        <is>
          <t>ADDITIONALELECTRICLABOR</t>
        </is>
      </c>
    </row>
    <row r="264">
      <c r="A264" s="5" t="inlineStr">
        <is>
          <t>3206</t>
        </is>
      </c>
      <c r="B264" s="5" t="inlineStr"/>
      <c r="C264" s="5" t="inlineStr">
        <is>
          <t>ELECTRICMANDAYS&amp;RIGGINGMANDAYS</t>
        </is>
      </c>
      <c r="D264" s="5" t="inlineStr">
        <is>
          <t>Local728</t>
        </is>
      </c>
      <c r="E264" s="6" t="n">
        <v>20.57</v>
      </c>
      <c r="F264" s="5" t="n"/>
      <c r="G264" s="5" t="n"/>
      <c r="H264" s="5" t="n"/>
      <c r="I264" s="5" t="n"/>
      <c r="J264" s="7">
        <f>IF(AND(N(F264)&gt;0,N(I264)&gt;0),I264-F264-IF(N(G264)&gt;0,0.5,0)-IF(N(H264)&gt;0,0.5,0),0)</f>
        <v/>
      </c>
      <c r="K264" s="5" t="n"/>
      <c r="L264" s="7">
        <f>MIN(J264,10.0)</f>
        <v/>
      </c>
      <c r="M264" s="7">
        <f>MAX(0,MIN(J264,12)-10.0)</f>
        <v/>
      </c>
      <c r="N264" s="7">
        <f>MAX(0,J264-12)</f>
        <v/>
      </c>
      <c r="O264" s="5" t="n"/>
      <c r="P264" s="6">
        <f>E264*(L264+M264*1.5+N264*2+O264*3+N(K264))</f>
        <v/>
      </c>
      <c r="Q264" s="6" t="n">
        <v>318.83</v>
      </c>
      <c r="R264" s="6">
        <f>Q264-P264</f>
        <v/>
      </c>
    </row>
    <row r="265">
      <c r="P265" s="2" t="inlineStr">
        <is>
          <t>ADDITIONALELECTRICLABOR LABOR</t>
        </is>
      </c>
      <c r="R265" s="8">
        <f>SUM(R264:R264)</f>
        <v/>
      </c>
    </row>
    <row r="267">
      <c r="B267" s="2" t="inlineStr">
        <is>
          <t>DIRECTOROFPHOTOGRAPHY</t>
        </is>
      </c>
    </row>
    <row r="268">
      <c r="A268" s="5" t="inlineStr">
        <is>
          <t>3301</t>
        </is>
      </c>
      <c r="B268" s="5" t="inlineStr">
        <is>
          <t>Michael Burgess</t>
        </is>
      </c>
      <c r="C268" s="5" t="inlineStr">
        <is>
          <t>DIRECTOROFPHOTOGRAPHY</t>
        </is>
      </c>
      <c r="D268" s="5" t="inlineStr">
        <is>
          <t>Local600</t>
        </is>
      </c>
      <c r="E268" s="6" t="n">
        <v>700</v>
      </c>
      <c r="F268" s="5" t="n"/>
      <c r="G268" s="5" t="n"/>
      <c r="H268" s="5" t="n"/>
      <c r="I268" s="5" t="n"/>
      <c r="J268" s="7">
        <f>IF(AND(N(F268)&gt;0,N(I268)&gt;0),I268-F268-IF(N(G268)&gt;0,0.5,0)-IF(N(H268)&gt;0,0.5,0),0)</f>
        <v/>
      </c>
      <c r="K268" s="5" t="n"/>
      <c r="L268" s="7">
        <f>MIN(J268,8.0)</f>
        <v/>
      </c>
      <c r="M268" s="7">
        <f>MAX(0,MIN(J268,12)-8.0)</f>
        <v/>
      </c>
      <c r="N268" s="7">
        <f>MAX(0,J268-12)</f>
        <v/>
      </c>
      <c r="O268" s="5" t="n"/>
      <c r="P268" s="6">
        <f>E268*(L268+M268*1.5+N268*2+O268*3+N(K268))</f>
        <v/>
      </c>
      <c r="Q268" s="6" t="n">
        <v>700</v>
      </c>
      <c r="R268" s="6">
        <f>Q268-P268</f>
        <v/>
      </c>
    </row>
    <row r="269">
      <c r="P269" s="2" t="inlineStr">
        <is>
          <t>DIRECTOROFPHOTOGRAPHY LABOR</t>
        </is>
      </c>
      <c r="R269" s="8">
        <f>SUM(R268:R268)</f>
        <v/>
      </c>
    </row>
    <row r="271">
      <c r="B271" s="2" t="inlineStr">
        <is>
          <t>CAMERAOPERATORS</t>
        </is>
      </c>
    </row>
    <row r="272">
      <c r="A272" s="5" t="inlineStr">
        <is>
          <t>3302</t>
        </is>
      </c>
      <c r="B272" s="5" t="inlineStr">
        <is>
          <t>Craig Bauer</t>
        </is>
      </c>
      <c r="C272" s="5" t="inlineStr">
        <is>
          <t>"B"CAMERAOP</t>
        </is>
      </c>
      <c r="D272" s="5" t="inlineStr">
        <is>
          <t>Local600</t>
        </is>
      </c>
      <c r="E272" s="6" t="n">
        <v>45</v>
      </c>
      <c r="F272" s="5" t="n"/>
      <c r="G272" s="5" t="n"/>
      <c r="H272" s="5" t="n"/>
      <c r="I272" s="5" t="n"/>
      <c r="J272" s="7">
        <f>IF(AND(N(F272)&gt;0,N(I272)&gt;0),I272-F272-IF(N(G272)&gt;0,0.5,0)-IF(N(H272)&gt;0,0.5,0),0)</f>
        <v/>
      </c>
      <c r="K272" s="5" t="n"/>
      <c r="L272" s="7">
        <f>MIN(J272,8.0)</f>
        <v/>
      </c>
      <c r="M272" s="7">
        <f>MAX(0,MIN(J272,12)-8.0)</f>
        <v/>
      </c>
      <c r="N272" s="7">
        <f>MAX(0,J272-12)</f>
        <v/>
      </c>
      <c r="O272" s="5" t="n"/>
      <c r="P272" s="6">
        <f>E272*(L272+M272*1.5+N272*2+O272*3+N(K272))</f>
        <v/>
      </c>
      <c r="Q272" s="6" t="n">
        <v>630</v>
      </c>
      <c r="R272" s="6">
        <f>Q272-P272</f>
        <v/>
      </c>
    </row>
    <row r="273">
      <c r="P273" s="2" t="inlineStr">
        <is>
          <t>CAMERAOPERATORS LABOR</t>
        </is>
      </c>
      <c r="R273" s="8">
        <f>SUM(R272:R272)</f>
        <v/>
      </c>
    </row>
    <row r="275">
      <c r="B275" s="2" t="inlineStr">
        <is>
          <t>DIGITALIMAGINGTECHS</t>
        </is>
      </c>
    </row>
    <row r="276">
      <c r="A276" s="5" t="inlineStr">
        <is>
          <t>3304</t>
        </is>
      </c>
      <c r="B276" s="5" t="inlineStr">
        <is>
          <t>Oliver Mancebo</t>
        </is>
      </c>
      <c r="C276" s="5" t="inlineStr">
        <is>
          <t>DIT</t>
        </is>
      </c>
      <c r="D276" s="5" t="inlineStr">
        <is>
          <t>Local600</t>
        </is>
      </c>
      <c r="E276" s="6" t="n">
        <v>35</v>
      </c>
      <c r="F276" s="5" t="n"/>
      <c r="G276" s="5" t="n"/>
      <c r="H276" s="5" t="n"/>
      <c r="I276" s="5" t="n"/>
      <c r="J276" s="7">
        <f>IF(AND(N(F276)&gt;0,N(I276)&gt;0),I276-F276-IF(N(G276)&gt;0,0.5,0)-IF(N(H276)&gt;0,0.5,0),0)</f>
        <v/>
      </c>
      <c r="K276" s="5" t="n"/>
      <c r="L276" s="7">
        <f>MIN(J276,8.0)</f>
        <v/>
      </c>
      <c r="M276" s="7">
        <f>MAX(0,MIN(J276,12)-8.0)</f>
        <v/>
      </c>
      <c r="N276" s="7">
        <f>MAX(0,J276-12)</f>
        <v/>
      </c>
      <c r="O276" s="5" t="n"/>
      <c r="P276" s="6">
        <f>E276*(L276+M276*1.5+N276*2+O276*3+N(K276))</f>
        <v/>
      </c>
      <c r="Q276" s="6" t="n">
        <v>542.5</v>
      </c>
      <c r="R276" s="6">
        <f>Q276-P276</f>
        <v/>
      </c>
    </row>
    <row r="277">
      <c r="P277" s="2" t="inlineStr">
        <is>
          <t>DIGITALIMAGINGTECHS LABOR</t>
        </is>
      </c>
      <c r="R277" s="8">
        <f>SUM(R276:R276)</f>
        <v/>
      </c>
    </row>
    <row r="279">
      <c r="B279" s="2" t="inlineStr">
        <is>
          <t>1STASSTCAMERA</t>
        </is>
      </c>
    </row>
    <row r="280">
      <c r="A280" s="5" t="inlineStr">
        <is>
          <t>3305</t>
        </is>
      </c>
      <c r="B280" s="5" t="inlineStr">
        <is>
          <t>Steve Cueva</t>
        </is>
      </c>
      <c r="C280" s="5" t="inlineStr">
        <is>
          <t>"A"CAMERA 1STAC</t>
        </is>
      </c>
      <c r="D280" s="5" t="inlineStr">
        <is>
          <t>Local600</t>
        </is>
      </c>
      <c r="E280" s="6" t="n">
        <v>25.5</v>
      </c>
      <c r="F280" s="5" t="n"/>
      <c r="G280" s="5" t="n"/>
      <c r="H280" s="5" t="n"/>
      <c r="I280" s="5" t="n"/>
      <c r="J280" s="7">
        <f>IF(AND(N(F280)&gt;0,N(I280)&gt;0),I280-F280-IF(N(G280)&gt;0,0.5,0)-IF(N(H280)&gt;0,0.5,0),0)</f>
        <v/>
      </c>
      <c r="K280" s="5" t="n"/>
      <c r="L280" s="7">
        <f>MIN(J280,8.0)</f>
        <v/>
      </c>
      <c r="M280" s="7">
        <f>MAX(0,MIN(J280,12)-8.0)</f>
        <v/>
      </c>
      <c r="N280" s="7">
        <f>MAX(0,J280-12)</f>
        <v/>
      </c>
      <c r="O280" s="5" t="n"/>
      <c r="P280" s="6">
        <f>E280*(L280+M280*1.5+N280*2+O280*3+N(K280))</f>
        <v/>
      </c>
      <c r="Q280" s="6" t="n">
        <v>395.25</v>
      </c>
      <c r="R280" s="6">
        <f>Q280-P280</f>
        <v/>
      </c>
    </row>
    <row r="281">
      <c r="A281" s="5" t="inlineStr">
        <is>
          <t>3305</t>
        </is>
      </c>
      <c r="B281" s="5" t="inlineStr">
        <is>
          <t>Chris Garcia</t>
        </is>
      </c>
      <c r="C281" s="5" t="inlineStr">
        <is>
          <t>"B"CAMERA 1STAC</t>
        </is>
      </c>
      <c r="D281" s="5" t="inlineStr">
        <is>
          <t>Local600</t>
        </is>
      </c>
      <c r="E281" s="6" t="n">
        <v>25.5</v>
      </c>
      <c r="F281" s="5" t="n"/>
      <c r="G281" s="5" t="n"/>
      <c r="H281" s="5" t="n"/>
      <c r="I281" s="5" t="n"/>
      <c r="J281" s="7">
        <f>IF(AND(N(F281)&gt;0,N(I281)&gt;0),I281-F281-IF(N(G281)&gt;0,0.5,0)-IF(N(H281)&gt;0,0.5,0),0)</f>
        <v/>
      </c>
      <c r="K281" s="5" t="n"/>
      <c r="L281" s="7">
        <f>MIN(J281,8.0)</f>
        <v/>
      </c>
      <c r="M281" s="7">
        <f>MAX(0,MIN(J281,12)-8.0)</f>
        <v/>
      </c>
      <c r="N281" s="7">
        <f>MAX(0,J281-12)</f>
        <v/>
      </c>
      <c r="O281" s="5" t="n"/>
      <c r="P281" s="6">
        <f>E281*(L281+M281*1.5+N281*2+O281*3+N(K281))</f>
        <v/>
      </c>
      <c r="Q281" s="6" t="n">
        <v>395.25</v>
      </c>
      <c r="R281" s="6">
        <f>Q281-P281</f>
        <v/>
      </c>
    </row>
    <row r="282">
      <c r="P282" s="2" t="inlineStr">
        <is>
          <t>1STASSTCAMERA LABOR</t>
        </is>
      </c>
      <c r="R282" s="8">
        <f>SUM(R280:R281)</f>
        <v/>
      </c>
    </row>
    <row r="284">
      <c r="B284" s="2" t="inlineStr">
        <is>
          <t>2NDASSTCAMERA</t>
        </is>
      </c>
    </row>
    <row r="285">
      <c r="A285" s="5" t="inlineStr">
        <is>
          <t>3306</t>
        </is>
      </c>
      <c r="B285" s="5" t="inlineStr">
        <is>
          <t>Manny Serrano</t>
        </is>
      </c>
      <c r="C285" s="5" t="inlineStr">
        <is>
          <t>"A"CAMERA 2NDAC</t>
        </is>
      </c>
      <c r="D285" s="5" t="inlineStr">
        <is>
          <t>Local600</t>
        </is>
      </c>
      <c r="E285" s="6" t="n">
        <v>23.04</v>
      </c>
      <c r="F285" s="5" t="n"/>
      <c r="G285" s="5" t="n"/>
      <c r="H285" s="5" t="n"/>
      <c r="I285" s="5" t="n"/>
      <c r="J285" s="7">
        <f>IF(AND(N(F285)&gt;0,N(I285)&gt;0),I285-F285-IF(N(G285)&gt;0,0.5,0)-IF(N(H285)&gt;0,0.5,0),0)</f>
        <v/>
      </c>
      <c r="K285" s="5" t="n"/>
      <c r="L285" s="7">
        <f>MIN(J285,8.0)</f>
        <v/>
      </c>
      <c r="M285" s="7">
        <f>MAX(0,MIN(J285,12)-8.0)</f>
        <v/>
      </c>
      <c r="N285" s="7">
        <f>MAX(0,J285-12)</f>
        <v/>
      </c>
      <c r="O285" s="5" t="n"/>
      <c r="P285" s="6">
        <f>E285*(L285+M285*1.5+N285*2+O285*3+N(K285))</f>
        <v/>
      </c>
      <c r="Q285" s="6" t="n">
        <v>357.12</v>
      </c>
      <c r="R285" s="6">
        <f>Q285-P285</f>
        <v/>
      </c>
    </row>
    <row r="286">
      <c r="A286" s="5" t="inlineStr">
        <is>
          <t>3306</t>
        </is>
      </c>
      <c r="B286" s="5" t="inlineStr"/>
      <c r="C286" s="5" t="inlineStr">
        <is>
          <t>"B"CAMERA 2NDAC</t>
        </is>
      </c>
      <c r="D286" s="5" t="inlineStr">
        <is>
          <t>Local600</t>
        </is>
      </c>
      <c r="E286" s="6" t="n">
        <v>23.04</v>
      </c>
      <c r="F286" s="5" t="n"/>
      <c r="G286" s="5" t="n"/>
      <c r="H286" s="5" t="n"/>
      <c r="I286" s="5" t="n"/>
      <c r="J286" s="7">
        <f>IF(AND(N(F286)&gt;0,N(I286)&gt;0),I286-F286-IF(N(G286)&gt;0,0.5,0)-IF(N(H286)&gt;0,0.5,0),0)</f>
        <v/>
      </c>
      <c r="K286" s="5" t="n"/>
      <c r="L286" s="7">
        <f>MIN(J286,8.0)</f>
        <v/>
      </c>
      <c r="M286" s="7">
        <f>MAX(0,MIN(J286,12)-8.0)</f>
        <v/>
      </c>
      <c r="N286" s="7">
        <f>MAX(0,J286-12)</f>
        <v/>
      </c>
      <c r="O286" s="5" t="n"/>
      <c r="P286" s="6">
        <f>E286*(L286+M286*1.5+N286*2+O286*3+N(K286))</f>
        <v/>
      </c>
      <c r="Q286" s="6" t="n">
        <v>357.12</v>
      </c>
      <c r="R286" s="6">
        <f>Q286-P286</f>
        <v/>
      </c>
    </row>
    <row r="287">
      <c r="P287" s="2" t="inlineStr">
        <is>
          <t>2NDASSTCAMERA LABOR</t>
        </is>
      </c>
      <c r="R287" s="8">
        <f>SUM(R285:R286)</f>
        <v/>
      </c>
    </row>
    <row r="289">
      <c r="B289" s="2" t="inlineStr">
        <is>
          <t>STILLPHOTOGRAPHER</t>
        </is>
      </c>
    </row>
    <row r="290">
      <c r="A290" s="5" t="inlineStr">
        <is>
          <t>3308</t>
        </is>
      </c>
      <c r="B290" s="5" t="inlineStr">
        <is>
          <t>Scott Patrick Green</t>
        </is>
      </c>
      <c r="C290" s="5" t="inlineStr">
        <is>
          <t>STILLPHOTOGRAPHER</t>
        </is>
      </c>
      <c r="D290" s="5" t="inlineStr">
        <is>
          <t>Local600</t>
        </is>
      </c>
      <c r="E290" s="6" t="n">
        <v>26.5</v>
      </c>
      <c r="F290" s="5" t="n"/>
      <c r="G290" s="5" t="n"/>
      <c r="H290" s="5" t="n"/>
      <c r="I290" s="5" t="n"/>
      <c r="J290" s="7">
        <f>IF(AND(N(F290)&gt;0,N(I290)&gt;0),I290-F290-IF(N(G290)&gt;0,0.5,0)-IF(N(H290)&gt;0,0.5,0),0)</f>
        <v/>
      </c>
      <c r="K290" s="5" t="n"/>
      <c r="L290" s="7">
        <f>MIN(J290,8.0)</f>
        <v/>
      </c>
      <c r="M290" s="7">
        <f>MAX(0,MIN(J290,12)-8.0)</f>
        <v/>
      </c>
      <c r="N290" s="7">
        <f>MAX(0,J290-12)</f>
        <v/>
      </c>
      <c r="O290" s="5" t="n"/>
      <c r="P290" s="6">
        <f>E290*(L290+M290*1.5+N290*2+O290*3+N(K290))</f>
        <v/>
      </c>
      <c r="Q290" s="6" t="n">
        <v>291.5</v>
      </c>
      <c r="R290" s="6">
        <f>Q290-P290</f>
        <v/>
      </c>
    </row>
    <row r="291">
      <c r="P291" s="2" t="inlineStr">
        <is>
          <t>STILLPHOTOGRAPHER LABOR</t>
        </is>
      </c>
      <c r="R291" s="8">
        <f>SUM(R290:R290)</f>
        <v/>
      </c>
    </row>
    <row r="293">
      <c r="B293" s="2" t="inlineStr">
        <is>
          <t>AERIAL/UNDERWATERPHOTOGRAPHY</t>
        </is>
      </c>
    </row>
    <row r="294">
      <c r="A294" s="5" t="inlineStr">
        <is>
          <t>3385</t>
        </is>
      </c>
      <c r="B294" s="5" t="inlineStr"/>
      <c r="C294" s="5" t="inlineStr">
        <is>
          <t>UNDERWATEROPERATOR</t>
        </is>
      </c>
      <c r="D294" s="5" t="inlineStr">
        <is>
          <t>Local600</t>
        </is>
      </c>
      <c r="E294" s="6" t="n">
        <v>65</v>
      </c>
      <c r="F294" s="5" t="n"/>
      <c r="G294" s="5" t="n"/>
      <c r="H294" s="5" t="n"/>
      <c r="I294" s="5" t="n"/>
      <c r="J294" s="7">
        <f>IF(AND(N(F294)&gt;0,N(I294)&gt;0),I294-F294-IF(N(G294)&gt;0,0.5,0)-IF(N(H294)&gt;0,0.5,0),0)</f>
        <v/>
      </c>
      <c r="K294" s="5" t="n"/>
      <c r="L294" s="7">
        <f>MIN(J294,8.0)</f>
        <v/>
      </c>
      <c r="M294" s="7">
        <f>MAX(0,MIN(J294,12)-8.0)</f>
        <v/>
      </c>
      <c r="N294" s="7">
        <f>MAX(0,J294-12)</f>
        <v/>
      </c>
      <c r="O294" s="5" t="n"/>
      <c r="P294" s="6">
        <f>E294*(L294+M294*1.5+N294*2+O294*3+N(K294))</f>
        <v/>
      </c>
      <c r="Q294" s="6" t="n">
        <v>910</v>
      </c>
      <c r="R294" s="6">
        <f>Q294-P294</f>
        <v/>
      </c>
    </row>
    <row r="295">
      <c r="P295" s="2" t="inlineStr">
        <is>
          <t>AERIAL/UNDERWATERPHOTOGRAPHY LABOR</t>
        </is>
      </c>
      <c r="R295" s="8">
        <f>SUM(R294:R294)</f>
        <v/>
      </c>
    </row>
    <row r="297">
      <c r="B297" s="2" t="inlineStr">
        <is>
          <t>SOUNDMIXER</t>
        </is>
      </c>
    </row>
    <row r="298">
      <c r="A298" s="5" t="inlineStr">
        <is>
          <t>3401</t>
        </is>
      </c>
      <c r="B298" s="5" t="inlineStr">
        <is>
          <t>Julian Howarth</t>
        </is>
      </c>
      <c r="C298" s="5" t="inlineStr">
        <is>
          <t>SOUNDMIXER</t>
        </is>
      </c>
      <c r="D298" s="5" t="inlineStr">
        <is>
          <t>Local695</t>
        </is>
      </c>
      <c r="E298" s="6" t="n">
        <v>26.5</v>
      </c>
      <c r="F298" s="5" t="n"/>
      <c r="G298" s="5" t="n"/>
      <c r="H298" s="5" t="n"/>
      <c r="I298" s="5" t="n"/>
      <c r="J298" s="7">
        <f>IF(AND(N(F298)&gt;0,N(I298)&gt;0),I298-F298-IF(N(G298)&gt;0,0.5,0)-IF(N(H298)&gt;0,0.5,0),0)</f>
        <v/>
      </c>
      <c r="K298" s="5" t="n"/>
      <c r="L298" s="7">
        <f>MIN(J298,10.0)</f>
        <v/>
      </c>
      <c r="M298" s="7">
        <f>MAX(0,MIN(J298,12)-10.0)</f>
        <v/>
      </c>
      <c r="N298" s="7">
        <f>MAX(0,J298-12)</f>
        <v/>
      </c>
      <c r="O298" s="5" t="n"/>
      <c r="P298" s="6">
        <f>E298*(L298+M298*1.5+N298*2+O298*3+N(K298))</f>
        <v/>
      </c>
      <c r="Q298" s="6" t="n">
        <v>410.75</v>
      </c>
      <c r="R298" s="6">
        <f>Q298-P298</f>
        <v/>
      </c>
    </row>
    <row r="299">
      <c r="P299" s="2" t="inlineStr">
        <is>
          <t>SOUNDMIXER LABOR</t>
        </is>
      </c>
      <c r="R299" s="8">
        <f>SUM(R298:R298)</f>
        <v/>
      </c>
    </row>
    <row r="301">
      <c r="B301" s="2" t="inlineStr">
        <is>
          <t>BOOMOPERATOR</t>
        </is>
      </c>
    </row>
    <row r="302">
      <c r="A302" s="5" t="inlineStr">
        <is>
          <t>3402</t>
        </is>
      </c>
      <c r="B302" s="5" t="inlineStr">
        <is>
          <t>Tim Song Jones</t>
        </is>
      </c>
      <c r="C302" s="5" t="inlineStr">
        <is>
          <t>BOOMOPERATOR</t>
        </is>
      </c>
      <c r="D302" s="5" t="inlineStr">
        <is>
          <t>Local695</t>
        </is>
      </c>
      <c r="E302" s="6" t="n">
        <v>23.04</v>
      </c>
      <c r="F302" s="5" t="n"/>
      <c r="G302" s="5" t="n"/>
      <c r="H302" s="5" t="n"/>
      <c r="I302" s="5" t="n"/>
      <c r="J302" s="7">
        <f>IF(AND(N(F302)&gt;0,N(I302)&gt;0),I302-F302-IF(N(G302)&gt;0,0.5,0)-IF(N(H302)&gt;0,0.5,0),0)</f>
        <v/>
      </c>
      <c r="K302" s="5" t="n"/>
      <c r="L302" s="7">
        <f>MIN(J302,10.0)</f>
        <v/>
      </c>
      <c r="M302" s="7">
        <f>MAX(0,MIN(J302,12)-10.0)</f>
        <v/>
      </c>
      <c r="N302" s="7">
        <f>MAX(0,J302-12)</f>
        <v/>
      </c>
      <c r="O302" s="5" t="n"/>
      <c r="P302" s="6">
        <f>E302*(L302+M302*1.5+N302*2+O302*3+N(K302))</f>
        <v/>
      </c>
      <c r="Q302" s="6" t="n">
        <v>357.12</v>
      </c>
      <c r="R302" s="6">
        <f>Q302-P302</f>
        <v/>
      </c>
    </row>
    <row r="303">
      <c r="P303" s="2" t="inlineStr">
        <is>
          <t>BOOMOPERATOR LABOR</t>
        </is>
      </c>
      <c r="R303" s="8">
        <f>SUM(R302:R302)</f>
        <v/>
      </c>
    </row>
    <row r="305">
      <c r="B305" s="2" t="inlineStr">
        <is>
          <t>CABLEPERSON</t>
        </is>
      </c>
    </row>
    <row r="306">
      <c r="A306" s="5" t="inlineStr">
        <is>
          <t>3403</t>
        </is>
      </c>
      <c r="B306" s="5" t="inlineStr"/>
      <c r="C306" s="5" t="inlineStr">
        <is>
          <t>UTILITYSOUND</t>
        </is>
      </c>
      <c r="D306" s="5" t="inlineStr">
        <is>
          <t>Local695</t>
        </is>
      </c>
      <c r="E306" s="6" t="n">
        <v>20.57</v>
      </c>
      <c r="F306" s="5" t="n"/>
      <c r="G306" s="5" t="n"/>
      <c r="H306" s="5" t="n"/>
      <c r="I306" s="5" t="n"/>
      <c r="J306" s="7">
        <f>IF(AND(N(F306)&gt;0,N(I306)&gt;0),I306-F306-IF(N(G306)&gt;0,0.5,0)-IF(N(H306)&gt;0,0.5,0),0)</f>
        <v/>
      </c>
      <c r="K306" s="5" t="n"/>
      <c r="L306" s="7">
        <f>MIN(J306,10.0)</f>
        <v/>
      </c>
      <c r="M306" s="7">
        <f>MAX(0,MIN(J306,12)-10.0)</f>
        <v/>
      </c>
      <c r="N306" s="7">
        <f>MAX(0,J306-12)</f>
        <v/>
      </c>
      <c r="O306" s="5" t="n"/>
      <c r="P306" s="6">
        <f>E306*(L306+M306*1.5+N306*2+O306*3+N(K306))</f>
        <v/>
      </c>
      <c r="Q306" s="6" t="n">
        <v>318.83</v>
      </c>
      <c r="R306" s="6">
        <f>Q306-P306</f>
        <v/>
      </c>
    </row>
    <row r="307">
      <c r="P307" s="2" t="inlineStr">
        <is>
          <t>CABLEPERSON LABOR</t>
        </is>
      </c>
      <c r="R307" s="8">
        <f>SUM(R306:R306)</f>
        <v/>
      </c>
    </row>
    <row r="309">
      <c r="B309" s="2" t="inlineStr">
        <is>
          <t>VIDEOASSIST</t>
        </is>
      </c>
    </row>
    <row r="310">
      <c r="A310" s="5" t="inlineStr">
        <is>
          <t>3404</t>
        </is>
      </c>
      <c r="B310" s="5" t="inlineStr">
        <is>
          <t>Jeff Snyder</t>
        </is>
      </c>
      <c r="C310" s="5" t="inlineStr">
        <is>
          <t>VIDEOASSISTOPERATOR</t>
        </is>
      </c>
      <c r="D310" s="5" t="inlineStr">
        <is>
          <t>Local695</t>
        </is>
      </c>
      <c r="E310" s="6" t="n">
        <v>23.04</v>
      </c>
      <c r="F310" s="5" t="n"/>
      <c r="G310" s="5" t="n"/>
      <c r="H310" s="5" t="n"/>
      <c r="I310" s="5" t="n"/>
      <c r="J310" s="7">
        <f>IF(AND(N(F310)&gt;0,N(I310)&gt;0),I310-F310-IF(N(G310)&gt;0,0.5,0)-IF(N(H310)&gt;0,0.5,0),0)</f>
        <v/>
      </c>
      <c r="K310" s="5" t="n"/>
      <c r="L310" s="7">
        <f>MIN(J310,10.0)</f>
        <v/>
      </c>
      <c r="M310" s="7">
        <f>MAX(0,MIN(J310,12)-10.0)</f>
        <v/>
      </c>
      <c r="N310" s="7">
        <f>MAX(0,J310-12)</f>
        <v/>
      </c>
      <c r="O310" s="5" t="n"/>
      <c r="P310" s="6">
        <f>E310*(L310+M310*1.5+N310*2+O310*3+N(K310))</f>
        <v/>
      </c>
      <c r="Q310" s="6" t="n">
        <v>357.12</v>
      </c>
      <c r="R310" s="6">
        <f>Q310-P310</f>
        <v/>
      </c>
    </row>
    <row r="311">
      <c r="P311" s="2" t="inlineStr">
        <is>
          <t>VIDEOASSIST LABOR</t>
        </is>
      </c>
      <c r="R311" s="8">
        <f>SUM(R310:R310)</f>
        <v/>
      </c>
    </row>
    <row r="313">
      <c r="B313" s="2" t="inlineStr">
        <is>
          <t>CAPTAIN</t>
        </is>
      </c>
    </row>
    <row r="314">
      <c r="A314" s="5" t="inlineStr">
        <is>
          <t>3502</t>
        </is>
      </c>
      <c r="B314" s="5" t="inlineStr">
        <is>
          <t>Kevin Caira</t>
        </is>
      </c>
      <c r="C314" s="5" t="inlineStr">
        <is>
          <t>TRANSPOCAPTAIN(LA)</t>
        </is>
      </c>
      <c r="D314" s="5" t="inlineStr">
        <is>
          <t>Local399</t>
        </is>
      </c>
      <c r="E314" s="6" t="n">
        <v>37.21</v>
      </c>
      <c r="F314" s="5" t="n"/>
      <c r="G314" s="5" t="n"/>
      <c r="H314" s="5" t="n"/>
      <c r="I314" s="5" t="n"/>
      <c r="J314" s="7">
        <f>IF(AND(N(F314)&gt;0,N(I314)&gt;0),I314-F314-IF(N(G314)&gt;0,0.5,0)-IF(N(H314)&gt;0,0.5,0),0)</f>
        <v/>
      </c>
      <c r="K314" s="5" t="n"/>
      <c r="L314" s="7">
        <f>MIN(J314,8.0)</f>
        <v/>
      </c>
      <c r="M314" s="7">
        <f>MAX(0,MIN(J314,12)-8.0)</f>
        <v/>
      </c>
      <c r="N314" s="7">
        <f>MAX(0,J314-12)</f>
        <v/>
      </c>
      <c r="O314" s="5" t="n"/>
      <c r="P314" s="6">
        <f>E314*(L314+M314*1.5+N314*2+O314*3+N(K314))</f>
        <v/>
      </c>
      <c r="Q314" s="6" t="n">
        <v>651.17</v>
      </c>
      <c r="R314" s="6">
        <f>Q314-P314</f>
        <v/>
      </c>
    </row>
    <row r="315">
      <c r="A315" s="5" t="inlineStr">
        <is>
          <t>3502</t>
        </is>
      </c>
      <c r="B315" s="5" t="inlineStr">
        <is>
          <t>Tina Peterson</t>
        </is>
      </c>
      <c r="C315" s="5" t="inlineStr">
        <is>
          <t>CO-CAPTAIN</t>
        </is>
      </c>
      <c r="D315" s="5" t="inlineStr">
        <is>
          <t>Local399</t>
        </is>
      </c>
      <c r="E315" s="6" t="n">
        <v>37.21</v>
      </c>
      <c r="F315" s="5" t="n"/>
      <c r="G315" s="5" t="n"/>
      <c r="H315" s="5" t="n"/>
      <c r="I315" s="5" t="n"/>
      <c r="J315" s="7">
        <f>IF(AND(N(F315)&gt;0,N(I315)&gt;0),I315-F315-IF(N(G315)&gt;0,0.5,0)-IF(N(H315)&gt;0,0.5,0),0)</f>
        <v/>
      </c>
      <c r="K315" s="5" t="n"/>
      <c r="L315" s="7">
        <f>MIN(J315,8.0)</f>
        <v/>
      </c>
      <c r="M315" s="7">
        <f>MAX(0,MIN(J315,12)-8.0)</f>
        <v/>
      </c>
      <c r="N315" s="7">
        <f>MAX(0,J315-12)</f>
        <v/>
      </c>
      <c r="O315" s="5" t="n"/>
      <c r="P315" s="6">
        <f>E315*(L315+M315*1.5+N315*2+O315*3+N(K315))</f>
        <v/>
      </c>
      <c r="Q315" s="6" t="n">
        <v>576.75</v>
      </c>
      <c r="R315" s="6">
        <f>Q315-P315</f>
        <v/>
      </c>
    </row>
    <row r="316">
      <c r="P316" s="2" t="inlineStr">
        <is>
          <t>CAPTAIN LABOR</t>
        </is>
      </c>
      <c r="R316" s="8">
        <f>SUM(R314:R315)</f>
        <v/>
      </c>
    </row>
    <row r="318">
      <c r="B318" s="2" t="inlineStr">
        <is>
          <t>DRIVERS</t>
        </is>
      </c>
    </row>
    <row r="319">
      <c r="A319" s="5" t="inlineStr">
        <is>
          <t>3503</t>
        </is>
      </c>
      <c r="B319" s="5" t="inlineStr"/>
      <c r="C319" s="5" t="inlineStr">
        <is>
          <t>GRIPTRUCK 48'TRACTORTRAILERDRIVER</t>
        </is>
      </c>
      <c r="D319" s="5" t="inlineStr"/>
      <c r="E319" s="6" t="n">
        <v>32.36</v>
      </c>
      <c r="F319" s="5" t="n"/>
      <c r="G319" s="5" t="n"/>
      <c r="H319" s="5" t="n"/>
      <c r="I319" s="5" t="n"/>
      <c r="J319" s="7">
        <f>IF(AND(N(F319)&gt;0,N(I319)&gt;0),I319-F319-IF(N(G319)&gt;0,0.5,0)-IF(N(H319)&gt;0,0.5,0),0)</f>
        <v/>
      </c>
      <c r="K319" s="5" t="n"/>
      <c r="L319" s="7">
        <f>MIN(J319,8.0)</f>
        <v/>
      </c>
      <c r="M319" s="7">
        <f>MAX(0,MIN(J319,12)-8.0)</f>
        <v/>
      </c>
      <c r="N319" s="7">
        <f>MAX(0,J319-12)</f>
        <v/>
      </c>
      <c r="O319" s="5" t="n"/>
      <c r="P319" s="6">
        <f>E319*(L319+M319*1.5+N319*2+O319*3+N(K319))</f>
        <v/>
      </c>
      <c r="Q319" s="6" t="n">
        <v>501.58</v>
      </c>
      <c r="R319" s="6">
        <f>Q319-P319</f>
        <v/>
      </c>
    </row>
    <row r="320">
      <c r="A320" s="5" t="inlineStr">
        <is>
          <t>3503</t>
        </is>
      </c>
      <c r="B320" s="5" t="inlineStr">
        <is>
          <t>Donald Wilson</t>
        </is>
      </c>
      <c r="C320" s="5" t="inlineStr">
        <is>
          <t>PROP 5-TON(ENCLOSED)</t>
        </is>
      </c>
      <c r="D320" s="5" t="inlineStr"/>
      <c r="E320" s="6" t="n">
        <v>32.36</v>
      </c>
      <c r="F320" s="5" t="n"/>
      <c r="G320" s="5" t="n"/>
      <c r="H320" s="5" t="n"/>
      <c r="I320" s="5" t="n"/>
      <c r="J320" s="7">
        <f>IF(AND(N(F320)&gt;0,N(I320)&gt;0),I320-F320-IF(N(G320)&gt;0,0.5,0)-IF(N(H320)&gt;0,0.5,0),0)</f>
        <v/>
      </c>
      <c r="K320" s="5" t="n"/>
      <c r="L320" s="7">
        <f>MIN(J320,8.0)</f>
        <v/>
      </c>
      <c r="M320" s="7">
        <f>MAX(0,MIN(J320,12)-8.0)</f>
        <v/>
      </c>
      <c r="N320" s="7">
        <f>MAX(0,J320-12)</f>
        <v/>
      </c>
      <c r="O320" s="5" t="n"/>
      <c r="P320" s="6">
        <f>E320*(L320+M320*1.5+N320*2+O320*3+N(K320))</f>
        <v/>
      </c>
      <c r="Q320" s="6" t="n">
        <v>501.58</v>
      </c>
      <c r="R320" s="6">
        <f>Q320-P320</f>
        <v/>
      </c>
    </row>
    <row r="321">
      <c r="A321" s="5" t="inlineStr">
        <is>
          <t>3503</t>
        </is>
      </c>
      <c r="B321" s="5" t="inlineStr"/>
      <c r="C321" s="5" t="inlineStr">
        <is>
          <t>WARDROBESTAKEBEDDRIVER#1</t>
        </is>
      </c>
      <c r="D321" s="5" t="inlineStr"/>
      <c r="E321" s="6" t="n">
        <v>37.99</v>
      </c>
      <c r="F321" s="5" t="n"/>
      <c r="G321" s="5" t="n"/>
      <c r="H321" s="5" t="n"/>
      <c r="I321" s="5" t="n"/>
      <c r="J321" s="7">
        <f>IF(AND(N(F321)&gt;0,N(I321)&gt;0),I321-F321-IF(N(G321)&gt;0,0.5,0)-IF(N(H321)&gt;0,0.5,0),0)</f>
        <v/>
      </c>
      <c r="K321" s="5" t="n"/>
      <c r="L321" s="7">
        <f>MIN(J321,8.0)</f>
        <v/>
      </c>
      <c r="M321" s="7">
        <f>MAX(0,MIN(J321,12)-8.0)</f>
        <v/>
      </c>
      <c r="N321" s="7">
        <f>MAX(0,J321-12)</f>
        <v/>
      </c>
      <c r="O321" s="5" t="n"/>
      <c r="P321" s="6">
        <f>E321*(L321+M321*1.5+N321*2+O321*3+N(K321))</f>
        <v/>
      </c>
      <c r="Q321" s="6" t="n">
        <v>588.85</v>
      </c>
      <c r="R321" s="6">
        <f>Q321-P321</f>
        <v/>
      </c>
    </row>
    <row r="322">
      <c r="A322" s="5" t="inlineStr">
        <is>
          <t>3503</t>
        </is>
      </c>
      <c r="B322" s="5" t="inlineStr"/>
      <c r="C322" s="5" t="inlineStr">
        <is>
          <t>MAKEUPHAIRTRAILERDRIVER</t>
        </is>
      </c>
      <c r="D322" s="5" t="inlineStr"/>
      <c r="E322" s="6" t="n">
        <v>32.36</v>
      </c>
      <c r="F322" s="5" t="n"/>
      <c r="G322" s="5" t="n"/>
      <c r="H322" s="5" t="n"/>
      <c r="I322" s="5" t="n"/>
      <c r="J322" s="7">
        <f>IF(AND(N(F322)&gt;0,N(I322)&gt;0),I322-F322-IF(N(G322)&gt;0,0.5,0)-IF(N(H322)&gt;0,0.5,0),0)</f>
        <v/>
      </c>
      <c r="K322" s="5" t="n"/>
      <c r="L322" s="7">
        <f>MIN(J322,8.0)</f>
        <v/>
      </c>
      <c r="M322" s="7">
        <f>MAX(0,MIN(J322,12)-8.0)</f>
        <v/>
      </c>
      <c r="N322" s="7">
        <f>MAX(0,J322-12)</f>
        <v/>
      </c>
      <c r="O322" s="5" t="n"/>
      <c r="P322" s="6">
        <f>E322*(L322+M322*1.5+N322*2+O322*3+N(K322))</f>
        <v/>
      </c>
      <c r="Q322" s="6" t="n">
        <v>501.58</v>
      </c>
      <c r="R322" s="6">
        <f>Q322-P322</f>
        <v/>
      </c>
    </row>
    <row r="323">
      <c r="A323" s="5" t="inlineStr">
        <is>
          <t>3503</t>
        </is>
      </c>
      <c r="B323" s="5" t="inlineStr"/>
      <c r="C323" s="5" t="inlineStr">
        <is>
          <t>ELECTRIC 10TONDRIVER(GENIEOPERATOR)</t>
        </is>
      </c>
      <c r="D323" s="5" t="inlineStr"/>
      <c r="E323" s="6" t="n">
        <v>37.99</v>
      </c>
      <c r="F323" s="5" t="n"/>
      <c r="G323" s="5" t="n"/>
      <c r="H323" s="5" t="n"/>
      <c r="I323" s="5" t="n"/>
      <c r="J323" s="7">
        <f>IF(AND(N(F323)&gt;0,N(I323)&gt;0),I323-F323-IF(N(G323)&gt;0,0.5,0)-IF(N(H323)&gt;0,0.5,0),0)</f>
        <v/>
      </c>
      <c r="K323" s="5" t="n"/>
      <c r="L323" s="7">
        <f>MIN(J323,8.0)</f>
        <v/>
      </c>
      <c r="M323" s="7">
        <f>MAX(0,MIN(J323,12)-8.0)</f>
        <v/>
      </c>
      <c r="N323" s="7">
        <f>MAX(0,J323-12)</f>
        <v/>
      </c>
      <c r="O323" s="5" t="n"/>
      <c r="P323" s="6">
        <f>E323*(L323+M323*1.5+N323*2+O323*3+N(K323))</f>
        <v/>
      </c>
      <c r="Q323" s="6" t="n">
        <v>588.85</v>
      </c>
      <c r="R323" s="6">
        <f>Q323-P323</f>
        <v/>
      </c>
    </row>
    <row r="324">
      <c r="A324" s="5" t="inlineStr">
        <is>
          <t>3503</t>
        </is>
      </c>
      <c r="B324" s="5" t="inlineStr"/>
      <c r="C324" s="5" t="inlineStr">
        <is>
          <t>SOUNDCCSTAKEBEDFUELTRUCKDRIVER</t>
        </is>
      </c>
      <c r="D324" s="5" t="inlineStr"/>
      <c r="E324" s="6" t="n">
        <v>32.36</v>
      </c>
      <c r="F324" s="5" t="n"/>
      <c r="G324" s="5" t="n"/>
      <c r="H324" s="5" t="n"/>
      <c r="I324" s="5" t="n"/>
      <c r="J324" s="7">
        <f>IF(AND(N(F324)&gt;0,N(I324)&gt;0),I324-F324-IF(N(G324)&gt;0,0.5,0)-IF(N(H324)&gt;0,0.5,0),0)</f>
        <v/>
      </c>
      <c r="K324" s="5" t="n"/>
      <c r="L324" s="7">
        <f>MIN(J324,8.0)</f>
        <v/>
      </c>
      <c r="M324" s="7">
        <f>MAX(0,MIN(J324,12)-8.0)</f>
        <v/>
      </c>
      <c r="N324" s="7">
        <f>MAX(0,J324-12)</f>
        <v/>
      </c>
      <c r="O324" s="5" t="n"/>
      <c r="P324" s="6">
        <f>E324*(L324+M324*1.5+N324*2+O324*3+N(K324))</f>
        <v/>
      </c>
      <c r="Q324" s="6" t="n">
        <v>501.58</v>
      </c>
      <c r="R324" s="6">
        <f>Q324-P324</f>
        <v/>
      </c>
    </row>
    <row r="325">
      <c r="A325" s="5" t="inlineStr">
        <is>
          <t>3503</t>
        </is>
      </c>
      <c r="B325" s="5" t="inlineStr"/>
      <c r="C325" s="5" t="inlineStr">
        <is>
          <t>9-ROOMHONEYWAGONTRACTORDRIVER</t>
        </is>
      </c>
      <c r="D325" s="5" t="inlineStr"/>
      <c r="E325" s="6" t="n">
        <v>32.36</v>
      </c>
      <c r="F325" s="5" t="n"/>
      <c r="G325" s="5" t="n"/>
      <c r="H325" s="5" t="n"/>
      <c r="I325" s="5" t="n"/>
      <c r="J325" s="7">
        <f>IF(AND(N(F325)&gt;0,N(I325)&gt;0),I325-F325-IF(N(G325)&gt;0,0.5,0)-IF(N(H325)&gt;0,0.5,0),0)</f>
        <v/>
      </c>
      <c r="K325" s="5" t="n"/>
      <c r="L325" s="7">
        <f>MIN(J325,8.0)</f>
        <v/>
      </c>
      <c r="M325" s="7">
        <f>MAX(0,MIN(J325,12)-8.0)</f>
        <v/>
      </c>
      <c r="N325" s="7">
        <f>MAX(0,J325-12)</f>
        <v/>
      </c>
      <c r="O325" s="5" t="n"/>
      <c r="P325" s="6">
        <f>E325*(L325+M325*1.5+N325*2+O325*3+N(K325))</f>
        <v/>
      </c>
      <c r="Q325" s="6" t="n">
        <v>501.58</v>
      </c>
      <c r="R325" s="6">
        <f>Q325-P325</f>
        <v/>
      </c>
    </row>
    <row r="326">
      <c r="A326" s="5" t="inlineStr">
        <is>
          <t>3503</t>
        </is>
      </c>
      <c r="B326" s="5" t="inlineStr"/>
      <c r="C326" s="5" t="inlineStr">
        <is>
          <t>FORDTRANSITVANDRIVER#1</t>
        </is>
      </c>
      <c r="D326" s="5" t="inlineStr"/>
      <c r="E326" s="6" t="n">
        <v>32.36</v>
      </c>
      <c r="F326" s="5" t="n"/>
      <c r="G326" s="5" t="n"/>
      <c r="H326" s="5" t="n"/>
      <c r="I326" s="5" t="n"/>
      <c r="J326" s="7">
        <f>IF(AND(N(F326)&gt;0,N(I326)&gt;0),I326-F326-IF(N(G326)&gt;0,0.5,0)-IF(N(H326)&gt;0,0.5,0),0)</f>
        <v/>
      </c>
      <c r="K326" s="5" t="n"/>
      <c r="L326" s="7">
        <f>MIN(J326,8.0)</f>
        <v/>
      </c>
      <c r="M326" s="7">
        <f>MAX(0,MIN(J326,12)-8.0)</f>
        <v/>
      </c>
      <c r="N326" s="7">
        <f>MAX(0,J326-12)</f>
        <v/>
      </c>
      <c r="O326" s="5" t="n"/>
      <c r="P326" s="6">
        <f>E326*(L326+M326*1.5+N326*2+O326*3+N(K326))</f>
        <v/>
      </c>
      <c r="Q326" s="6" t="n">
        <v>501.58</v>
      </c>
      <c r="R326" s="6">
        <f>Q326-P326</f>
        <v/>
      </c>
    </row>
    <row r="327">
      <c r="A327" s="5" t="inlineStr">
        <is>
          <t>3503</t>
        </is>
      </c>
      <c r="B327" s="5" t="inlineStr">
        <is>
          <t>Kaiser Clark</t>
        </is>
      </c>
      <c r="C327" s="5" t="inlineStr">
        <is>
          <t>CSETDECTRUCKDRIVER#1</t>
        </is>
      </c>
      <c r="D327" s="5" t="inlineStr"/>
      <c r="E327" s="6" t="n">
        <v>32.36</v>
      </c>
      <c r="F327" s="5" t="n"/>
      <c r="G327" s="5" t="n"/>
      <c r="H327" s="5" t="n"/>
      <c r="I327" s="5" t="n"/>
      <c r="J327" s="7">
        <f>IF(AND(N(F327)&gt;0,N(I327)&gt;0),I327-F327-IF(N(G327)&gt;0,0.5,0)-IF(N(H327)&gt;0,0.5,0),0)</f>
        <v/>
      </c>
      <c r="K327" s="5" t="n"/>
      <c r="L327" s="7">
        <f>MIN(J327,8.0)</f>
        <v/>
      </c>
      <c r="M327" s="7">
        <f>MAX(0,MIN(J327,12)-8.0)</f>
        <v/>
      </c>
      <c r="N327" s="7">
        <f>MAX(0,J327-12)</f>
        <v/>
      </c>
      <c r="O327" s="5" t="n"/>
      <c r="P327" s="6">
        <f>E327*(L327+M327*1.5+N327*2+O327*3+N(K327))</f>
        <v/>
      </c>
      <c r="Q327" s="6" t="n">
        <v>501.58</v>
      </c>
      <c r="R327" s="6">
        <f>Q327-P327</f>
        <v/>
      </c>
    </row>
    <row r="328">
      <c r="A328" s="5" t="inlineStr">
        <is>
          <t>3503</t>
        </is>
      </c>
      <c r="B328" s="5" t="inlineStr"/>
      <c r="C328" s="5" t="inlineStr">
        <is>
          <t>C 5-TONENCLOSEDRIGGINGGRIPDRIVER</t>
        </is>
      </c>
      <c r="D328" s="5" t="inlineStr"/>
      <c r="E328" s="6" t="n">
        <v>32.36</v>
      </c>
      <c r="F328" s="5" t="n"/>
      <c r="G328" s="5" t="n"/>
      <c r="H328" s="5" t="n"/>
      <c r="I328" s="5" t="n"/>
      <c r="J328" s="7">
        <f>IF(AND(N(F328)&gt;0,N(I328)&gt;0),I328-F328-IF(N(G328)&gt;0,0.5,0)-IF(N(H328)&gt;0,0.5,0),0)</f>
        <v/>
      </c>
      <c r="K328" s="5" t="n"/>
      <c r="L328" s="7">
        <f>MIN(J328,8.0)</f>
        <v/>
      </c>
      <c r="M328" s="7">
        <f>MAX(0,MIN(J328,12)-8.0)</f>
        <v/>
      </c>
      <c r="N328" s="7">
        <f>MAX(0,J328-12)</f>
        <v/>
      </c>
      <c r="O328" s="5" t="n"/>
      <c r="P328" s="6">
        <f>E328*(L328+M328*1.5+N328*2+O328*3+N(K328))</f>
        <v/>
      </c>
      <c r="Q328" s="5" t="n"/>
      <c r="R328" s="6">
        <f>Q328-P328</f>
        <v/>
      </c>
    </row>
    <row r="329">
      <c r="A329" s="5" t="inlineStr">
        <is>
          <t>3503</t>
        </is>
      </c>
      <c r="B329" s="5" t="inlineStr"/>
      <c r="C329" s="5" t="inlineStr">
        <is>
          <t>SCOUTBUS</t>
        </is>
      </c>
      <c r="D329" s="5" t="inlineStr"/>
      <c r="E329" s="6" t="n">
        <v>32.36</v>
      </c>
      <c r="F329" s="5" t="n"/>
      <c r="G329" s="5" t="n"/>
      <c r="H329" s="5" t="n"/>
      <c r="I329" s="5" t="n"/>
      <c r="J329" s="7">
        <f>IF(AND(N(F329)&gt;0,N(I329)&gt;0),I329-F329-IF(N(G329)&gt;0,0.5,0)-IF(N(H329)&gt;0,0.5,0),0)</f>
        <v/>
      </c>
      <c r="K329" s="5" t="n"/>
      <c r="L329" s="7">
        <f>MIN(J329,8.0)</f>
        <v/>
      </c>
      <c r="M329" s="7">
        <f>MAX(0,MIN(J329,12)-8.0)</f>
        <v/>
      </c>
      <c r="N329" s="7">
        <f>MAX(0,J329-12)</f>
        <v/>
      </c>
      <c r="O329" s="5" t="n"/>
      <c r="P329" s="6">
        <f>E329*(L329+M329*1.5+N329*2+O329*3+N(K329))</f>
        <v/>
      </c>
      <c r="Q329" s="5" t="n"/>
      <c r="R329" s="6">
        <f>Q329-P329</f>
        <v/>
      </c>
    </row>
    <row r="330">
      <c r="A330" s="5" t="inlineStr">
        <is>
          <t>3503</t>
        </is>
      </c>
      <c r="B330" s="5" t="inlineStr"/>
      <c r="C330" s="5" t="inlineStr">
        <is>
          <t>DRIVERMANDAYS</t>
        </is>
      </c>
      <c r="D330" s="5" t="inlineStr"/>
      <c r="E330" s="6" t="n">
        <v>32.36</v>
      </c>
      <c r="F330" s="5" t="n"/>
      <c r="G330" s="5" t="n"/>
      <c r="H330" s="5" t="n"/>
      <c r="I330" s="5" t="n"/>
      <c r="J330" s="7">
        <f>IF(AND(N(F330)&gt;0,N(I330)&gt;0),I330-F330-IF(N(G330)&gt;0,0.5,0)-IF(N(H330)&gt;0,0.5,0),0)</f>
        <v/>
      </c>
      <c r="K330" s="5" t="n"/>
      <c r="L330" s="7">
        <f>MIN(J330,8.0)</f>
        <v/>
      </c>
      <c r="M330" s="7">
        <f>MAX(0,MIN(J330,12)-8.0)</f>
        <v/>
      </c>
      <c r="N330" s="7">
        <f>MAX(0,J330-12)</f>
        <v/>
      </c>
      <c r="O330" s="5" t="n"/>
      <c r="P330" s="6">
        <f>E330*(L330+M330*1.5+N330*2+O330*3+N(K330))</f>
        <v/>
      </c>
      <c r="Q330" s="5" t="n"/>
      <c r="R330" s="6">
        <f>Q330-P330</f>
        <v/>
      </c>
    </row>
    <row r="331">
      <c r="P331" s="2" t="inlineStr">
        <is>
          <t>DRIVERS LABOR</t>
        </is>
      </c>
      <c r="R331" s="8">
        <f>SUM(R319:R330)</f>
        <v/>
      </c>
    </row>
    <row r="333">
      <c r="B333" s="2" t="inlineStr">
        <is>
          <t>LOCATIONSITEFEES</t>
        </is>
      </c>
    </row>
    <row r="334">
      <c r="A334" s="5" t="inlineStr">
        <is>
          <t>3607</t>
        </is>
      </c>
      <c r="B334" s="5" t="inlineStr"/>
      <c r="C334" s="5" t="inlineStr">
        <is>
          <t>Location#1(Hospital ER, LACountry Childrens Shelter, Shelter Dorm, Dept...</t>
        </is>
      </c>
      <c r="D334" s="5" t="inlineStr">
        <is>
          <t>Local400</t>
        </is>
      </c>
      <c r="E334" s="6" t="n">
        <v>50000</v>
      </c>
      <c r="F334" s="5" t="n"/>
      <c r="G334" s="5" t="n"/>
      <c r="H334" s="5" t="n"/>
      <c r="I334" s="5" t="n"/>
      <c r="J334" s="7">
        <f>IF(AND(N(F334)&gt;0,N(I334)&gt;0),I334-F334-IF(N(G334)&gt;0,0.5,0)-IF(N(H334)&gt;0,0.5,0),0)</f>
        <v/>
      </c>
      <c r="K334" s="5" t="n"/>
      <c r="L334" s="7">
        <f>MIN(J334,8.0)</f>
        <v/>
      </c>
      <c r="M334" s="7">
        <f>MAX(0,MIN(J334,12)-8.0)</f>
        <v/>
      </c>
      <c r="N334" s="7">
        <f>MAX(0,J334-12)</f>
        <v/>
      </c>
      <c r="O334" s="5" t="n"/>
      <c r="P334" s="6">
        <f>E334*(L334+M334*1.5+N334*2+O334*3+N(K334))</f>
        <v/>
      </c>
      <c r="Q334" s="6" t="n">
        <v>50000</v>
      </c>
      <c r="R334" s="6">
        <f>Q334-P334</f>
        <v/>
      </c>
    </row>
    <row r="335">
      <c r="P335" s="2" t="inlineStr">
        <is>
          <t>LOCATIONSITEFEES LABOR</t>
        </is>
      </c>
      <c r="R335" s="8">
        <f>SUM(R334:R334)</f>
        <v/>
      </c>
    </row>
    <row r="337">
      <c r="B337" s="2" t="inlineStr">
        <is>
          <t>CATERINGLABOR</t>
        </is>
      </c>
    </row>
    <row r="338">
      <c r="A338" s="5" t="inlineStr">
        <is>
          <t>3621</t>
        </is>
      </c>
      <c r="B338" s="5" t="inlineStr"/>
      <c r="C338" s="5" t="inlineStr">
        <is>
          <t>COOKDRIVER#1</t>
        </is>
      </c>
      <c r="D338" s="5" t="inlineStr">
        <is>
          <t>Local399</t>
        </is>
      </c>
      <c r="E338" s="6" t="n">
        <v>32.36</v>
      </c>
      <c r="F338" s="5" t="n"/>
      <c r="G338" s="5" t="n"/>
      <c r="H338" s="5" t="n"/>
      <c r="I338" s="5" t="n"/>
      <c r="J338" s="7">
        <f>IF(AND(N(F338)&gt;0,N(I338)&gt;0),I338-F338-IF(N(G338)&gt;0,0.5,0)-IF(N(H338)&gt;0,0.5,0),0)</f>
        <v/>
      </c>
      <c r="K338" s="5" t="n"/>
      <c r="L338" s="7">
        <f>MIN(J338,8.0)</f>
        <v/>
      </c>
      <c r="M338" s="7">
        <f>MAX(0,MIN(J338,12)-8.0)</f>
        <v/>
      </c>
      <c r="N338" s="7">
        <f>MAX(0,J338-12)</f>
        <v/>
      </c>
      <c r="O338" s="5" t="n"/>
      <c r="P338" s="6">
        <f>E338*(L338+M338*1.5+N338*2+O338*3+N(K338))</f>
        <v/>
      </c>
      <c r="Q338" s="6" t="n">
        <v>647.2</v>
      </c>
      <c r="R338" s="6">
        <f>Q338-P338</f>
        <v/>
      </c>
    </row>
    <row r="339">
      <c r="A339" s="5" t="inlineStr">
        <is>
          <t>3621</t>
        </is>
      </c>
      <c r="B339" s="5" t="inlineStr"/>
      <c r="C339" s="5" t="inlineStr">
        <is>
          <t>1STASSTCATERER#1</t>
        </is>
      </c>
      <c r="D339" s="5" t="inlineStr"/>
      <c r="E339" s="6" t="n">
        <v>17</v>
      </c>
      <c r="F339" s="5" t="n"/>
      <c r="G339" s="5" t="n"/>
      <c r="H339" s="5" t="n"/>
      <c r="I339" s="5" t="n"/>
      <c r="J339" s="7">
        <f>IF(AND(N(F339)&gt;0,N(I339)&gt;0),I339-F339-IF(N(G339)&gt;0,0.5,0)-IF(N(H339)&gt;0,0.5,0),0)</f>
        <v/>
      </c>
      <c r="K339" s="5" t="n"/>
      <c r="L339" s="7">
        <f>MIN(J339,8.0)</f>
        <v/>
      </c>
      <c r="M339" s="7">
        <f>MAX(0,MIN(J339,12)-8.0)</f>
        <v/>
      </c>
      <c r="N339" s="7">
        <f>MAX(0,J339-12)</f>
        <v/>
      </c>
      <c r="O339" s="5" t="n"/>
      <c r="P339" s="6">
        <f>E339*(L339+M339*1.5+N339*2+O339*3+N(K339))</f>
        <v/>
      </c>
      <c r="Q339" s="6" t="n">
        <v>340</v>
      </c>
      <c r="R339" s="6">
        <f>Q339-P339</f>
        <v/>
      </c>
    </row>
    <row r="340">
      <c r="A340" s="5" t="inlineStr">
        <is>
          <t>3621</t>
        </is>
      </c>
      <c r="B340" s="5" t="inlineStr"/>
      <c r="C340" s="5" t="inlineStr">
        <is>
          <t>1STASSTCATERER#2</t>
        </is>
      </c>
      <c r="D340" s="5" t="inlineStr"/>
      <c r="E340" s="6" t="n">
        <v>16</v>
      </c>
      <c r="F340" s="5" t="n"/>
      <c r="G340" s="5" t="n"/>
      <c r="H340" s="5" t="n"/>
      <c r="I340" s="5" t="n"/>
      <c r="J340" s="7">
        <f>IF(AND(N(F340)&gt;0,N(I340)&gt;0),I340-F340-IF(N(G340)&gt;0,0.5,0)-IF(N(H340)&gt;0,0.5,0),0)</f>
        <v/>
      </c>
      <c r="K340" s="5" t="n"/>
      <c r="L340" s="7">
        <f>MIN(J340,8.0)</f>
        <v/>
      </c>
      <c r="M340" s="7">
        <f>MAX(0,MIN(J340,12)-8.0)</f>
        <v/>
      </c>
      <c r="N340" s="7">
        <f>MAX(0,J340-12)</f>
        <v/>
      </c>
      <c r="O340" s="5" t="n"/>
      <c r="P340" s="6">
        <f>E340*(L340+M340*1.5+N340*2+O340*3+N(K340))</f>
        <v/>
      </c>
      <c r="Q340" s="6" t="n">
        <v>320</v>
      </c>
      <c r="R340" s="6">
        <f>Q340-P340</f>
        <v/>
      </c>
    </row>
    <row r="341">
      <c r="P341" s="2" t="inlineStr">
        <is>
          <t>CATERINGLABOR LABOR</t>
        </is>
      </c>
      <c r="R341" s="8">
        <f>SUM(R338:R340)</f>
        <v/>
      </c>
    </row>
    <row r="343">
      <c r="K343" s="9" t="inlineStr">
        <is>
          <t>TOTAL</t>
        </is>
      </c>
      <c r="P343" s="9" t="inlineStr">
        <is>
          <t>ACTUAL</t>
        </is>
      </c>
      <c r="Q343" s="9" t="inlineStr">
        <is>
          <t>BUDGET</t>
        </is>
      </c>
      <c r="R343" s="9" t="inlineStr">
        <is>
          <t>TOTAL VAR</t>
        </is>
      </c>
    </row>
    <row r="344">
      <c r="P344" s="9" t="inlineStr">
        <is>
          <t>DAY COST</t>
        </is>
      </c>
      <c r="Q344" s="9" t="inlineStr">
        <is>
          <t>DY COST</t>
        </is>
      </c>
      <c r="R344" s="9" t="inlineStr">
        <is>
          <t>(OVER) / UNDER</t>
        </is>
      </c>
    </row>
    <row r="345">
      <c r="P345" s="10">
        <f>SUM(P6:P6)+SUM(P10:P11)+SUM(P15:P17)+SUM(P21:P22)+SUM(P26:P32)+SUM(P36:P36)+SUM(P40:P41)+SUM(P45:P45)+SUM(P49:P49)+SUM(P53:P54)+SUM(P58:P58)+SUM(P62:P62)+SUM(P66:P67)+SUM(P71:P71)+SUM(P75:P75)+SUM(P79:P80)+SUM(P84:P84)+SUM(P88:P88)+SUM(P92:P93)+SUM(P97:P100)+SUM(P104:P104)+SUM(P108:P109)+SUM(P113:P113)+SUM(P117:P117)+SUM(P121:P121)+SUM(P125:P125)+SUM(P129:P130)+SUM(P134:P134)+SUM(P138:P139)+SUM(P143:P145)+SUM(P149:P149)+SUM(P153:P153)+SUM(P157:P158)+SUM(P162:P163)+SUM(P167:P167)+SUM(P171:P173)+SUM(P177:P177)+SUM(P181:P181)+SUM(P185:P187)+SUM(P191:P191)+SUM(P195:P195)+SUM(P199:P199)+SUM(P203:P203)+SUM(P207:P207)+SUM(P211:P211)+SUM(P215:P216)+SUM(P220:P220)+SUM(P224:P224)+SUM(P228:P228)+SUM(P232:P233)+SUM(P237:P237)+SUM(P241:P241)+SUM(P245:P245)+SUM(P249:P249)+SUM(P253:P254)+SUM(P258:P260)+SUM(P264:P264)+SUM(P268:P268)+SUM(P272:P272)+SUM(P276:P276)+SUM(P280:P281)+SUM(P285:P286)+SUM(P290:P290)+SUM(P294:P294)+SUM(P298:P298)+SUM(P302:P302)+SUM(P306:P306)+SUM(P310:P310)+SUM(P314:P315)+SUM(P319:P330)+SUM(P334:P334)+SUM(P338:P340)</f>
        <v/>
      </c>
      <c r="Q345" s="10">
        <f>SUM(Q6:Q6)+SUM(Q10:Q11)+SUM(Q15:Q17)+SUM(Q21:Q22)+SUM(Q26:Q32)+SUM(Q36:Q36)+SUM(Q40:Q41)+SUM(Q45:Q45)+SUM(Q49:Q49)+SUM(Q53:Q54)+SUM(Q58:Q58)+SUM(Q62:Q62)+SUM(Q66:Q67)+SUM(Q71:Q71)+SUM(Q75:Q75)+SUM(Q79:Q80)+SUM(Q84:Q84)+SUM(Q88:Q88)+SUM(Q92:Q93)+SUM(Q97:Q100)+SUM(Q104:Q104)+SUM(Q108:Q109)+SUM(Q113:Q113)+SUM(Q117:Q117)+SUM(Q121:Q121)+SUM(Q125:Q125)+SUM(Q129:Q130)+SUM(Q134:Q134)+SUM(Q138:Q139)+SUM(Q143:Q145)+SUM(Q149:Q149)+SUM(Q153:Q153)+SUM(Q157:Q158)+SUM(Q162:Q163)+SUM(Q167:Q167)+SUM(Q171:Q173)+SUM(Q177:Q177)+SUM(Q181:Q181)+SUM(Q185:Q187)+SUM(Q191:Q191)+SUM(Q195:Q195)+SUM(Q199:Q199)+SUM(Q203:Q203)+SUM(Q207:Q207)+SUM(Q211:Q211)+SUM(Q215:Q216)+SUM(Q220:Q220)+SUM(Q224:Q224)+SUM(Q228:Q228)+SUM(Q232:Q233)+SUM(Q237:Q237)+SUM(Q241:Q241)+SUM(Q245:Q245)+SUM(Q249:Q249)+SUM(Q253:Q254)+SUM(Q258:Q260)+SUM(Q264:Q264)+SUM(Q268:Q268)+SUM(Q272:Q272)+SUM(Q276:Q276)+SUM(Q280:Q281)+SUM(Q285:Q286)+SUM(Q290:Q290)+SUM(Q294:Q294)+SUM(Q298:Q298)+SUM(Q302:Q302)+SUM(Q306:Q306)+SUM(Q310:Q310)+SUM(Q314:Q315)+SUM(Q319:Q330)+SUM(Q334:Q334)+SUM(Q338:Q340)</f>
        <v/>
      </c>
      <c r="R345" s="10">
        <f>SUM(R6:R6)+SUM(R10:R11)+SUM(R15:R17)+SUM(R21:R22)+SUM(R26:R32)+SUM(R36:R36)+SUM(R40:R41)+SUM(R45:R45)+SUM(R49:R49)+SUM(R53:R54)+SUM(R58:R58)+SUM(R62:R62)+SUM(R66:R67)+SUM(R71:R71)+SUM(R75:R75)+SUM(R79:R80)+SUM(R84:R84)+SUM(R88:R88)+SUM(R92:R93)+SUM(R97:R100)+SUM(R104:R104)+SUM(R108:R109)+SUM(R113:R113)+SUM(R117:R117)+SUM(R121:R121)+SUM(R125:R125)+SUM(R129:R130)+SUM(R134:R134)+SUM(R138:R139)+SUM(R143:R145)+SUM(R149:R149)+SUM(R153:R153)+SUM(R157:R158)+SUM(R162:R163)+SUM(R167:R167)+SUM(R171:R173)+SUM(R177:R177)+SUM(R181:R181)+SUM(R185:R187)+SUM(R191:R191)+SUM(R195:R195)+SUM(R199:R199)+SUM(R203:R203)+SUM(R207:R207)+SUM(R211:R211)+SUM(R215:R216)+SUM(R220:R220)+SUM(R224:R224)+SUM(R228:R228)+SUM(R232:R233)+SUM(R237:R237)+SUM(R241:R241)+SUM(R245:R245)+SUM(R249:R249)+SUM(R253:R254)+SUM(R258:R260)+SUM(R264:R264)+SUM(R268:R268)+SUM(R272:R272)+SUM(R276:R276)+SUM(R280:R281)+SUM(R285:R286)+SUM(R290:R290)+SUM(R294:R294)+SUM(R298:R298)+SUM(R302:R302)+SUM(R306:R306)+SUM(R310:R310)+SUM(R314:R315)+SUM(R319:R330)+SUM(R334:R334)+SUM(R338:R340)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R34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20" customWidth="1" min="3" max="3"/>
    <col width="9" customWidth="1" min="4" max="4"/>
    <col width="9" customWidth="1" min="5" max="5"/>
    <col width="7" customWidth="1" min="6" max="6"/>
    <col width="7" customWidth="1" min="7" max="7"/>
    <col width="8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12" customWidth="1" min="16" max="16"/>
    <col width="13" customWidth="1" min="17" max="17"/>
    <col width="14" customWidth="1" min="18" max="18"/>
  </cols>
  <sheetData>
    <row r="1">
      <c r="A1" s="1" t="inlineStr">
        <is>
          <t>HOT COST</t>
        </is>
      </c>
      <c r="C1" t="inlineStr">
        <is>
          <t>Friday 03 Nov 2017</t>
        </is>
      </c>
      <c r="F1" s="2" t="inlineStr">
        <is>
          <t>DAY #15</t>
        </is>
      </c>
    </row>
    <row r="2">
      <c r="A2" s="3" t="inlineStr">
        <is>
          <t>enter CALL, LUNCH, WRAP as decimal hours (e.g. 7.5) — everything right of WRAP computes</t>
        </is>
      </c>
    </row>
    <row r="4">
      <c r="A4" s="4" t="inlineStr">
        <is>
          <t>ACCT</t>
        </is>
      </c>
      <c r="B4" s="4" t="inlineStr">
        <is>
          <t>NAME</t>
        </is>
      </c>
      <c r="C4" s="4" t="inlineStr">
        <is>
          <t>POSITION</t>
        </is>
      </c>
      <c r="D4" s="4" t="inlineStr">
        <is>
          <t>UNION</t>
        </is>
      </c>
      <c r="E4" s="4" t="inlineStr">
        <is>
          <t>RATE</t>
        </is>
      </c>
      <c r="F4" s="4" t="inlineStr">
        <is>
          <t>CALL</t>
        </is>
      </c>
      <c r="G4" s="4" t="inlineStr">
        <is>
          <t>LUNCH</t>
        </is>
      </c>
      <c r="H4" s="4" t="inlineStr">
        <is>
          <t>LUNCH 2</t>
        </is>
      </c>
      <c r="I4" s="4" t="inlineStr">
        <is>
          <t>WRAP</t>
        </is>
      </c>
      <c r="J4" s="4" t="inlineStr">
        <is>
          <t>HRS</t>
        </is>
      </c>
      <c r="K4" s="4" t="inlineStr">
        <is>
          <t>MP'S</t>
        </is>
      </c>
      <c r="L4" s="4" t="inlineStr">
        <is>
          <t>ST</t>
        </is>
      </c>
      <c r="M4" s="4" t="inlineStr">
        <is>
          <t>1.5X</t>
        </is>
      </c>
      <c r="N4" s="4" t="inlineStr">
        <is>
          <t>2X</t>
        </is>
      </c>
      <c r="O4" s="4" t="inlineStr">
        <is>
          <t>3X</t>
        </is>
      </c>
      <c r="P4" s="4" t="inlineStr">
        <is>
          <t>TOTAL / DAY</t>
        </is>
      </c>
      <c r="Q4" s="4" t="inlineStr">
        <is>
          <t>BUDGET / DAY</t>
        </is>
      </c>
      <c r="R4" s="4" t="inlineStr">
        <is>
          <t>(OVER) / UNDER</t>
        </is>
      </c>
    </row>
    <row r="5">
      <c r="B5" s="2" t="inlineStr">
        <is>
          <t>LEAD#</t>
        </is>
      </c>
    </row>
    <row r="6">
      <c r="A6" s="5" t="inlineStr">
        <is>
          <t>1401</t>
        </is>
      </c>
      <c r="B6" s="5" t="inlineStr">
        <is>
          <t>Linda Cardellini</t>
        </is>
      </c>
      <c r="C6" s="5" t="inlineStr">
        <is>
          <t>"ANNA"</t>
        </is>
      </c>
      <c r="D6" s="5" t="inlineStr"/>
      <c r="E6" s="6" t="n">
        <v>1211.8</v>
      </c>
      <c r="F6" s="5" t="n"/>
      <c r="G6" s="5" t="n"/>
      <c r="H6" s="5" t="n"/>
      <c r="I6" s="5" t="n"/>
      <c r="J6" s="7">
        <f>IF(AND(N(F6)&gt;0,N(I6)&gt;0),I6-F6-IF(N(G6)&gt;0,0.5,0)-IF(N(H6)&gt;0,0.5,0),0)</f>
        <v/>
      </c>
      <c r="K6" s="5" t="n"/>
      <c r="L6" s="7">
        <f>MIN(J6,8.0)</f>
        <v/>
      </c>
      <c r="M6" s="7">
        <f>MAX(0,MIN(J6,12)-8.0)</f>
        <v/>
      </c>
      <c r="N6" s="7">
        <f>MAX(0,J6-12)</f>
        <v/>
      </c>
      <c r="O6" s="5" t="n"/>
      <c r="P6" s="6">
        <f>E6*(L6+M6*1.5+N6*2+O6*3+N(K6))</f>
        <v/>
      </c>
      <c r="Q6" s="6" t="n">
        <v>1211.8</v>
      </c>
      <c r="R6" s="6">
        <f>Q6-P6</f>
        <v/>
      </c>
    </row>
    <row r="7">
      <c r="P7" s="2" t="inlineStr">
        <is>
          <t>LEAD# LABOR</t>
        </is>
      </c>
      <c r="R7" s="8">
        <f>SUM(R6:R6)</f>
        <v/>
      </c>
    </row>
    <row r="9">
      <c r="B9" s="2" t="inlineStr">
        <is>
          <t>LEAD#2&amp;#</t>
        </is>
      </c>
    </row>
    <row r="10">
      <c r="A10" s="5" t="inlineStr">
        <is>
          <t>1402</t>
        </is>
      </c>
      <c r="B10" s="5" t="inlineStr">
        <is>
          <t>Roman Christou</t>
        </is>
      </c>
      <c r="C10" s="5" t="inlineStr">
        <is>
          <t>"CHRIS"(Minor)</t>
        </is>
      </c>
      <c r="D10" s="5" t="inlineStr"/>
      <c r="E10" s="6" t="n">
        <v>755.4</v>
      </c>
      <c r="F10" s="5" t="n"/>
      <c r="G10" s="5" t="n"/>
      <c r="H10" s="5" t="n"/>
      <c r="I10" s="5" t="n"/>
      <c r="J10" s="7">
        <f>IF(AND(N(F10)&gt;0,N(I10)&gt;0),I10-F10-IF(N(G10)&gt;0,0.5,0)-IF(N(H10)&gt;0,0.5,0),0)</f>
        <v/>
      </c>
      <c r="K10" s="5" t="n"/>
      <c r="L10" s="7">
        <f>MIN(J10,8.0)</f>
        <v/>
      </c>
      <c r="M10" s="7">
        <f>MAX(0,MIN(J10,12)-8.0)</f>
        <v/>
      </c>
      <c r="N10" s="7">
        <f>MAX(0,J10-12)</f>
        <v/>
      </c>
      <c r="O10" s="5" t="n"/>
      <c r="P10" s="6">
        <f>E10*(L10+M10*1.5+N10*2+O10*3+N(K10))</f>
        <v/>
      </c>
      <c r="Q10" s="6" t="n">
        <v>755.4</v>
      </c>
      <c r="R10" s="6">
        <f>Q10-P10</f>
        <v/>
      </c>
    </row>
    <row r="11">
      <c r="A11" s="5" t="inlineStr">
        <is>
          <t>1402</t>
        </is>
      </c>
      <c r="B11" s="5" t="inlineStr">
        <is>
          <t>Jaynee Lynee Kinchen</t>
        </is>
      </c>
      <c r="C11" s="5" t="inlineStr">
        <is>
          <t>"SAMANTHA"(Minor)</t>
        </is>
      </c>
      <c r="D11" s="5" t="inlineStr"/>
      <c r="E11" s="6" t="n">
        <v>755.4</v>
      </c>
      <c r="F11" s="5" t="n"/>
      <c r="G11" s="5" t="n"/>
      <c r="H11" s="5" t="n"/>
      <c r="I11" s="5" t="n"/>
      <c r="J11" s="7">
        <f>IF(AND(N(F11)&gt;0,N(I11)&gt;0),I11-F11-IF(N(G11)&gt;0,0.5,0)-IF(N(H11)&gt;0,0.5,0),0)</f>
        <v/>
      </c>
      <c r="K11" s="5" t="n"/>
      <c r="L11" s="7">
        <f>MIN(J11,8.0)</f>
        <v/>
      </c>
      <c r="M11" s="7">
        <f>MAX(0,MIN(J11,12)-8.0)</f>
        <v/>
      </c>
      <c r="N11" s="7">
        <f>MAX(0,J11-12)</f>
        <v/>
      </c>
      <c r="O11" s="5" t="n"/>
      <c r="P11" s="6">
        <f>E11*(L11+M11*1.5+N11*2+O11*3+N(K11))</f>
        <v/>
      </c>
      <c r="Q11" s="6" t="n">
        <v>755.4</v>
      </c>
      <c r="R11" s="6">
        <f>Q11-P11</f>
        <v/>
      </c>
    </row>
    <row r="12">
      <c r="P12" s="2" t="inlineStr">
        <is>
          <t>LEAD#2&amp;# LABOR</t>
        </is>
      </c>
      <c r="R12" s="8">
        <f>SUM(R10:R11)</f>
        <v/>
      </c>
    </row>
    <row r="14">
      <c r="B14" s="2" t="inlineStr">
        <is>
          <t>OTHERLEADCAST</t>
        </is>
      </c>
    </row>
    <row r="15">
      <c r="A15" s="5" t="inlineStr">
        <is>
          <t>1403</t>
        </is>
      </c>
      <c r="B15" s="5" t="inlineStr">
        <is>
          <t>Raymond Cruz</t>
        </is>
      </c>
      <c r="C15" s="5" t="inlineStr">
        <is>
          <t>"RAFAELOLVERA"</t>
        </is>
      </c>
      <c r="D15" s="5" t="inlineStr"/>
      <c r="E15" s="6" t="n">
        <v>1211.8</v>
      </c>
      <c r="F15" s="5" t="n"/>
      <c r="G15" s="5" t="n"/>
      <c r="H15" s="5" t="n"/>
      <c r="I15" s="5" t="n"/>
      <c r="J15" s="7">
        <f>IF(AND(N(F15)&gt;0,N(I15)&gt;0),I15-F15-IF(N(G15)&gt;0,0.5,0)-IF(N(H15)&gt;0,0.5,0),0)</f>
        <v/>
      </c>
      <c r="K15" s="5" t="n"/>
      <c r="L15" s="7">
        <f>MIN(J15,8.0)</f>
        <v/>
      </c>
      <c r="M15" s="7">
        <f>MAX(0,MIN(J15,12)-8.0)</f>
        <v/>
      </c>
      <c r="N15" s="7">
        <f>MAX(0,J15-12)</f>
        <v/>
      </c>
      <c r="O15" s="5" t="n"/>
      <c r="P15" s="6">
        <f>E15*(L15+M15*1.5+N15*2+O15*3+N(K15))</f>
        <v/>
      </c>
      <c r="Q15" s="6" t="n">
        <v>1211.8</v>
      </c>
      <c r="R15" s="6">
        <f>Q15-P15</f>
        <v/>
      </c>
    </row>
    <row r="16">
      <c r="A16" s="5" t="inlineStr">
        <is>
          <t>1403</t>
        </is>
      </c>
      <c r="B16" s="5" t="inlineStr">
        <is>
          <t>Marisol Ramirez</t>
        </is>
      </c>
      <c r="C16" s="5" t="inlineStr">
        <is>
          <t>"LALLORONA"</t>
        </is>
      </c>
      <c r="D16" s="5" t="inlineStr"/>
      <c r="E16" s="6" t="n">
        <v>1211.8</v>
      </c>
      <c r="F16" s="5" t="n"/>
      <c r="G16" s="5" t="n"/>
      <c r="H16" s="5" t="n"/>
      <c r="I16" s="5" t="n"/>
      <c r="J16" s="7">
        <f>IF(AND(N(F16)&gt;0,N(I16)&gt;0),I16-F16-IF(N(G16)&gt;0,0.5,0)-IF(N(H16)&gt;0,0.5,0),0)</f>
        <v/>
      </c>
      <c r="K16" s="5" t="n"/>
      <c r="L16" s="7">
        <f>MIN(J16,8.0)</f>
        <v/>
      </c>
      <c r="M16" s="7">
        <f>MAX(0,MIN(J16,12)-8.0)</f>
        <v/>
      </c>
      <c r="N16" s="7">
        <f>MAX(0,J16-12)</f>
        <v/>
      </c>
      <c r="O16" s="5" t="n"/>
      <c r="P16" s="6">
        <f>E16*(L16+M16*1.5+N16*2+O16*3+N(K16))</f>
        <v/>
      </c>
      <c r="Q16" s="6" t="n">
        <v>1211.8</v>
      </c>
      <c r="R16" s="6">
        <f>Q16-P16</f>
        <v/>
      </c>
    </row>
    <row r="17">
      <c r="A17" s="5" t="inlineStr">
        <is>
          <t>1403</t>
        </is>
      </c>
      <c r="B17" s="5" t="inlineStr">
        <is>
          <t>Patrica Velasquez</t>
        </is>
      </c>
      <c r="C17" s="5" t="inlineStr">
        <is>
          <t>"PATRICIA"</t>
        </is>
      </c>
      <c r="D17" s="5" t="inlineStr"/>
      <c r="E17" s="6" t="n">
        <v>1972</v>
      </c>
      <c r="F17" s="5" t="n"/>
      <c r="G17" s="5" t="n"/>
      <c r="H17" s="5" t="n"/>
      <c r="I17" s="5" t="n"/>
      <c r="J17" s="7">
        <f>IF(AND(N(F17)&gt;0,N(I17)&gt;0),I17-F17-IF(N(G17)&gt;0,0.5,0)-IF(N(H17)&gt;0,0.5,0),0)</f>
        <v/>
      </c>
      <c r="K17" s="5" t="n"/>
      <c r="L17" s="7">
        <f>MIN(J17,8.0)</f>
        <v/>
      </c>
      <c r="M17" s="7">
        <f>MAX(0,MIN(J17,12)-8.0)</f>
        <v/>
      </c>
      <c r="N17" s="7">
        <f>MAX(0,J17-12)</f>
        <v/>
      </c>
      <c r="O17" s="5" t="n"/>
      <c r="P17" s="6">
        <f>E17*(L17+M17*1.5+N17*2+O17*3+N(K17))</f>
        <v/>
      </c>
      <c r="Q17" s="6" t="n">
        <v>1972</v>
      </c>
      <c r="R17" s="6">
        <f>Q17-P17</f>
        <v/>
      </c>
    </row>
    <row r="18">
      <c r="P18" s="2" t="inlineStr">
        <is>
          <t>OTHERLEADCAST LABOR</t>
        </is>
      </c>
      <c r="R18" s="8">
        <f>SUM(R15:R17)</f>
        <v/>
      </c>
    </row>
    <row r="20">
      <c r="B20" s="2" t="inlineStr">
        <is>
          <t>SUPPORTINGCAST</t>
        </is>
      </c>
    </row>
    <row r="21">
      <c r="A21" s="5" t="inlineStr">
        <is>
          <t>1404</t>
        </is>
      </c>
      <c r="B21" s="5" t="inlineStr">
        <is>
          <t>Sean Patrick Thomas</t>
        </is>
      </c>
      <c r="C21" s="5" t="inlineStr">
        <is>
          <t>DETCOOPER</t>
        </is>
      </c>
      <c r="D21" s="5" t="inlineStr"/>
      <c r="E21" s="6" t="n">
        <v>1211.8</v>
      </c>
      <c r="F21" s="5" t="n"/>
      <c r="G21" s="5" t="n"/>
      <c r="H21" s="5" t="n"/>
      <c r="I21" s="5" t="n"/>
      <c r="J21" s="7">
        <f>IF(AND(N(F21)&gt;0,N(I21)&gt;0),I21-F21-IF(N(G21)&gt;0,0.5,0)-IF(N(H21)&gt;0,0.5,0),0)</f>
        <v/>
      </c>
      <c r="K21" s="5" t="n"/>
      <c r="L21" s="7">
        <f>MIN(J21,8.0)</f>
        <v/>
      </c>
      <c r="M21" s="7">
        <f>MAX(0,MIN(J21,12)-8.0)</f>
        <v/>
      </c>
      <c r="N21" s="7">
        <f>MAX(0,J21-12)</f>
        <v/>
      </c>
      <c r="O21" s="5" t="n"/>
      <c r="P21" s="6">
        <f>E21*(L21+M21*1.5+N21*2+O21*3+N(K21))</f>
        <v/>
      </c>
      <c r="Q21" s="6" t="n">
        <v>1211.8</v>
      </c>
      <c r="R21" s="6">
        <f>Q21-P21</f>
        <v/>
      </c>
    </row>
    <row r="22">
      <c r="A22" s="5" t="inlineStr">
        <is>
          <t>1404</t>
        </is>
      </c>
      <c r="B22" s="5" t="inlineStr">
        <is>
          <t>Tony Amendola</t>
        </is>
      </c>
      <c r="C22" s="5" t="inlineStr">
        <is>
          <t>"FATHERPEREZ"</t>
        </is>
      </c>
      <c r="D22" s="5" t="inlineStr"/>
      <c r="E22" s="6" t="n">
        <v>1972</v>
      </c>
      <c r="F22" s="5" t="n"/>
      <c r="G22" s="5" t="n"/>
      <c r="H22" s="5" t="n"/>
      <c r="I22" s="5" t="n"/>
      <c r="J22" s="7">
        <f>IF(AND(N(F22)&gt;0,N(I22)&gt;0),I22-F22-IF(N(G22)&gt;0,0.5,0)-IF(N(H22)&gt;0,0.5,0),0)</f>
        <v/>
      </c>
      <c r="K22" s="5" t="n"/>
      <c r="L22" s="7">
        <f>MIN(J22,8.0)</f>
        <v/>
      </c>
      <c r="M22" s="7">
        <f>MAX(0,MIN(J22,12)-8.0)</f>
        <v/>
      </c>
      <c r="N22" s="7">
        <f>MAX(0,J22-12)</f>
        <v/>
      </c>
      <c r="O22" s="5" t="n"/>
      <c r="P22" s="6">
        <f>E22*(L22+M22*1.5+N22*2+O22*3+N(K22))</f>
        <v/>
      </c>
      <c r="Q22" s="6" t="n">
        <v>1972</v>
      </c>
      <c r="R22" s="6">
        <f>Q22-P22</f>
        <v/>
      </c>
    </row>
    <row r="23">
      <c r="P23" s="2" t="inlineStr">
        <is>
          <t>SUPPORTINGCAST LABOR</t>
        </is>
      </c>
      <c r="R23" s="8">
        <f>SUM(R21:R22)</f>
        <v/>
      </c>
    </row>
    <row r="25">
      <c r="B25" s="2" t="inlineStr">
        <is>
          <t>DAYPLAYERS</t>
        </is>
      </c>
    </row>
    <row r="26">
      <c r="A26" s="5" t="inlineStr">
        <is>
          <t>1405</t>
        </is>
      </c>
      <c r="B26" s="5" t="inlineStr">
        <is>
          <t>Kristy Keng(Drop/Pickup)</t>
        </is>
      </c>
      <c r="C26" s="5" t="inlineStr">
        <is>
          <t>"DONNA"</t>
        </is>
      </c>
      <c r="D26" s="5" t="inlineStr"/>
      <c r="E26" s="6" t="n">
        <v>1972</v>
      </c>
      <c r="F26" s="5" t="n"/>
      <c r="G26" s="5" t="n"/>
      <c r="H26" s="5" t="n"/>
      <c r="I26" s="5" t="n"/>
      <c r="J26" s="7">
        <f>IF(AND(N(F26)&gt;0,N(I26)&gt;0),I26-F26-IF(N(G26)&gt;0,0.5,0)-IF(N(H26)&gt;0,0.5,0),0)</f>
        <v/>
      </c>
      <c r="K26" s="5" t="n"/>
      <c r="L26" s="7">
        <f>MIN(J26,8.0)</f>
        <v/>
      </c>
      <c r="M26" s="7">
        <f>MAX(0,MIN(J26,12)-8.0)</f>
        <v/>
      </c>
      <c r="N26" s="7">
        <f>MAX(0,J26-12)</f>
        <v/>
      </c>
      <c r="O26" s="5" t="n"/>
      <c r="P26" s="6">
        <f>E26*(L26+M26*1.5+N26*2+O26*3+N(K26))</f>
        <v/>
      </c>
      <c r="Q26" s="6" t="n">
        <v>1972</v>
      </c>
      <c r="R26" s="6">
        <f>Q26-P26</f>
        <v/>
      </c>
    </row>
    <row r="27">
      <c r="A27" s="5" t="inlineStr">
        <is>
          <t>1405</t>
        </is>
      </c>
      <c r="B27" s="5" t="inlineStr">
        <is>
          <t>Oliver Alexander</t>
        </is>
      </c>
      <c r="C27" s="5" t="inlineStr">
        <is>
          <t>"CARLOS"(Minor)</t>
        </is>
      </c>
      <c r="D27" s="5" t="inlineStr"/>
      <c r="E27" s="6" t="n">
        <v>1249</v>
      </c>
      <c r="F27" s="5" t="n"/>
      <c r="G27" s="5" t="n"/>
      <c r="H27" s="5" t="n"/>
      <c r="I27" s="5" t="n"/>
      <c r="J27" s="7">
        <f>IF(AND(N(F27)&gt;0,N(I27)&gt;0),I27-F27-IF(N(G27)&gt;0,0.5,0)-IF(N(H27)&gt;0,0.5,0),0)</f>
        <v/>
      </c>
      <c r="K27" s="5" t="n"/>
      <c r="L27" s="7">
        <f>MIN(J27,8.0)</f>
        <v/>
      </c>
      <c r="M27" s="7">
        <f>MAX(0,MIN(J27,12)-8.0)</f>
        <v/>
      </c>
      <c r="N27" s="7">
        <f>MAX(0,J27-12)</f>
        <v/>
      </c>
      <c r="O27" s="5" t="n"/>
      <c r="P27" s="6">
        <f>E27*(L27+M27*1.5+N27*2+O27*3+N(K27))</f>
        <v/>
      </c>
      <c r="Q27" s="6" t="n">
        <v>1249</v>
      </c>
      <c r="R27" s="6">
        <f>Q27-P27</f>
        <v/>
      </c>
    </row>
    <row r="28">
      <c r="A28" s="5" t="inlineStr">
        <is>
          <t>1405</t>
        </is>
      </c>
      <c r="B28" s="5" t="inlineStr">
        <is>
          <t>Adam Lewandowski</t>
        </is>
      </c>
      <c r="C28" s="5" t="inlineStr">
        <is>
          <t>"TOMAS"(Minor)</t>
        </is>
      </c>
      <c r="D28" s="5" t="inlineStr"/>
      <c r="E28" s="6" t="n">
        <v>1249</v>
      </c>
      <c r="F28" s="5" t="n"/>
      <c r="G28" s="5" t="n"/>
      <c r="H28" s="5" t="n"/>
      <c r="I28" s="5" t="n"/>
      <c r="J28" s="7">
        <f>IF(AND(N(F28)&gt;0,N(I28)&gt;0),I28-F28-IF(N(G28)&gt;0,0.5,0)-IF(N(H28)&gt;0,0.5,0),0)</f>
        <v/>
      </c>
      <c r="K28" s="5" t="n"/>
      <c r="L28" s="7">
        <f>MIN(J28,8.0)</f>
        <v/>
      </c>
      <c r="M28" s="7">
        <f>MAX(0,MIN(J28,12)-8.0)</f>
        <v/>
      </c>
      <c r="N28" s="7">
        <f>MAX(0,J28-12)</f>
        <v/>
      </c>
      <c r="O28" s="5" t="n"/>
      <c r="P28" s="6">
        <f>E28*(L28+M28*1.5+N28*2+O28*3+N(K28))</f>
        <v/>
      </c>
      <c r="Q28" s="6" t="n">
        <v>1249</v>
      </c>
      <c r="R28" s="6">
        <f>Q28-P28</f>
        <v/>
      </c>
    </row>
    <row r="29">
      <c r="A29" s="5" t="inlineStr">
        <is>
          <t>1405</t>
        </is>
      </c>
      <c r="B29" s="5" t="inlineStr">
        <is>
          <t>Paul Rodriquez Jr.</t>
        </is>
      </c>
      <c r="C29" s="5" t="inlineStr">
        <is>
          <t>"OFFICERCLARO"</t>
        </is>
      </c>
      <c r="D29" s="5" t="inlineStr"/>
      <c r="E29" s="6" t="n">
        <v>1972</v>
      </c>
      <c r="F29" s="5" t="n"/>
      <c r="G29" s="5" t="n"/>
      <c r="H29" s="5" t="n"/>
      <c r="I29" s="5" t="n"/>
      <c r="J29" s="7">
        <f>IF(AND(N(F29)&gt;0,N(I29)&gt;0),I29-F29-IF(N(G29)&gt;0,0.5,0)-IF(N(H29)&gt;0,0.5,0),0)</f>
        <v/>
      </c>
      <c r="K29" s="5" t="n"/>
      <c r="L29" s="7">
        <f>MIN(J29,8.0)</f>
        <v/>
      </c>
      <c r="M29" s="7">
        <f>MAX(0,MIN(J29,12)-8.0)</f>
        <v/>
      </c>
      <c r="N29" s="7">
        <f>MAX(0,J29-12)</f>
        <v/>
      </c>
      <c r="O29" s="5" t="n"/>
      <c r="P29" s="6">
        <f>E29*(L29+M29*1.5+N29*2+O29*3+N(K29))</f>
        <v/>
      </c>
      <c r="Q29" s="6" t="n">
        <v>1972</v>
      </c>
      <c r="R29" s="6">
        <f>Q29-P29</f>
        <v/>
      </c>
    </row>
    <row r="30">
      <c r="A30" s="5" t="inlineStr">
        <is>
          <t>1405</t>
        </is>
      </c>
      <c r="B30" s="5" t="inlineStr">
        <is>
          <t>Sophia Santi</t>
        </is>
      </c>
      <c r="C30" s="5" t="inlineStr">
        <is>
          <t>"FEMALECUSTOMER"</t>
        </is>
      </c>
      <c r="D30" s="5" t="inlineStr"/>
      <c r="E30" s="6" t="n">
        <v>1972</v>
      </c>
      <c r="F30" s="5" t="n"/>
      <c r="G30" s="5" t="n"/>
      <c r="H30" s="5" t="n"/>
      <c r="I30" s="5" t="n"/>
      <c r="J30" s="7">
        <f>IF(AND(N(F30)&gt;0,N(I30)&gt;0),I30-F30-IF(N(G30)&gt;0,0.5,0)-IF(N(H30)&gt;0,0.5,0),0)</f>
        <v/>
      </c>
      <c r="K30" s="5" t="n"/>
      <c r="L30" s="7">
        <f>MIN(J30,8.0)</f>
        <v/>
      </c>
      <c r="M30" s="7">
        <f>MAX(0,MIN(J30,12)-8.0)</f>
        <v/>
      </c>
      <c r="N30" s="7">
        <f>MAX(0,J30-12)</f>
        <v/>
      </c>
      <c r="O30" s="5" t="n"/>
      <c r="P30" s="6">
        <f>E30*(L30+M30*1.5+N30*2+O30*3+N(K30))</f>
        <v/>
      </c>
      <c r="Q30" s="6" t="n">
        <v>1972</v>
      </c>
      <c r="R30" s="6">
        <f>Q30-P30</f>
        <v/>
      </c>
    </row>
    <row r="31">
      <c r="A31" s="5" t="inlineStr">
        <is>
          <t>1405</t>
        </is>
      </c>
      <c r="B31" s="5" t="inlineStr">
        <is>
          <t>John Marshall Jones</t>
        </is>
      </c>
      <c r="C31" s="5" t="inlineStr">
        <is>
          <t>"MRHANKINS"</t>
        </is>
      </c>
      <c r="D31" s="5" t="inlineStr"/>
      <c r="E31" s="6" t="n">
        <v>1972</v>
      </c>
      <c r="F31" s="5" t="n"/>
      <c r="G31" s="5" t="n"/>
      <c r="H31" s="5" t="n"/>
      <c r="I31" s="5" t="n"/>
      <c r="J31" s="7">
        <f>IF(AND(N(F31)&gt;0,N(I31)&gt;0),I31-F31-IF(N(G31)&gt;0,0.5,0)-IF(N(H31)&gt;0,0.5,0),0)</f>
        <v/>
      </c>
      <c r="K31" s="5" t="n"/>
      <c r="L31" s="7">
        <f>MIN(J31,8.0)</f>
        <v/>
      </c>
      <c r="M31" s="7">
        <f>MAX(0,MIN(J31,12)-8.0)</f>
        <v/>
      </c>
      <c r="N31" s="7">
        <f>MAX(0,J31-12)</f>
        <v/>
      </c>
      <c r="O31" s="5" t="n"/>
      <c r="P31" s="6">
        <f>E31*(L31+M31*1.5+N31*2+O31*3+N(K31))</f>
        <v/>
      </c>
      <c r="Q31" s="6" t="n">
        <v>1972</v>
      </c>
      <c r="R31" s="6">
        <f>Q31-P31</f>
        <v/>
      </c>
    </row>
    <row r="32">
      <c r="A32" s="5" t="inlineStr">
        <is>
          <t>1405</t>
        </is>
      </c>
      <c r="B32" s="5" t="inlineStr">
        <is>
          <t>Madeleine Mcgraw</t>
        </is>
      </c>
      <c r="C32" s="5" t="inlineStr">
        <is>
          <t>"APRIL"(Minor)</t>
        </is>
      </c>
      <c r="D32" s="5" t="inlineStr"/>
      <c r="E32" s="6" t="n">
        <v>1249</v>
      </c>
      <c r="F32" s="5" t="n"/>
      <c r="G32" s="5" t="n"/>
      <c r="H32" s="5" t="n"/>
      <c r="I32" s="5" t="n"/>
      <c r="J32" s="7">
        <f>IF(AND(N(F32)&gt;0,N(I32)&gt;0),I32-F32-IF(N(G32)&gt;0,0.5,0)-IF(N(H32)&gt;0,0.5,0),0)</f>
        <v/>
      </c>
      <c r="K32" s="5" t="n"/>
      <c r="L32" s="7">
        <f>MIN(J32,8.0)</f>
        <v/>
      </c>
      <c r="M32" s="7">
        <f>MAX(0,MIN(J32,12)-8.0)</f>
        <v/>
      </c>
      <c r="N32" s="7">
        <f>MAX(0,J32-12)</f>
        <v/>
      </c>
      <c r="O32" s="5" t="n"/>
      <c r="P32" s="6">
        <f>E32*(L32+M32*1.5+N32*2+O32*3+N(K32))</f>
        <v/>
      </c>
      <c r="Q32" s="6" t="n">
        <v>1249</v>
      </c>
      <c r="R32" s="6">
        <f>Q32-P32</f>
        <v/>
      </c>
    </row>
    <row r="33">
      <c r="P33" s="2" t="inlineStr">
        <is>
          <t>DAYPLAYERS LABOR</t>
        </is>
      </c>
      <c r="R33" s="8">
        <f>SUM(R26:R32)</f>
        <v/>
      </c>
    </row>
    <row r="35">
      <c r="B35" s="2" t="inlineStr">
        <is>
          <t>STUNTCOORD</t>
        </is>
      </c>
    </row>
    <row r="36">
      <c r="A36" s="5" t="inlineStr">
        <is>
          <t>1406</t>
        </is>
      </c>
      <c r="B36" s="5" t="inlineStr">
        <is>
          <t>Rob King</t>
        </is>
      </c>
      <c r="C36" s="5" t="inlineStr">
        <is>
          <t>STUNTCOORDINATOR</t>
        </is>
      </c>
      <c r="D36" s="5" t="inlineStr"/>
      <c r="E36" s="6" t="n">
        <v>1173</v>
      </c>
      <c r="F36" s="5" t="n"/>
      <c r="G36" s="5" t="n"/>
      <c r="H36" s="5" t="n"/>
      <c r="I36" s="5" t="n"/>
      <c r="J36" s="7">
        <f>IF(AND(N(F36)&gt;0,N(I36)&gt;0),I36-F36-IF(N(G36)&gt;0,0.5,0)-IF(N(H36)&gt;0,0.5,0),0)</f>
        <v/>
      </c>
      <c r="K36" s="5" t="n"/>
      <c r="L36" s="7">
        <f>MIN(J36,8.0)</f>
        <v/>
      </c>
      <c r="M36" s="7">
        <f>MAX(0,MIN(J36,12)-8.0)</f>
        <v/>
      </c>
      <c r="N36" s="7">
        <f>MAX(0,J36-12)</f>
        <v/>
      </c>
      <c r="O36" s="5" t="n"/>
      <c r="P36" s="6">
        <f>E36*(L36+M36*1.5+N36*2+O36*3+N(K36))</f>
        <v/>
      </c>
      <c r="Q36" s="6" t="n">
        <v>1173</v>
      </c>
      <c r="R36" s="6">
        <f>Q36-P36</f>
        <v/>
      </c>
    </row>
    <row r="37">
      <c r="P37" s="2" t="inlineStr">
        <is>
          <t>STUNTCOORD LABOR</t>
        </is>
      </c>
      <c r="R37" s="8">
        <f>SUM(R36:R36)</f>
        <v/>
      </c>
    </row>
    <row r="39">
      <c r="B39" s="2" t="inlineStr">
        <is>
          <t>TEACHER/WELFAREWORKER</t>
        </is>
      </c>
    </row>
    <row r="40">
      <c r="A40" s="5" t="inlineStr">
        <is>
          <t>1412</t>
        </is>
      </c>
      <c r="B40" s="5" t="inlineStr"/>
      <c r="C40" s="5" t="inlineStr">
        <is>
          <t>WELFAREWORKER</t>
        </is>
      </c>
      <c r="D40" s="5" t="inlineStr">
        <is>
          <t>Local884</t>
        </is>
      </c>
      <c r="E40" s="6" t="n">
        <v>25.5</v>
      </c>
      <c r="F40" s="5" t="n"/>
      <c r="G40" s="5" t="n"/>
      <c r="H40" s="5" t="n"/>
      <c r="I40" s="5" t="n"/>
      <c r="J40" s="7">
        <f>IF(AND(N(F40)&gt;0,N(I40)&gt;0),I40-F40-IF(N(G40)&gt;0,0.5,0)-IF(N(H40)&gt;0,0.5,0),0)</f>
        <v/>
      </c>
      <c r="K40" s="5" t="n"/>
      <c r="L40" s="7">
        <f>MIN(J40,8.0)</f>
        <v/>
      </c>
      <c r="M40" s="7">
        <f>MAX(0,MIN(J40,12)-8.0)</f>
        <v/>
      </c>
      <c r="N40" s="7">
        <f>MAX(0,J40-12)</f>
        <v/>
      </c>
      <c r="O40" s="5" t="n"/>
      <c r="P40" s="6">
        <f>E40*(L40+M40*1.5+N40*2+O40*3+N(K40))</f>
        <v/>
      </c>
      <c r="Q40" s="6" t="n">
        <v>280.5</v>
      </c>
      <c r="R40" s="6">
        <f>Q40-P40</f>
        <v/>
      </c>
    </row>
    <row r="41">
      <c r="A41" s="5" t="inlineStr">
        <is>
          <t>1412</t>
        </is>
      </c>
      <c r="B41" s="5" t="inlineStr"/>
      <c r="C41" s="5" t="inlineStr">
        <is>
          <t>ADDLWELFAREWORKER</t>
        </is>
      </c>
      <c r="D41" s="5" t="inlineStr">
        <is>
          <t>Local884</t>
        </is>
      </c>
      <c r="E41" s="6" t="n">
        <v>25.5</v>
      </c>
      <c r="F41" s="5" t="n"/>
      <c r="G41" s="5" t="n"/>
      <c r="H41" s="5" t="n"/>
      <c r="I41" s="5" t="n"/>
      <c r="J41" s="7">
        <f>IF(AND(N(F41)&gt;0,N(I41)&gt;0),I41-F41-IF(N(G41)&gt;0,0.5,0)-IF(N(H41)&gt;0,0.5,0),0)</f>
        <v/>
      </c>
      <c r="K41" s="5" t="n"/>
      <c r="L41" s="7">
        <f>MIN(J41,8.0)</f>
        <v/>
      </c>
      <c r="M41" s="7">
        <f>MAX(0,MIN(J41,12)-8.0)</f>
        <v/>
      </c>
      <c r="N41" s="7">
        <f>MAX(0,J41-12)</f>
        <v/>
      </c>
      <c r="O41" s="5" t="n"/>
      <c r="P41" s="6">
        <f>E41*(L41+M41*1.5+N41*2+O41*3+N(K41))</f>
        <v/>
      </c>
      <c r="Q41" s="6" t="n">
        <v>280.5</v>
      </c>
      <c r="R41" s="6">
        <f>Q41-P41</f>
        <v/>
      </c>
    </row>
    <row r="42">
      <c r="P42" s="2" t="inlineStr">
        <is>
          <t>TEACHER/WELFAREWORKER LABOR</t>
        </is>
      </c>
      <c r="R42" s="8">
        <f>SUM(R40:R41)</f>
        <v/>
      </c>
    </row>
    <row r="44">
      <c r="B44" s="2" t="inlineStr">
        <is>
          <t>CASTINGDIRECTORS</t>
        </is>
      </c>
    </row>
    <row r="45">
      <c r="A45" s="5" t="inlineStr">
        <is>
          <t>1413</t>
        </is>
      </c>
      <c r="B45" s="5" t="inlineStr">
        <is>
          <t>Rich Delia</t>
        </is>
      </c>
      <c r="C45" s="5" t="inlineStr">
        <is>
          <t>CASTINGDIRECTOR</t>
        </is>
      </c>
      <c r="D45" s="5" t="inlineStr"/>
      <c r="E45" s="6" t="n">
        <v>600</v>
      </c>
      <c r="F45" s="5" t="n"/>
      <c r="G45" s="5" t="n"/>
      <c r="H45" s="5" t="n"/>
      <c r="I45" s="5" t="n"/>
      <c r="J45" s="7">
        <f>IF(AND(N(F45)&gt;0,N(I45)&gt;0),I45-F45-IF(N(G45)&gt;0,0.5,0)-IF(N(H45)&gt;0,0.5,0),0)</f>
        <v/>
      </c>
      <c r="K45" s="5" t="n"/>
      <c r="L45" s="7">
        <f>MIN(J45,8.0)</f>
        <v/>
      </c>
      <c r="M45" s="7">
        <f>MAX(0,MIN(J45,12)-8.0)</f>
        <v/>
      </c>
      <c r="N45" s="7">
        <f>MAX(0,J45-12)</f>
        <v/>
      </c>
      <c r="O45" s="5" t="n"/>
      <c r="P45" s="6">
        <f>E45*(L45+M45*1.5+N45*2+O45*3+N(K45))</f>
        <v/>
      </c>
      <c r="Q45" s="5" t="n"/>
      <c r="R45" s="6">
        <f>Q45-P45</f>
        <v/>
      </c>
    </row>
    <row r="46">
      <c r="P46" s="2" t="inlineStr">
        <is>
          <t>CASTINGDIRECTORS LABOR</t>
        </is>
      </c>
      <c r="R46" s="8">
        <f>SUM(R45:R45)</f>
        <v/>
      </c>
    </row>
    <row r="48">
      <c r="B48" s="2" t="inlineStr">
        <is>
          <t>CASTINGASSOCIATES/ASSISTANTS</t>
        </is>
      </c>
    </row>
    <row r="49">
      <c r="A49" s="5" t="inlineStr">
        <is>
          <t>1414</t>
        </is>
      </c>
      <c r="B49" s="5" t="inlineStr">
        <is>
          <t>Adam Richards</t>
        </is>
      </c>
      <c r="C49" s="5" t="inlineStr">
        <is>
          <t>CASTINGASSOCIATE</t>
        </is>
      </c>
      <c r="D49" s="5" t="inlineStr"/>
      <c r="E49" s="6" t="n">
        <v>200</v>
      </c>
      <c r="F49" s="5" t="n"/>
      <c r="G49" s="5" t="n"/>
      <c r="H49" s="5" t="n"/>
      <c r="I49" s="5" t="n"/>
      <c r="J49" s="7">
        <f>IF(AND(N(F49)&gt;0,N(I49)&gt;0),I49-F49-IF(N(G49)&gt;0,0.5,0)-IF(N(H49)&gt;0,0.5,0),0)</f>
        <v/>
      </c>
      <c r="K49" s="5" t="n"/>
      <c r="L49" s="7">
        <f>MIN(J49,8.0)</f>
        <v/>
      </c>
      <c r="M49" s="7">
        <f>MAX(0,MIN(J49,12)-8.0)</f>
        <v/>
      </c>
      <c r="N49" s="7">
        <f>MAX(0,J49-12)</f>
        <v/>
      </c>
      <c r="O49" s="5" t="n"/>
      <c r="P49" s="6">
        <f>E49*(L49+M49*1.5+N49*2+O49*3+N(K49))</f>
        <v/>
      </c>
      <c r="Q49" s="5" t="n"/>
      <c r="R49" s="6">
        <f>Q49-P49</f>
        <v/>
      </c>
    </row>
    <row r="50">
      <c r="P50" s="2" t="inlineStr">
        <is>
          <t>CASTINGASSOCIATES/ASSISTANTS LABOR</t>
        </is>
      </c>
      <c r="R50" s="8">
        <f>SUM(R49:R49)</f>
        <v/>
      </c>
    </row>
    <row r="52">
      <c r="B52" s="2" t="inlineStr">
        <is>
          <t>CASTDRIVERS/VEHICLES</t>
        </is>
      </c>
    </row>
    <row r="53">
      <c r="A53" s="5" t="inlineStr">
        <is>
          <t>1455</t>
        </is>
      </c>
      <c r="B53" s="5" t="inlineStr"/>
      <c r="C53" s="5" t="inlineStr">
        <is>
          <t>CAST 3-RMDRIVER</t>
        </is>
      </c>
      <c r="D53" s="5" t="inlineStr">
        <is>
          <t>Local399</t>
        </is>
      </c>
      <c r="E53" s="6" t="n">
        <v>32.36</v>
      </c>
      <c r="F53" s="5" t="n"/>
      <c r="G53" s="5" t="n"/>
      <c r="H53" s="5" t="n"/>
      <c r="I53" s="5" t="n"/>
      <c r="J53" s="7">
        <f>IF(AND(N(F53)&gt;0,N(I53)&gt;0),I53-F53-IF(N(G53)&gt;0,0.5,0)-IF(N(H53)&gt;0,0.5,0),0)</f>
        <v/>
      </c>
      <c r="K53" s="5" t="n"/>
      <c r="L53" s="7">
        <f>MIN(J53,8.0)</f>
        <v/>
      </c>
      <c r="M53" s="7">
        <f>MAX(0,MIN(J53,12)-8.0)</f>
        <v/>
      </c>
      <c r="N53" s="7">
        <f>MAX(0,J53-12)</f>
        <v/>
      </c>
      <c r="O53" s="5" t="n"/>
      <c r="P53" s="6">
        <f>E53*(L53+M53*1.5+N53*2+O53*3+N(K53))</f>
        <v/>
      </c>
      <c r="Q53" s="6" t="n">
        <v>501.58</v>
      </c>
      <c r="R53" s="6">
        <f>Q53-P53</f>
        <v/>
      </c>
    </row>
    <row r="54">
      <c r="A54" s="5" t="inlineStr">
        <is>
          <t>1455</t>
        </is>
      </c>
      <c r="B54" s="5" t="inlineStr"/>
      <c r="C54" s="5" t="inlineStr">
        <is>
          <t>CASTMINIVANDRIVER</t>
        </is>
      </c>
      <c r="D54" s="5" t="inlineStr">
        <is>
          <t>Local399</t>
        </is>
      </c>
      <c r="E54" s="6" t="n">
        <v>32.36</v>
      </c>
      <c r="F54" s="5" t="n"/>
      <c r="G54" s="5" t="n"/>
      <c r="H54" s="5" t="n"/>
      <c r="I54" s="5" t="n"/>
      <c r="J54" s="7">
        <f>IF(AND(N(F54)&gt;0,N(I54)&gt;0),I54-F54-IF(N(G54)&gt;0,0.5,0)-IF(N(H54)&gt;0,0.5,0),0)</f>
        <v/>
      </c>
      <c r="K54" s="5" t="n"/>
      <c r="L54" s="7">
        <f>MIN(J54,8.0)</f>
        <v/>
      </c>
      <c r="M54" s="7">
        <f>MAX(0,MIN(J54,12)-8.0)</f>
        <v/>
      </c>
      <c r="N54" s="7">
        <f>MAX(0,J54-12)</f>
        <v/>
      </c>
      <c r="O54" s="5" t="n"/>
      <c r="P54" s="6">
        <f>E54*(L54+M54*1.5+N54*2+O54*3+N(K54))</f>
        <v/>
      </c>
      <c r="Q54" s="6" t="n">
        <v>501.58</v>
      </c>
      <c r="R54" s="6">
        <f>Q54-P54</f>
        <v/>
      </c>
    </row>
    <row r="55">
      <c r="P55" s="2" t="inlineStr">
        <is>
          <t>CASTDRIVERS/VEHICLES LABOR</t>
        </is>
      </c>
      <c r="R55" s="8">
        <f>SUM(R53:R54)</f>
        <v/>
      </c>
    </row>
    <row r="57">
      <c r="B57" s="2" t="inlineStr">
        <is>
          <t>PRODUCTIONMANAGER</t>
        </is>
      </c>
    </row>
    <row r="58">
      <c r="A58" s="5" t="inlineStr">
        <is>
          <t>2001</t>
        </is>
      </c>
      <c r="B58" s="5" t="inlineStr">
        <is>
          <t>Carrie Morrow</t>
        </is>
      </c>
      <c r="C58" s="5" t="inlineStr">
        <is>
          <t>UPM</t>
        </is>
      </c>
      <c r="D58" s="5" t="inlineStr">
        <is>
          <t>DGA</t>
        </is>
      </c>
      <c r="E58" s="6" t="n">
        <v>1063.6</v>
      </c>
      <c r="F58" s="5" t="n"/>
      <c r="G58" s="5" t="n"/>
      <c r="H58" s="5" t="n"/>
      <c r="I58" s="5" t="n"/>
      <c r="J58" s="7">
        <f>IF(AND(N(F58)&gt;0,N(I58)&gt;0),I58-F58-IF(N(G58)&gt;0,0.5,0)-IF(N(H58)&gt;0,0.5,0),0)</f>
        <v/>
      </c>
      <c r="K58" s="5" t="n"/>
      <c r="L58" s="7">
        <f>MIN(J58,8.0)</f>
        <v/>
      </c>
      <c r="M58" s="7">
        <f>MAX(0,MIN(J58,12)-8.0)</f>
        <v/>
      </c>
      <c r="N58" s="7">
        <f>MAX(0,J58-12)</f>
        <v/>
      </c>
      <c r="O58" s="5" t="n"/>
      <c r="P58" s="6">
        <f>E58*(L58+M58*1.5+N58*2+O58*3+N(K58))</f>
        <v/>
      </c>
      <c r="Q58" s="6" t="n">
        <v>1063.6</v>
      </c>
      <c r="R58" s="6">
        <f>Q58-P58</f>
        <v/>
      </c>
    </row>
    <row r="59">
      <c r="P59" s="2" t="inlineStr">
        <is>
          <t>PRODUCTIONMANAGER LABOR</t>
        </is>
      </c>
      <c r="R59" s="8">
        <f>SUM(R58:R58)</f>
        <v/>
      </c>
    </row>
    <row r="61">
      <c r="B61" s="2" t="inlineStr">
        <is>
          <t>1STASSTDIRECTOR</t>
        </is>
      </c>
    </row>
    <row r="62">
      <c r="A62" s="5" t="inlineStr">
        <is>
          <t>2002</t>
        </is>
      </c>
      <c r="B62" s="5" t="inlineStr">
        <is>
          <t>James Moran</t>
        </is>
      </c>
      <c r="C62" s="5" t="inlineStr">
        <is>
          <t>1STASSTDIRECTOR</t>
        </is>
      </c>
      <c r="D62" s="5" t="inlineStr">
        <is>
          <t>DGA</t>
        </is>
      </c>
      <c r="E62" s="6" t="n">
        <v>985.6</v>
      </c>
      <c r="F62" s="5" t="n"/>
      <c r="G62" s="5" t="n"/>
      <c r="H62" s="5" t="n"/>
      <c r="I62" s="5" t="n"/>
      <c r="J62" s="7">
        <f>IF(AND(N(F62)&gt;0,N(I62)&gt;0),I62-F62-IF(N(G62)&gt;0,0.5,0)-IF(N(H62)&gt;0,0.5,0),0)</f>
        <v/>
      </c>
      <c r="K62" s="5" t="n"/>
      <c r="L62" s="7">
        <f>MIN(J62,8.0)</f>
        <v/>
      </c>
      <c r="M62" s="7">
        <f>MAX(0,MIN(J62,12)-8.0)</f>
        <v/>
      </c>
      <c r="N62" s="7">
        <f>MAX(0,J62-12)</f>
        <v/>
      </c>
      <c r="O62" s="5" t="n"/>
      <c r="P62" s="6">
        <f>E62*(L62+M62*1.5+N62*2+O62*3+N(K62))</f>
        <v/>
      </c>
      <c r="Q62" s="6" t="n">
        <v>985.6</v>
      </c>
      <c r="R62" s="6">
        <f>Q62-P62</f>
        <v/>
      </c>
    </row>
    <row r="63">
      <c r="P63" s="2" t="inlineStr">
        <is>
          <t>1STASSTDIRECTOR LABOR</t>
        </is>
      </c>
      <c r="R63" s="8">
        <f>SUM(R62:R62)</f>
        <v/>
      </c>
    </row>
    <row r="65">
      <c r="B65" s="2" t="inlineStr">
        <is>
          <t>2NDASSTDIRECTORS</t>
        </is>
      </c>
    </row>
    <row r="66">
      <c r="A66" s="5" t="inlineStr">
        <is>
          <t>2003</t>
        </is>
      </c>
      <c r="B66" s="5" t="inlineStr">
        <is>
          <t>Mark Newland</t>
        </is>
      </c>
      <c r="C66" s="5" t="inlineStr">
        <is>
          <t>KEY 2NDA. D.</t>
        </is>
      </c>
      <c r="D66" s="5" t="inlineStr">
        <is>
          <t>DGA</t>
        </is>
      </c>
      <c r="E66" s="6" t="n">
        <v>674.6</v>
      </c>
      <c r="F66" s="5" t="n"/>
      <c r="G66" s="5" t="n"/>
      <c r="H66" s="5" t="n"/>
      <c r="I66" s="5" t="n"/>
      <c r="J66" s="7">
        <f>IF(AND(N(F66)&gt;0,N(I66)&gt;0),I66-F66-IF(N(G66)&gt;0,0.5,0)-IF(N(H66)&gt;0,0.5,0),0)</f>
        <v/>
      </c>
      <c r="K66" s="5" t="n"/>
      <c r="L66" s="7">
        <f>MIN(J66,8.0)</f>
        <v/>
      </c>
      <c r="M66" s="7">
        <f>MAX(0,MIN(J66,12)-8.0)</f>
        <v/>
      </c>
      <c r="N66" s="7">
        <f>MAX(0,J66-12)</f>
        <v/>
      </c>
      <c r="O66" s="5" t="n"/>
      <c r="P66" s="6">
        <f>E66*(L66+M66*1.5+N66*2+O66*3+N(K66))</f>
        <v/>
      </c>
      <c r="Q66" s="6" t="n">
        <v>674.6</v>
      </c>
      <c r="R66" s="6">
        <f>Q66-P66</f>
        <v/>
      </c>
    </row>
    <row r="67">
      <c r="A67" s="5" t="inlineStr">
        <is>
          <t>2003</t>
        </is>
      </c>
      <c r="B67" s="5" t="inlineStr"/>
      <c r="C67" s="5" t="inlineStr">
        <is>
          <t>2ND 2NDA. D.</t>
        </is>
      </c>
      <c r="D67" s="5" t="inlineStr">
        <is>
          <t>DGA</t>
        </is>
      </c>
      <c r="E67" s="6" t="n">
        <v>526</v>
      </c>
      <c r="F67" s="5" t="n"/>
      <c r="G67" s="5" t="n"/>
      <c r="H67" s="5" t="n"/>
      <c r="I67" s="5" t="n"/>
      <c r="J67" s="7">
        <f>IF(AND(N(F67)&gt;0,N(I67)&gt;0),I67-F67-IF(N(G67)&gt;0,0.5,0)-IF(N(H67)&gt;0,0.5,0),0)</f>
        <v/>
      </c>
      <c r="K67" s="5" t="n"/>
      <c r="L67" s="7">
        <f>MIN(J67,8.0)</f>
        <v/>
      </c>
      <c r="M67" s="7">
        <f>MAX(0,MIN(J67,12)-8.0)</f>
        <v/>
      </c>
      <c r="N67" s="7">
        <f>MAX(0,J67-12)</f>
        <v/>
      </c>
      <c r="O67" s="5" t="n"/>
      <c r="P67" s="6">
        <f>E67*(L67+M67*1.5+N67*2+O67*3+N(K67))</f>
        <v/>
      </c>
      <c r="Q67" s="6" t="n">
        <v>526</v>
      </c>
      <c r="R67" s="6">
        <f>Q67-P67</f>
        <v/>
      </c>
    </row>
    <row r="68">
      <c r="P68" s="2" t="inlineStr">
        <is>
          <t>2NDASSTDIRECTORS LABOR</t>
        </is>
      </c>
      <c r="R68" s="8">
        <f>SUM(R66:R67)</f>
        <v/>
      </c>
    </row>
    <row r="70">
      <c r="B70" s="2" t="inlineStr">
        <is>
          <t>SCRIPTSUPERVISOR</t>
        </is>
      </c>
    </row>
    <row r="71">
      <c r="A71" s="5" t="inlineStr">
        <is>
          <t>2005</t>
        </is>
      </c>
      <c r="B71" s="5" t="inlineStr">
        <is>
          <t>Renata Amador</t>
        </is>
      </c>
      <c r="C71" s="5" t="inlineStr">
        <is>
          <t>SCRIPTSUPERVISOR</t>
        </is>
      </c>
      <c r="D71" s="5" t="inlineStr">
        <is>
          <t>Local871</t>
        </is>
      </c>
      <c r="E71" s="6" t="n">
        <v>25.5</v>
      </c>
      <c r="F71" s="5" t="n"/>
      <c r="G71" s="5" t="n"/>
      <c r="H71" s="5" t="n"/>
      <c r="I71" s="5" t="n"/>
      <c r="J71" s="7">
        <f>IF(AND(N(F71)&gt;0,N(I71)&gt;0),I71-F71-IF(N(G71)&gt;0,0.5,0)-IF(N(H71)&gt;0,0.5,0),0)</f>
        <v/>
      </c>
      <c r="K71" s="5" t="n"/>
      <c r="L71" s="7">
        <f>MIN(J71,10.0)</f>
        <v/>
      </c>
      <c r="M71" s="7">
        <f>MAX(0,MIN(J71,12)-10.0)</f>
        <v/>
      </c>
      <c r="N71" s="7">
        <f>MAX(0,J71-12)</f>
        <v/>
      </c>
      <c r="O71" s="5" t="n"/>
      <c r="P71" s="6">
        <f>E71*(L71+M71*1.5+N71*2+O71*3+N(K71))</f>
        <v/>
      </c>
      <c r="Q71" s="6" t="n">
        <v>439.87</v>
      </c>
      <c r="R71" s="6">
        <f>Q71-P71</f>
        <v/>
      </c>
    </row>
    <row r="72">
      <c r="P72" s="2" t="inlineStr">
        <is>
          <t>SCRIPTSUPERVISOR LABOR</t>
        </is>
      </c>
      <c r="R72" s="8">
        <f>SUM(R71:R71)</f>
        <v/>
      </c>
    </row>
    <row r="74">
      <c r="B74" s="2" t="inlineStr">
        <is>
          <t>LOCATIONMANAGERS</t>
        </is>
      </c>
    </row>
    <row r="75">
      <c r="A75" s="5" t="inlineStr">
        <is>
          <t>2007</t>
        </is>
      </c>
      <c r="B75" s="5" t="inlineStr">
        <is>
          <t>Stacey Brashear-Rodriquez</t>
        </is>
      </c>
      <c r="C75" s="5" t="inlineStr">
        <is>
          <t>LOCATIONMANAGER</t>
        </is>
      </c>
      <c r="D75" s="5" t="inlineStr">
        <is>
          <t>Local399</t>
        </is>
      </c>
      <c r="E75" s="6" t="n">
        <v>557.6</v>
      </c>
      <c r="F75" s="5" t="n"/>
      <c r="G75" s="5" t="n"/>
      <c r="H75" s="5" t="n"/>
      <c r="I75" s="5" t="n"/>
      <c r="J75" s="7">
        <f>IF(AND(N(F75)&gt;0,N(I75)&gt;0),I75-F75-IF(N(G75)&gt;0,0.5,0)-IF(N(H75)&gt;0,0.5,0),0)</f>
        <v/>
      </c>
      <c r="K75" s="5" t="n"/>
      <c r="L75" s="7">
        <f>MIN(J75,8.0)</f>
        <v/>
      </c>
      <c r="M75" s="7">
        <f>MAX(0,MIN(J75,12)-8.0)</f>
        <v/>
      </c>
      <c r="N75" s="7">
        <f>MAX(0,J75-12)</f>
        <v/>
      </c>
      <c r="O75" s="5" t="n"/>
      <c r="P75" s="6">
        <f>E75*(L75+M75*1.5+N75*2+O75*3+N(K75))</f>
        <v/>
      </c>
      <c r="Q75" s="6" t="n">
        <v>557.6</v>
      </c>
      <c r="R75" s="6">
        <f>Q75-P75</f>
        <v/>
      </c>
    </row>
    <row r="76">
      <c r="P76" s="2" t="inlineStr">
        <is>
          <t>LOCATIONMANAGERS LABOR</t>
        </is>
      </c>
      <c r="R76" s="8">
        <f>SUM(R75:R75)</f>
        <v/>
      </c>
    </row>
    <row r="78">
      <c r="B78" s="2" t="inlineStr">
        <is>
          <t>ASSISTANTLOCATIONMANAGERS</t>
        </is>
      </c>
    </row>
    <row r="79">
      <c r="A79" s="5" t="inlineStr">
        <is>
          <t>2008</t>
        </is>
      </c>
      <c r="B79" s="5" t="inlineStr">
        <is>
          <t>Rich Heichel</t>
        </is>
      </c>
      <c r="C79" s="5" t="inlineStr">
        <is>
          <t>KEYASSTLOCATIONMGR#1</t>
        </is>
      </c>
      <c r="D79" s="5" t="inlineStr">
        <is>
          <t>Local399</t>
        </is>
      </c>
      <c r="E79" s="6" t="n">
        <v>334.2</v>
      </c>
      <c r="F79" s="5" t="n"/>
      <c r="G79" s="5" t="n"/>
      <c r="H79" s="5" t="n"/>
      <c r="I79" s="5" t="n"/>
      <c r="J79" s="7">
        <f>IF(AND(N(F79)&gt;0,N(I79)&gt;0),I79-F79-IF(N(G79)&gt;0,0.5,0)-IF(N(H79)&gt;0,0.5,0),0)</f>
        <v/>
      </c>
      <c r="K79" s="5" t="n"/>
      <c r="L79" s="7">
        <f>MIN(J79,8.0)</f>
        <v/>
      </c>
      <c r="M79" s="7">
        <f>MAX(0,MIN(J79,12)-8.0)</f>
        <v/>
      </c>
      <c r="N79" s="7">
        <f>MAX(0,J79-12)</f>
        <v/>
      </c>
      <c r="O79" s="5" t="n"/>
      <c r="P79" s="6">
        <f>E79*(L79+M79*1.5+N79*2+O79*3+N(K79))</f>
        <v/>
      </c>
      <c r="Q79" s="6" t="n">
        <v>334.2</v>
      </c>
      <c r="R79" s="6">
        <f>Q79-P79</f>
        <v/>
      </c>
    </row>
    <row r="80">
      <c r="A80" s="5" t="inlineStr">
        <is>
          <t>2008</t>
        </is>
      </c>
      <c r="B80" s="5" t="inlineStr">
        <is>
          <t>Jason Mc Cauley</t>
        </is>
      </c>
      <c r="C80" s="5" t="inlineStr">
        <is>
          <t>LOCATIONASST</t>
        </is>
      </c>
      <c r="D80" s="5" t="inlineStr">
        <is>
          <t>Local399</t>
        </is>
      </c>
      <c r="E80" s="6" t="n">
        <v>229</v>
      </c>
      <c r="F80" s="5" t="n"/>
      <c r="G80" s="5" t="n"/>
      <c r="H80" s="5" t="n"/>
      <c r="I80" s="5" t="n"/>
      <c r="J80" s="7">
        <f>IF(AND(N(F80)&gt;0,N(I80)&gt;0),I80-F80-IF(N(G80)&gt;0,0.5,0)-IF(N(H80)&gt;0,0.5,0),0)</f>
        <v/>
      </c>
      <c r="K80" s="5" t="n"/>
      <c r="L80" s="7">
        <f>MIN(J80,8.0)</f>
        <v/>
      </c>
      <c r="M80" s="7">
        <f>MAX(0,MIN(J80,12)-8.0)</f>
        <v/>
      </c>
      <c r="N80" s="7">
        <f>MAX(0,J80-12)</f>
        <v/>
      </c>
      <c r="O80" s="5" t="n"/>
      <c r="P80" s="6">
        <f>E80*(L80+M80*1.5+N80*2+O80*3+N(K80))</f>
        <v/>
      </c>
      <c r="Q80" s="6" t="n">
        <v>229</v>
      </c>
      <c r="R80" s="6">
        <f>Q80-P80</f>
        <v/>
      </c>
    </row>
    <row r="81">
      <c r="P81" s="2" t="inlineStr">
        <is>
          <t>ASSISTANTLOCATIONMANAGERS LABOR</t>
        </is>
      </c>
      <c r="R81" s="8">
        <f>SUM(R79:R80)</f>
        <v/>
      </c>
    </row>
    <row r="83">
      <c r="B83" s="2" t="inlineStr">
        <is>
          <t>PRODUCTIONCOORDINATOR</t>
        </is>
      </c>
    </row>
    <row r="84">
      <c r="A84" s="5" t="inlineStr">
        <is>
          <t>2009</t>
        </is>
      </c>
      <c r="B84" s="5" t="inlineStr">
        <is>
          <t>Ali Griffith</t>
        </is>
      </c>
      <c r="C84" s="5" t="inlineStr">
        <is>
          <t>PRODUCTIONOFCCOORD</t>
        </is>
      </c>
      <c r="D84" s="5" t="inlineStr"/>
      <c r="E84" s="6" t="n">
        <v>360</v>
      </c>
      <c r="F84" s="5" t="n"/>
      <c r="G84" s="5" t="n"/>
      <c r="H84" s="5" t="n"/>
      <c r="I84" s="5" t="n"/>
      <c r="J84" s="7">
        <f>IF(AND(N(F84)&gt;0,N(I84)&gt;0),I84-F84-IF(N(G84)&gt;0,0.5,0)-IF(N(H84)&gt;0,0.5,0),0)</f>
        <v/>
      </c>
      <c r="K84" s="5" t="n"/>
      <c r="L84" s="7">
        <f>MIN(J84,8.0)</f>
        <v/>
      </c>
      <c r="M84" s="7">
        <f>MAX(0,MIN(J84,12)-8.0)</f>
        <v/>
      </c>
      <c r="N84" s="7">
        <f>MAX(0,J84-12)</f>
        <v/>
      </c>
      <c r="O84" s="5" t="n"/>
      <c r="P84" s="6">
        <f>E84*(L84+M84*1.5+N84*2+O84*3+N(K84))</f>
        <v/>
      </c>
      <c r="Q84" s="6" t="n">
        <v>360</v>
      </c>
      <c r="R84" s="6">
        <f>Q84-P84</f>
        <v/>
      </c>
    </row>
    <row r="85">
      <c r="P85" s="2" t="inlineStr">
        <is>
          <t>PRODUCTIONCOORDINATOR LABOR</t>
        </is>
      </c>
      <c r="R85" s="8">
        <f>SUM(R84:R84)</f>
        <v/>
      </c>
    </row>
    <row r="87">
      <c r="B87" s="2" t="inlineStr">
        <is>
          <t>ASSTPRODUCTIONCOORDINATOR</t>
        </is>
      </c>
    </row>
    <row r="88">
      <c r="A88" s="5" t="inlineStr">
        <is>
          <t>2010</t>
        </is>
      </c>
      <c r="B88" s="5" t="inlineStr">
        <is>
          <t>Holly Dellocono</t>
        </is>
      </c>
      <c r="C88" s="5" t="inlineStr">
        <is>
          <t>APOC</t>
        </is>
      </c>
      <c r="D88" s="5" t="inlineStr">
        <is>
          <t>Local871</t>
        </is>
      </c>
      <c r="E88" s="6" t="n">
        <v>20.57</v>
      </c>
      <c r="F88" s="5" t="n"/>
      <c r="G88" s="5" t="n"/>
      <c r="H88" s="5" t="n"/>
      <c r="I88" s="5" t="n"/>
      <c r="J88" s="7">
        <f>IF(AND(N(F88)&gt;0,N(I88)&gt;0),I88-F88-IF(N(G88)&gt;0,0.5,0)-IF(N(H88)&gt;0,0.5,0),0)</f>
        <v/>
      </c>
      <c r="K88" s="5" t="n"/>
      <c r="L88" s="7">
        <f>MIN(J88,10.0)</f>
        <v/>
      </c>
      <c r="M88" s="7">
        <f>MAX(0,MIN(J88,12)-10.0)</f>
        <v/>
      </c>
      <c r="N88" s="7">
        <f>MAX(0,J88-12)</f>
        <v/>
      </c>
      <c r="O88" s="5" t="n"/>
      <c r="P88" s="6">
        <f>E88*(L88+M88*1.5+N88*2+O88*3+N(K88))</f>
        <v/>
      </c>
      <c r="Q88" s="6" t="n">
        <v>287.98</v>
      </c>
      <c r="R88" s="6">
        <f>Q88-P88</f>
        <v/>
      </c>
    </row>
    <row r="89">
      <c r="P89" s="2" t="inlineStr">
        <is>
          <t>ASSTPRODUCTIONCOORDINATOR LABOR</t>
        </is>
      </c>
      <c r="R89" s="8">
        <f>SUM(R88:R88)</f>
        <v/>
      </c>
    </row>
    <row r="91">
      <c r="B91" s="2" t="inlineStr">
        <is>
          <t>OFFICESTAFFASSISTANTS</t>
        </is>
      </c>
    </row>
    <row r="92">
      <c r="A92" s="5" t="inlineStr">
        <is>
          <t>2011</t>
        </is>
      </c>
      <c r="B92" s="5" t="inlineStr">
        <is>
          <t>John Humber</t>
        </is>
      </c>
      <c r="C92" s="5" t="inlineStr">
        <is>
          <t>OFFICEPA#1</t>
        </is>
      </c>
      <c r="D92" s="5" t="inlineStr"/>
      <c r="E92" s="6" t="n">
        <v>22.5</v>
      </c>
      <c r="F92" s="5" t="n"/>
      <c r="G92" s="5" t="n"/>
      <c r="H92" s="5" t="n"/>
      <c r="I92" s="5" t="n"/>
      <c r="J92" s="7">
        <f>IF(AND(N(F92)&gt;0,N(I92)&gt;0),I92-F92-IF(N(G92)&gt;0,0.5,0)-IF(N(H92)&gt;0,0.5,0),0)</f>
        <v/>
      </c>
      <c r="K92" s="5" t="n"/>
      <c r="L92" s="7">
        <f>MIN(J92,8.0)</f>
        <v/>
      </c>
      <c r="M92" s="7">
        <f>MAX(0,MIN(J92,12)-8.0)</f>
        <v/>
      </c>
      <c r="N92" s="7">
        <f>MAX(0,J92-12)</f>
        <v/>
      </c>
      <c r="O92" s="5" t="n"/>
      <c r="P92" s="6">
        <f>E92*(L92+M92*1.5+N92*2+O92*3+N(K92))</f>
        <v/>
      </c>
      <c r="Q92" s="6" t="n">
        <v>168</v>
      </c>
      <c r="R92" s="6">
        <f>Q92-P92</f>
        <v/>
      </c>
    </row>
    <row r="93">
      <c r="A93" s="5" t="inlineStr">
        <is>
          <t>2011</t>
        </is>
      </c>
      <c r="B93" s="5" t="inlineStr">
        <is>
          <t>Sarah Semenas</t>
        </is>
      </c>
      <c r="C93" s="5" t="inlineStr">
        <is>
          <t>OFFICEPA#2</t>
        </is>
      </c>
      <c r="D93" s="5" t="inlineStr"/>
      <c r="E93" s="6" t="n">
        <v>22.5</v>
      </c>
      <c r="F93" s="5" t="n"/>
      <c r="G93" s="5" t="n"/>
      <c r="H93" s="5" t="n"/>
      <c r="I93" s="5" t="n"/>
      <c r="J93" s="7">
        <f>IF(AND(N(F93)&gt;0,N(I93)&gt;0),I93-F93-IF(N(G93)&gt;0,0.5,0)-IF(N(H93)&gt;0,0.5,0),0)</f>
        <v/>
      </c>
      <c r="K93" s="5" t="n"/>
      <c r="L93" s="7">
        <f>MIN(J93,8.0)</f>
        <v/>
      </c>
      <c r="M93" s="7">
        <f>MAX(0,MIN(J93,12)-8.0)</f>
        <v/>
      </c>
      <c r="N93" s="7">
        <f>MAX(0,J93-12)</f>
        <v/>
      </c>
      <c r="O93" s="5" t="n"/>
      <c r="P93" s="6">
        <f>E93*(L93+M93*1.5+N93*2+O93*3+N(K93))</f>
        <v/>
      </c>
      <c r="Q93" s="6" t="n">
        <v>168</v>
      </c>
      <c r="R93" s="6">
        <f>Q93-P93</f>
        <v/>
      </c>
    </row>
    <row r="94">
      <c r="P94" s="2" t="inlineStr">
        <is>
          <t>OFFICESTAFFASSISTANTS LABOR</t>
        </is>
      </c>
      <c r="R94" s="8">
        <f>SUM(R92:R93)</f>
        <v/>
      </c>
    </row>
    <row r="96">
      <c r="B96" s="2" t="inlineStr">
        <is>
          <t>SETSTAFFASSISTANTS</t>
        </is>
      </c>
    </row>
    <row r="97">
      <c r="A97" s="5" t="inlineStr">
        <is>
          <t>2012</t>
        </is>
      </c>
      <c r="B97" s="5" t="inlineStr">
        <is>
          <t>Paula Henry</t>
        </is>
      </c>
      <c r="C97" s="5" t="inlineStr">
        <is>
          <t>KEYSETPA</t>
        </is>
      </c>
      <c r="D97" s="5" t="inlineStr"/>
      <c r="E97" s="6" t="n">
        <v>12</v>
      </c>
      <c r="F97" s="5" t="n"/>
      <c r="G97" s="5" t="n"/>
      <c r="H97" s="5" t="n"/>
      <c r="I97" s="5" t="n"/>
      <c r="J97" s="7">
        <f>IF(AND(N(F97)&gt;0,N(I97)&gt;0),I97-F97-IF(N(G97)&gt;0,0.5,0)-IF(N(H97)&gt;0,0.5,0),0)</f>
        <v/>
      </c>
      <c r="K97" s="5" t="n"/>
      <c r="L97" s="7">
        <f>MIN(J97,8.0)</f>
        <v/>
      </c>
      <c r="M97" s="7">
        <f>MAX(0,MIN(J97,12)-8.0)</f>
        <v/>
      </c>
      <c r="N97" s="7">
        <f>MAX(0,J97-12)</f>
        <v/>
      </c>
      <c r="O97" s="5" t="n"/>
      <c r="P97" s="6">
        <f>E97*(L97+M97*1.5+N97*2+O97*3+N(K97))</f>
        <v/>
      </c>
      <c r="Q97" s="6" t="n">
        <v>216</v>
      </c>
      <c r="R97" s="6">
        <f>Q97-P97</f>
        <v/>
      </c>
    </row>
    <row r="98">
      <c r="A98" s="5" t="inlineStr">
        <is>
          <t>2012</t>
        </is>
      </c>
      <c r="B98" s="5" t="inlineStr"/>
      <c r="C98" s="5" t="inlineStr">
        <is>
          <t>SETPA#2</t>
        </is>
      </c>
      <c r="D98" s="5" t="inlineStr"/>
      <c r="E98" s="6" t="n">
        <v>12</v>
      </c>
      <c r="F98" s="5" t="n"/>
      <c r="G98" s="5" t="n"/>
      <c r="H98" s="5" t="n"/>
      <c r="I98" s="5" t="n"/>
      <c r="J98" s="7">
        <f>IF(AND(N(F98)&gt;0,N(I98)&gt;0),I98-F98-IF(N(G98)&gt;0,0.5,0)-IF(N(H98)&gt;0,0.5,0),0)</f>
        <v/>
      </c>
      <c r="K98" s="5" t="n"/>
      <c r="L98" s="7">
        <f>MIN(J98,8.0)</f>
        <v/>
      </c>
      <c r="M98" s="7">
        <f>MAX(0,MIN(J98,12)-8.0)</f>
        <v/>
      </c>
      <c r="N98" s="7">
        <f>MAX(0,J98-12)</f>
        <v/>
      </c>
      <c r="O98" s="5" t="n"/>
      <c r="P98" s="6">
        <f>E98*(L98+M98*1.5+N98*2+O98*3+N(K98))</f>
        <v/>
      </c>
      <c r="Q98" s="6" t="n">
        <v>216</v>
      </c>
      <c r="R98" s="6">
        <f>Q98-P98</f>
        <v/>
      </c>
    </row>
    <row r="99">
      <c r="A99" s="5" t="inlineStr">
        <is>
          <t>2012</t>
        </is>
      </c>
      <c r="B99" s="5" t="inlineStr"/>
      <c r="C99" s="5" t="inlineStr">
        <is>
          <t>SETPA#3</t>
        </is>
      </c>
      <c r="D99" s="5" t="inlineStr"/>
      <c r="E99" s="6" t="n">
        <v>12</v>
      </c>
      <c r="F99" s="5" t="n"/>
      <c r="G99" s="5" t="n"/>
      <c r="H99" s="5" t="n"/>
      <c r="I99" s="5" t="n"/>
      <c r="J99" s="7">
        <f>IF(AND(N(F99)&gt;0,N(I99)&gt;0),I99-F99-IF(N(G99)&gt;0,0.5,0)-IF(N(H99)&gt;0,0.5,0),0)</f>
        <v/>
      </c>
      <c r="K99" s="5" t="n"/>
      <c r="L99" s="7">
        <f>MIN(J99,8.0)</f>
        <v/>
      </c>
      <c r="M99" s="7">
        <f>MAX(0,MIN(J99,12)-8.0)</f>
        <v/>
      </c>
      <c r="N99" s="7">
        <f>MAX(0,J99-12)</f>
        <v/>
      </c>
      <c r="O99" s="5" t="n"/>
      <c r="P99" s="6">
        <f>E99*(L99+M99*1.5+N99*2+O99*3+N(K99))</f>
        <v/>
      </c>
      <c r="Q99" s="6" t="n">
        <v>216</v>
      </c>
      <c r="R99" s="6">
        <f>Q99-P99</f>
        <v/>
      </c>
    </row>
    <row r="100">
      <c r="A100" s="5" t="inlineStr">
        <is>
          <t>2012</t>
        </is>
      </c>
      <c r="B100" s="5" t="inlineStr"/>
      <c r="C100" s="5" t="inlineStr">
        <is>
          <t>SETPA#4</t>
        </is>
      </c>
      <c r="D100" s="5" t="inlineStr"/>
      <c r="E100" s="6" t="n">
        <v>12</v>
      </c>
      <c r="F100" s="5" t="n"/>
      <c r="G100" s="5" t="n"/>
      <c r="H100" s="5" t="n"/>
      <c r="I100" s="5" t="n"/>
      <c r="J100" s="7">
        <f>IF(AND(N(F100)&gt;0,N(I100)&gt;0),I100-F100-IF(N(G100)&gt;0,0.5,0)-IF(N(H100)&gt;0,0.5,0),0)</f>
        <v/>
      </c>
      <c r="K100" s="5" t="n"/>
      <c r="L100" s="7">
        <f>MIN(J100,8.0)</f>
        <v/>
      </c>
      <c r="M100" s="7">
        <f>MAX(0,MIN(J100,12)-8.0)</f>
        <v/>
      </c>
      <c r="N100" s="7">
        <f>MAX(0,J100-12)</f>
        <v/>
      </c>
      <c r="O100" s="5" t="n"/>
      <c r="P100" s="6">
        <f>E100*(L100+M100*1.5+N100*2+O100*3+N(K100))</f>
        <v/>
      </c>
      <c r="Q100" s="6" t="n">
        <v>216</v>
      </c>
      <c r="R100" s="6">
        <f>Q100-P100</f>
        <v/>
      </c>
    </row>
    <row r="101">
      <c r="P101" s="2" t="inlineStr">
        <is>
          <t>SETSTAFFASSISTANTS LABOR</t>
        </is>
      </c>
      <c r="R101" s="8">
        <f>SUM(R97:R100)</f>
        <v/>
      </c>
    </row>
    <row r="103">
      <c r="B103" s="2" t="inlineStr">
        <is>
          <t>PRODUCTIONACCOUNTANT</t>
        </is>
      </c>
    </row>
    <row r="104">
      <c r="A104" s="5" t="inlineStr">
        <is>
          <t>2013</t>
        </is>
      </c>
      <c r="B104" s="5" t="inlineStr">
        <is>
          <t>Joel Tokarsky</t>
        </is>
      </c>
      <c r="C104" s="5" t="inlineStr">
        <is>
          <t>PRODUCTIONACCOUNTANT</t>
        </is>
      </c>
      <c r="D104" s="5" t="inlineStr">
        <is>
          <t>Local871</t>
        </is>
      </c>
      <c r="E104" s="6" t="n">
        <v>740</v>
      </c>
      <c r="F104" s="5" t="n"/>
      <c r="G104" s="5" t="n"/>
      <c r="H104" s="5" t="n"/>
      <c r="I104" s="5" t="n"/>
      <c r="J104" s="7">
        <f>IF(AND(N(F104)&gt;0,N(I104)&gt;0),I104-F104-IF(N(G104)&gt;0,0.5,0)-IF(N(H104)&gt;0,0.5,0),0)</f>
        <v/>
      </c>
      <c r="K104" s="5" t="n"/>
      <c r="L104" s="7">
        <f>MIN(J104,10.0)</f>
        <v/>
      </c>
      <c r="M104" s="7">
        <f>MAX(0,MIN(J104,12)-10.0)</f>
        <v/>
      </c>
      <c r="N104" s="7">
        <f>MAX(0,J104-12)</f>
        <v/>
      </c>
      <c r="O104" s="5" t="n"/>
      <c r="P104" s="6">
        <f>E104*(L104+M104*1.5+N104*2+O104*3+N(K104))</f>
        <v/>
      </c>
      <c r="Q104" s="6" t="n">
        <v>740</v>
      </c>
      <c r="R104" s="6">
        <f>Q104-P104</f>
        <v/>
      </c>
    </row>
    <row r="105">
      <c r="P105" s="2" t="inlineStr">
        <is>
          <t>PRODUCTIONACCOUNTANT LABOR</t>
        </is>
      </c>
      <c r="R105" s="8">
        <f>SUM(R104:R104)</f>
        <v/>
      </c>
    </row>
    <row r="107">
      <c r="B107" s="2" t="inlineStr">
        <is>
          <t>ASSTPRODUCTIONACCOUNTANTS</t>
        </is>
      </c>
    </row>
    <row r="108">
      <c r="A108" s="5" t="inlineStr">
        <is>
          <t>2014</t>
        </is>
      </c>
      <c r="B108" s="5" t="inlineStr">
        <is>
          <t>Co-Co Aiello</t>
        </is>
      </c>
      <c r="C108" s="5" t="inlineStr">
        <is>
          <t>1STASSTACCT</t>
        </is>
      </c>
      <c r="D108" s="5" t="inlineStr">
        <is>
          <t>Local871</t>
        </is>
      </c>
      <c r="E108" s="6" t="n">
        <v>480</v>
      </c>
      <c r="F108" s="5" t="n"/>
      <c r="G108" s="5" t="n"/>
      <c r="H108" s="5" t="n"/>
      <c r="I108" s="5" t="n"/>
      <c r="J108" s="7">
        <f>IF(AND(N(F108)&gt;0,N(I108)&gt;0),I108-F108-IF(N(G108)&gt;0,0.5,0)-IF(N(H108)&gt;0,0.5,0),0)</f>
        <v/>
      </c>
      <c r="K108" s="5" t="n"/>
      <c r="L108" s="7">
        <f>MIN(J108,10.0)</f>
        <v/>
      </c>
      <c r="M108" s="7">
        <f>MAX(0,MIN(J108,12)-10.0)</f>
        <v/>
      </c>
      <c r="N108" s="7">
        <f>MAX(0,J108-12)</f>
        <v/>
      </c>
      <c r="O108" s="5" t="n"/>
      <c r="P108" s="6">
        <f>E108*(L108+M108*1.5+N108*2+O108*3+N(K108))</f>
        <v/>
      </c>
      <c r="Q108" s="6" t="n">
        <v>480</v>
      </c>
      <c r="R108" s="6">
        <f>Q108-P108</f>
        <v/>
      </c>
    </row>
    <row r="109">
      <c r="A109" s="5" t="inlineStr">
        <is>
          <t>2014</t>
        </is>
      </c>
      <c r="B109" s="5" t="inlineStr">
        <is>
          <t>Steve Goldstein</t>
        </is>
      </c>
      <c r="C109" s="5" t="inlineStr">
        <is>
          <t>PAYROLLACCT</t>
        </is>
      </c>
      <c r="D109" s="5" t="inlineStr">
        <is>
          <t>Local871</t>
        </is>
      </c>
      <c r="E109" s="6" t="n">
        <v>420</v>
      </c>
      <c r="F109" s="5" t="n"/>
      <c r="G109" s="5" t="n"/>
      <c r="H109" s="5" t="n"/>
      <c r="I109" s="5" t="n"/>
      <c r="J109" s="7">
        <f>IF(AND(N(F109)&gt;0,N(I109)&gt;0),I109-F109-IF(N(G109)&gt;0,0.5,0)-IF(N(H109)&gt;0,0.5,0),0)</f>
        <v/>
      </c>
      <c r="K109" s="5" t="n"/>
      <c r="L109" s="7">
        <f>MIN(J109,10.0)</f>
        <v/>
      </c>
      <c r="M109" s="7">
        <f>MAX(0,MIN(J109,12)-10.0)</f>
        <v/>
      </c>
      <c r="N109" s="7">
        <f>MAX(0,J109-12)</f>
        <v/>
      </c>
      <c r="O109" s="5" t="n"/>
      <c r="P109" s="6">
        <f>E109*(L109+M109*1.5+N109*2+O109*3+N(K109))</f>
        <v/>
      </c>
      <c r="Q109" s="6" t="n">
        <v>420</v>
      </c>
      <c r="R109" s="6">
        <f>Q109-P109</f>
        <v/>
      </c>
    </row>
    <row r="110">
      <c r="P110" s="2" t="inlineStr">
        <is>
          <t>ASSTPRODUCTIONACCOUNTANTS LABOR</t>
        </is>
      </c>
      <c r="R110" s="8">
        <f>SUM(R108:R109)</f>
        <v/>
      </c>
    </row>
    <row r="112">
      <c r="B112" s="2" t="inlineStr">
        <is>
          <t>CONSTRUCTIONCOORDINATOR</t>
        </is>
      </c>
    </row>
    <row r="113">
      <c r="A113" s="5" t="inlineStr">
        <is>
          <t>2302</t>
        </is>
      </c>
      <c r="B113" s="5" t="inlineStr">
        <is>
          <t>Drew Rebelin</t>
        </is>
      </c>
      <c r="C113" s="5" t="inlineStr">
        <is>
          <t>CONSTCOORDINATOR</t>
        </is>
      </c>
      <c r="D113" s="5" t="inlineStr">
        <is>
          <t>Local44</t>
        </is>
      </c>
      <c r="E113" s="6" t="n">
        <v>400</v>
      </c>
      <c r="F113" s="5" t="n"/>
      <c r="G113" s="5" t="n"/>
      <c r="H113" s="5" t="n"/>
      <c r="I113" s="5" t="n"/>
      <c r="J113" s="7">
        <f>IF(AND(N(F113)&gt;0,N(I113)&gt;0),I113-F113-IF(N(G113)&gt;0,0.5,0)-IF(N(H113)&gt;0,0.5,0),0)</f>
        <v/>
      </c>
      <c r="K113" s="5" t="n"/>
      <c r="L113" s="7">
        <f>MIN(J113,10.0)</f>
        <v/>
      </c>
      <c r="M113" s="7">
        <f>MAX(0,MIN(J113,12)-10.0)</f>
        <v/>
      </c>
      <c r="N113" s="7">
        <f>MAX(0,J113-12)</f>
        <v/>
      </c>
      <c r="O113" s="5" t="n"/>
      <c r="P113" s="6">
        <f>E113*(L113+M113*1.5+N113*2+O113*3+N(K113))</f>
        <v/>
      </c>
      <c r="Q113" s="5" t="n"/>
      <c r="R113" s="6">
        <f>Q113-P113</f>
        <v/>
      </c>
    </row>
    <row r="114">
      <c r="P114" s="2" t="inlineStr">
        <is>
          <t>CONSTRUCTIONCOORDINATOR LABOR</t>
        </is>
      </c>
      <c r="R114" s="8">
        <f>SUM(R113:R113)</f>
        <v/>
      </c>
    </row>
    <row r="116">
      <c r="B116" s="2" t="inlineStr">
        <is>
          <t>PAINTFOREMAN</t>
        </is>
      </c>
    </row>
    <row r="117">
      <c r="A117" s="5" t="inlineStr">
        <is>
          <t>2304</t>
        </is>
      </c>
      <c r="B117" s="5" t="inlineStr">
        <is>
          <t>Kristeen Reimnitz</t>
        </is>
      </c>
      <c r="C117" s="5" t="inlineStr">
        <is>
          <t>PAINTER</t>
        </is>
      </c>
      <c r="D117" s="5" t="inlineStr">
        <is>
          <t>Local729</t>
        </is>
      </c>
      <c r="E117" s="6" t="n">
        <v>23.04</v>
      </c>
      <c r="F117" s="5" t="n"/>
      <c r="G117" s="5" t="n"/>
      <c r="H117" s="5" t="n"/>
      <c r="I117" s="5" t="n"/>
      <c r="J117" s="7">
        <f>IF(AND(N(F117)&gt;0,N(I117)&gt;0),I117-F117-IF(N(G117)&gt;0,0.5,0)-IF(N(H117)&gt;0,0.5,0),0)</f>
        <v/>
      </c>
      <c r="K117" s="5" t="n"/>
      <c r="L117" s="7">
        <f>MIN(J117,10.0)</f>
        <v/>
      </c>
      <c r="M117" s="7">
        <f>MAX(0,MIN(J117,12)-10.0)</f>
        <v/>
      </c>
      <c r="N117" s="7">
        <f>MAX(0,J117-12)</f>
        <v/>
      </c>
      <c r="O117" s="5" t="n"/>
      <c r="P117" s="6">
        <f>E117*(L117+M117*1.5+N117*2+O117*3+N(K117))</f>
        <v/>
      </c>
      <c r="Q117" s="5" t="n"/>
      <c r="R117" s="6">
        <f>Q117-P117</f>
        <v/>
      </c>
    </row>
    <row r="118">
      <c r="P118" s="2" t="inlineStr">
        <is>
          <t>PAINTFOREMAN LABOR</t>
        </is>
      </c>
      <c r="R118" s="8">
        <f>SUM(R117:R117)</f>
        <v/>
      </c>
    </row>
    <row r="120">
      <c r="B120" s="2" t="inlineStr">
        <is>
          <t>FIRSTAIDLABOR</t>
        </is>
      </c>
    </row>
    <row r="121">
      <c r="A121" s="5" t="inlineStr">
        <is>
          <t>2310</t>
        </is>
      </c>
      <c r="B121" s="5" t="inlineStr"/>
      <c r="C121" s="5" t="inlineStr">
        <is>
          <t>CONSTRUCTIONMEDIC</t>
        </is>
      </c>
      <c r="D121" s="5" t="inlineStr">
        <is>
          <t>Local80</t>
        </is>
      </c>
      <c r="E121" s="6" t="n">
        <v>23.04</v>
      </c>
      <c r="F121" s="5" t="n"/>
      <c r="G121" s="5" t="n"/>
      <c r="H121" s="5" t="n"/>
      <c r="I121" s="5" t="n"/>
      <c r="J121" s="7">
        <f>IF(AND(N(F121)&gt;0,N(I121)&gt;0),I121-F121-IF(N(G121)&gt;0,0.5,0)-IF(N(H121)&gt;0,0.5,0),0)</f>
        <v/>
      </c>
      <c r="K121" s="5" t="n"/>
      <c r="L121" s="7">
        <f>MIN(J121,10.0)</f>
        <v/>
      </c>
      <c r="M121" s="7">
        <f>MAX(0,MIN(J121,12)-10.0)</f>
        <v/>
      </c>
      <c r="N121" s="7">
        <f>MAX(0,J121-12)</f>
        <v/>
      </c>
      <c r="O121" s="5" t="n"/>
      <c r="P121" s="6">
        <f>E121*(L121+M121*1.5+N121*2+O121*3+N(K121))</f>
        <v/>
      </c>
      <c r="Q121" s="5" t="n"/>
      <c r="R121" s="6">
        <f>Q121-P121</f>
        <v/>
      </c>
    </row>
    <row r="122">
      <c r="P122" s="2" t="inlineStr">
        <is>
          <t>FIRSTAIDLABOR LABOR</t>
        </is>
      </c>
      <c r="R122" s="8">
        <f>SUM(R121:R121)</f>
        <v/>
      </c>
    </row>
    <row r="124">
      <c r="B124" s="2" t="inlineStr">
        <is>
          <t>KEYGRIP</t>
        </is>
      </c>
    </row>
    <row r="125">
      <c r="A125" s="5" t="inlineStr">
        <is>
          <t>2501</t>
        </is>
      </c>
      <c r="B125" s="5" t="inlineStr">
        <is>
          <t>Pat O'Mara</t>
        </is>
      </c>
      <c r="C125" s="5" t="inlineStr">
        <is>
          <t>KEYGRIP</t>
        </is>
      </c>
      <c r="D125" s="5" t="inlineStr">
        <is>
          <t>Local80</t>
        </is>
      </c>
      <c r="E125" s="6" t="n">
        <v>25.5</v>
      </c>
      <c r="F125" s="5" t="n"/>
      <c r="G125" s="5" t="n"/>
      <c r="H125" s="5" t="n"/>
      <c r="I125" s="5" t="n"/>
      <c r="J125" s="7">
        <f>IF(AND(N(F125)&gt;0,N(I125)&gt;0),I125-F125-IF(N(G125)&gt;0,0.5,0)-IF(N(H125)&gt;0,0.5,0),0)</f>
        <v/>
      </c>
      <c r="K125" s="5" t="n"/>
      <c r="L125" s="7">
        <f>MIN(J125,10.0)</f>
        <v/>
      </c>
      <c r="M125" s="7">
        <f>MAX(0,MIN(J125,12)-10.0)</f>
        <v/>
      </c>
      <c r="N125" s="7">
        <f>MAX(0,J125-12)</f>
        <v/>
      </c>
      <c r="O125" s="5" t="n"/>
      <c r="P125" s="6">
        <f>E125*(L125+M125*1.5+N125*2+O125*3+N(K125))</f>
        <v/>
      </c>
      <c r="Q125" s="6" t="n">
        <v>395.25</v>
      </c>
      <c r="R125" s="6">
        <f>Q125-P125</f>
        <v/>
      </c>
    </row>
    <row r="126">
      <c r="P126" s="2" t="inlineStr">
        <is>
          <t>KEYGRIP LABOR</t>
        </is>
      </c>
      <c r="R126" s="8">
        <f>SUM(R125:R125)</f>
        <v/>
      </c>
    </row>
    <row r="128">
      <c r="B128" s="2" t="inlineStr">
        <is>
          <t>BESTBOYGRIP</t>
        </is>
      </c>
    </row>
    <row r="129">
      <c r="A129" s="5" t="inlineStr">
        <is>
          <t>2502</t>
        </is>
      </c>
      <c r="B129" s="5" t="inlineStr">
        <is>
          <t>Aaron Fairley</t>
        </is>
      </c>
      <c r="C129" s="5" t="inlineStr">
        <is>
          <t>BESTBOYGRIP</t>
        </is>
      </c>
      <c r="D129" s="5" t="inlineStr">
        <is>
          <t>Local80</t>
        </is>
      </c>
      <c r="E129" s="6" t="n">
        <v>23.04</v>
      </c>
      <c r="F129" s="5" t="n"/>
      <c r="G129" s="5" t="n"/>
      <c r="H129" s="5" t="n"/>
      <c r="I129" s="5" t="n"/>
      <c r="J129" s="7">
        <f>IF(AND(N(F129)&gt;0,N(I129)&gt;0),I129-F129-IF(N(G129)&gt;0,0.5,0)-IF(N(H129)&gt;0,0.5,0),0)</f>
        <v/>
      </c>
      <c r="K129" s="5" t="n"/>
      <c r="L129" s="7">
        <f>MIN(J129,10.0)</f>
        <v/>
      </c>
      <c r="M129" s="7">
        <f>MAX(0,MIN(J129,12)-10.0)</f>
        <v/>
      </c>
      <c r="N129" s="7">
        <f>MAX(0,J129-12)</f>
        <v/>
      </c>
      <c r="O129" s="5" t="n"/>
      <c r="P129" s="6">
        <f>E129*(L129+M129*1.5+N129*2+O129*3+N(K129))</f>
        <v/>
      </c>
      <c r="Q129" s="6" t="n">
        <v>357.12</v>
      </c>
      <c r="R129" s="6">
        <f>Q129-P129</f>
        <v/>
      </c>
    </row>
    <row r="130">
      <c r="A130" s="5" t="inlineStr">
        <is>
          <t>2502</t>
        </is>
      </c>
      <c r="B130" s="5" t="inlineStr"/>
      <c r="C130" s="5" t="inlineStr">
        <is>
          <t>STUDIOBESTBOYGRIP</t>
        </is>
      </c>
      <c r="D130" s="5" t="inlineStr">
        <is>
          <t>Local80</t>
        </is>
      </c>
      <c r="E130" s="6" t="n">
        <v>43.05</v>
      </c>
      <c r="F130" s="5" t="n"/>
      <c r="G130" s="5" t="n"/>
      <c r="H130" s="5" t="n"/>
      <c r="I130" s="5" t="n"/>
      <c r="J130" s="7">
        <f>IF(AND(N(F130)&gt;0,N(I130)&gt;0),I130-F130-IF(N(G130)&gt;0,0.5,0)-IF(N(H130)&gt;0,0.5,0),0)</f>
        <v/>
      </c>
      <c r="K130" s="5" t="n"/>
      <c r="L130" s="7">
        <f>MIN(J130,10.0)</f>
        <v/>
      </c>
      <c r="M130" s="7">
        <f>MAX(0,MIN(J130,12)-10.0)</f>
        <v/>
      </c>
      <c r="N130" s="7">
        <f>MAX(0,J130-12)</f>
        <v/>
      </c>
      <c r="O130" s="5" t="n"/>
      <c r="P130" s="6">
        <f>E130*(L130+M130*1.5+N130*2+O130*3+N(K130))</f>
        <v/>
      </c>
      <c r="Q130" s="6" t="n">
        <v>667.27</v>
      </c>
      <c r="R130" s="6">
        <f>Q130-P130</f>
        <v/>
      </c>
    </row>
    <row r="131">
      <c r="P131" s="2" t="inlineStr">
        <is>
          <t>BESTBOYGRIP LABOR</t>
        </is>
      </c>
      <c r="R131" s="8">
        <f>SUM(R129:R130)</f>
        <v/>
      </c>
    </row>
    <row r="133">
      <c r="B133" s="2" t="inlineStr">
        <is>
          <t>DOLLYGRIP</t>
        </is>
      </c>
    </row>
    <row r="134">
      <c r="A134" s="5" t="inlineStr">
        <is>
          <t>2503</t>
        </is>
      </c>
      <c r="B134" s="5" t="inlineStr">
        <is>
          <t>Peter Weidenfeller</t>
        </is>
      </c>
      <c r="C134" s="5" t="inlineStr">
        <is>
          <t>"A"DOLLYGRIP</t>
        </is>
      </c>
      <c r="D134" s="5" t="inlineStr">
        <is>
          <t>Local80</t>
        </is>
      </c>
      <c r="E134" s="6" t="n">
        <v>23.04</v>
      </c>
      <c r="F134" s="5" t="n"/>
      <c r="G134" s="5" t="n"/>
      <c r="H134" s="5" t="n"/>
      <c r="I134" s="5" t="n"/>
      <c r="J134" s="7">
        <f>IF(AND(N(F134)&gt;0,N(I134)&gt;0),I134-F134-IF(N(G134)&gt;0,0.5,0)-IF(N(H134)&gt;0,0.5,0),0)</f>
        <v/>
      </c>
      <c r="K134" s="5" t="n"/>
      <c r="L134" s="7">
        <f>MIN(J134,10.0)</f>
        <v/>
      </c>
      <c r="M134" s="7">
        <f>MAX(0,MIN(J134,12)-10.0)</f>
        <v/>
      </c>
      <c r="N134" s="7">
        <f>MAX(0,J134-12)</f>
        <v/>
      </c>
      <c r="O134" s="5" t="n"/>
      <c r="P134" s="6">
        <f>E134*(L134+M134*1.5+N134*2+O134*3+N(K134))</f>
        <v/>
      </c>
      <c r="Q134" s="6" t="n">
        <v>357.12</v>
      </c>
      <c r="R134" s="6">
        <f>Q134-P134</f>
        <v/>
      </c>
    </row>
    <row r="135">
      <c r="P135" s="2" t="inlineStr">
        <is>
          <t>DOLLYGRIP LABOR</t>
        </is>
      </c>
      <c r="R135" s="8">
        <f>SUM(R134:R134)</f>
        <v/>
      </c>
    </row>
    <row r="137">
      <c r="B137" s="2" t="inlineStr">
        <is>
          <t>CRANEGRIPS</t>
        </is>
      </c>
    </row>
    <row r="138">
      <c r="A138" s="5" t="inlineStr">
        <is>
          <t>2504</t>
        </is>
      </c>
      <c r="B138" s="5" t="inlineStr"/>
      <c r="C138" s="5" t="inlineStr">
        <is>
          <t>CRANEOPERATOR</t>
        </is>
      </c>
      <c r="D138" s="5" t="inlineStr">
        <is>
          <t>Local80</t>
        </is>
      </c>
      <c r="E138" s="6" t="n">
        <v>792</v>
      </c>
      <c r="F138" s="5" t="n"/>
      <c r="G138" s="5" t="n"/>
      <c r="H138" s="5" t="n"/>
      <c r="I138" s="5" t="n"/>
      <c r="J138" s="7">
        <f>IF(AND(N(F138)&gt;0,N(I138)&gt;0),I138-F138-IF(N(G138)&gt;0,0.5,0)-IF(N(H138)&gt;0,0.5,0),0)</f>
        <v/>
      </c>
      <c r="K138" s="5" t="n"/>
      <c r="L138" s="7">
        <f>MIN(J138,10.0)</f>
        <v/>
      </c>
      <c r="M138" s="7">
        <f>MAX(0,MIN(J138,12)-10.0)</f>
        <v/>
      </c>
      <c r="N138" s="7">
        <f>MAX(0,J138-12)</f>
        <v/>
      </c>
      <c r="O138" s="5" t="n"/>
      <c r="P138" s="6">
        <f>E138*(L138+M138*1.5+N138*2+O138*3+N(K138))</f>
        <v/>
      </c>
      <c r="Q138" s="6" t="n">
        <v>924</v>
      </c>
      <c r="R138" s="6">
        <f>Q138-P138</f>
        <v/>
      </c>
    </row>
    <row r="139">
      <c r="A139" s="5" t="inlineStr">
        <is>
          <t>2504</t>
        </is>
      </c>
      <c r="B139" s="5" t="inlineStr"/>
      <c r="C139" s="5" t="inlineStr">
        <is>
          <t>CRANEASSISTANT</t>
        </is>
      </c>
      <c r="D139" s="5" t="inlineStr">
        <is>
          <t>Local80</t>
        </is>
      </c>
      <c r="E139" s="6" t="n">
        <v>660</v>
      </c>
      <c r="F139" s="5" t="n"/>
      <c r="G139" s="5" t="n"/>
      <c r="H139" s="5" t="n"/>
      <c r="I139" s="5" t="n"/>
      <c r="J139" s="7">
        <f>IF(AND(N(F139)&gt;0,N(I139)&gt;0),I139-F139-IF(N(G139)&gt;0,0.5,0)-IF(N(H139)&gt;0,0.5,0),0)</f>
        <v/>
      </c>
      <c r="K139" s="5" t="n"/>
      <c r="L139" s="7">
        <f>MIN(J139,10.0)</f>
        <v/>
      </c>
      <c r="M139" s="7">
        <f>MAX(0,MIN(J139,12)-10.0)</f>
        <v/>
      </c>
      <c r="N139" s="7">
        <f>MAX(0,J139-12)</f>
        <v/>
      </c>
      <c r="O139" s="5" t="n"/>
      <c r="P139" s="6">
        <f>E139*(L139+M139*1.5+N139*2+O139*3+N(K139))</f>
        <v/>
      </c>
      <c r="Q139" s="6" t="n">
        <v>770</v>
      </c>
      <c r="R139" s="6">
        <f>Q139-P139</f>
        <v/>
      </c>
    </row>
    <row r="140">
      <c r="P140" s="2" t="inlineStr">
        <is>
          <t>CRANEGRIPS LABOR</t>
        </is>
      </c>
      <c r="R140" s="8">
        <f>SUM(R138:R139)</f>
        <v/>
      </c>
    </row>
    <row r="142">
      <c r="B142" s="2" t="inlineStr">
        <is>
          <t>COMPANYGRIPS</t>
        </is>
      </c>
    </row>
    <row r="143">
      <c r="A143" s="5" t="inlineStr">
        <is>
          <t>2505</t>
        </is>
      </c>
      <c r="B143" s="5" t="inlineStr"/>
      <c r="C143" s="5" t="inlineStr">
        <is>
          <t>GRIP#1</t>
        </is>
      </c>
      <c r="D143" s="5" t="inlineStr">
        <is>
          <t>Local80</t>
        </is>
      </c>
      <c r="E143" s="6" t="n">
        <v>20.57</v>
      </c>
      <c r="F143" s="5" t="n"/>
      <c r="G143" s="5" t="n"/>
      <c r="H143" s="5" t="n"/>
      <c r="I143" s="5" t="n"/>
      <c r="J143" s="7">
        <f>IF(AND(N(F143)&gt;0,N(I143)&gt;0),I143-F143-IF(N(G143)&gt;0,0.5,0)-IF(N(H143)&gt;0,0.5,0),0)</f>
        <v/>
      </c>
      <c r="K143" s="5" t="n"/>
      <c r="L143" s="7">
        <f>MIN(J143,10.0)</f>
        <v/>
      </c>
      <c r="M143" s="7">
        <f>MAX(0,MIN(J143,12)-10.0)</f>
        <v/>
      </c>
      <c r="N143" s="7">
        <f>MAX(0,J143-12)</f>
        <v/>
      </c>
      <c r="O143" s="5" t="n"/>
      <c r="P143" s="6">
        <f>E143*(L143+M143*1.5+N143*2+O143*3+N(K143))</f>
        <v/>
      </c>
      <c r="Q143" s="6" t="n">
        <v>318.83</v>
      </c>
      <c r="R143" s="6">
        <f>Q143-P143</f>
        <v/>
      </c>
    </row>
    <row r="144">
      <c r="A144" s="5" t="inlineStr">
        <is>
          <t>2505</t>
        </is>
      </c>
      <c r="B144" s="5" t="inlineStr"/>
      <c r="C144" s="5" t="inlineStr">
        <is>
          <t>GRIP#2</t>
        </is>
      </c>
      <c r="D144" s="5" t="inlineStr">
        <is>
          <t>Local80</t>
        </is>
      </c>
      <c r="E144" s="6" t="n">
        <v>20.57</v>
      </c>
      <c r="F144" s="5" t="n"/>
      <c r="G144" s="5" t="n"/>
      <c r="H144" s="5" t="n"/>
      <c r="I144" s="5" t="n"/>
      <c r="J144" s="7">
        <f>IF(AND(N(F144)&gt;0,N(I144)&gt;0),I144-F144-IF(N(G144)&gt;0,0.5,0)-IF(N(H144)&gt;0,0.5,0),0)</f>
        <v/>
      </c>
      <c r="K144" s="5" t="n"/>
      <c r="L144" s="7">
        <f>MIN(J144,10.0)</f>
        <v/>
      </c>
      <c r="M144" s="7">
        <f>MAX(0,MIN(J144,12)-10.0)</f>
        <v/>
      </c>
      <c r="N144" s="7">
        <f>MAX(0,J144-12)</f>
        <v/>
      </c>
      <c r="O144" s="5" t="n"/>
      <c r="P144" s="6">
        <f>E144*(L144+M144*1.5+N144*2+O144*3+N(K144))</f>
        <v/>
      </c>
      <c r="Q144" s="6" t="n">
        <v>318.83</v>
      </c>
      <c r="R144" s="6">
        <f>Q144-P144</f>
        <v/>
      </c>
    </row>
    <row r="145">
      <c r="A145" s="5" t="inlineStr">
        <is>
          <t>2505</t>
        </is>
      </c>
      <c r="B145" s="5" t="inlineStr"/>
      <c r="C145" s="5" t="inlineStr">
        <is>
          <t>GRIP#3</t>
        </is>
      </c>
      <c r="D145" s="5" t="inlineStr">
        <is>
          <t>Local80</t>
        </is>
      </c>
      <c r="E145" s="6" t="n">
        <v>20.57</v>
      </c>
      <c r="F145" s="5" t="n"/>
      <c r="G145" s="5" t="n"/>
      <c r="H145" s="5" t="n"/>
      <c r="I145" s="5" t="n"/>
      <c r="J145" s="7">
        <f>IF(AND(N(F145)&gt;0,N(I145)&gt;0),I145-F145-IF(N(G145)&gt;0,0.5,0)-IF(N(H145)&gt;0,0.5,0),0)</f>
        <v/>
      </c>
      <c r="K145" s="5" t="n"/>
      <c r="L145" s="7">
        <f>MIN(J145,10.0)</f>
        <v/>
      </c>
      <c r="M145" s="7">
        <f>MAX(0,MIN(J145,12)-10.0)</f>
        <v/>
      </c>
      <c r="N145" s="7">
        <f>MAX(0,J145-12)</f>
        <v/>
      </c>
      <c r="O145" s="5" t="n"/>
      <c r="P145" s="6">
        <f>E145*(L145+M145*1.5+N145*2+O145*3+N(K145))</f>
        <v/>
      </c>
      <c r="Q145" s="6" t="n">
        <v>318.83</v>
      </c>
      <c r="R145" s="6">
        <f>Q145-P145</f>
        <v/>
      </c>
    </row>
    <row r="146">
      <c r="P146" s="2" t="inlineStr">
        <is>
          <t>COMPANYGRIPS LABOR</t>
        </is>
      </c>
      <c r="R146" s="8">
        <f>SUM(R143:R145)</f>
        <v/>
      </c>
    </row>
    <row r="148">
      <c r="B148" s="2" t="inlineStr">
        <is>
          <t>OTHERLABOR</t>
        </is>
      </c>
    </row>
    <row r="149">
      <c r="A149" s="5" t="inlineStr">
        <is>
          <t>2506</t>
        </is>
      </c>
      <c r="B149" s="5" t="inlineStr"/>
      <c r="C149" s="5" t="inlineStr">
        <is>
          <t>GRIPMANDAYS&amp;RIGGINGMANDAYS</t>
        </is>
      </c>
      <c r="D149" s="5" t="inlineStr">
        <is>
          <t>Local80</t>
        </is>
      </c>
      <c r="E149" s="6" t="n">
        <v>20.57</v>
      </c>
      <c r="F149" s="5" t="n"/>
      <c r="G149" s="5" t="n"/>
      <c r="H149" s="5" t="n"/>
      <c r="I149" s="5" t="n"/>
      <c r="J149" s="7">
        <f>IF(AND(N(F149)&gt;0,N(I149)&gt;0),I149-F149-IF(N(G149)&gt;0,0.5,0)-IF(N(H149)&gt;0,0.5,0),0)</f>
        <v/>
      </c>
      <c r="K149" s="5" t="n"/>
      <c r="L149" s="7">
        <f>MIN(J149,10.0)</f>
        <v/>
      </c>
      <c r="M149" s="7">
        <f>MAX(0,MIN(J149,12)-10.0)</f>
        <v/>
      </c>
      <c r="N149" s="7">
        <f>MAX(0,J149-12)</f>
        <v/>
      </c>
      <c r="O149" s="5" t="n"/>
      <c r="P149" s="6">
        <f>E149*(L149+M149*1.5+N149*2+O149*3+N(K149))</f>
        <v/>
      </c>
      <c r="Q149" s="6" t="n">
        <v>318.83</v>
      </c>
      <c r="R149" s="6">
        <f>Q149-P149</f>
        <v/>
      </c>
    </row>
    <row r="150">
      <c r="P150" s="2" t="inlineStr">
        <is>
          <t>OTHERLABOR LABOR</t>
        </is>
      </c>
      <c r="R150" s="8">
        <f>SUM(R149:R149)</f>
        <v/>
      </c>
    </row>
    <row r="152">
      <c r="B152" s="2" t="inlineStr">
        <is>
          <t>STANDBYLABOR</t>
        </is>
      </c>
    </row>
    <row r="153">
      <c r="A153" s="5" t="inlineStr">
        <is>
          <t>2510</t>
        </is>
      </c>
      <c r="B153" s="5" t="inlineStr"/>
      <c r="C153" s="5" t="inlineStr">
        <is>
          <t>LAYOUTBOARD</t>
        </is>
      </c>
      <c r="D153" s="5" t="inlineStr">
        <is>
          <t>Local729</t>
        </is>
      </c>
      <c r="E153" s="6" t="n">
        <v>25.5</v>
      </c>
      <c r="F153" s="5" t="n"/>
      <c r="G153" s="5" t="n"/>
      <c r="H153" s="5" t="n"/>
      <c r="I153" s="5" t="n"/>
      <c r="J153" s="7">
        <f>IF(AND(N(F153)&gt;0,N(I153)&gt;0),I153-F153-IF(N(G153)&gt;0,0.5,0)-IF(N(H153)&gt;0,0.5,0),0)</f>
        <v/>
      </c>
      <c r="K153" s="5" t="n"/>
      <c r="L153" s="7">
        <f>MIN(J153,10.0)</f>
        <v/>
      </c>
      <c r="M153" s="7">
        <f>MAX(0,MIN(J153,12)-10.0)</f>
        <v/>
      </c>
      <c r="N153" s="7">
        <f>MAX(0,J153-12)</f>
        <v/>
      </c>
      <c r="O153" s="5" t="n"/>
      <c r="P153" s="6">
        <f>E153*(L153+M153*1.5+N153*2+O153*3+N(K153))</f>
        <v/>
      </c>
      <c r="Q153" s="6" t="n">
        <v>395.25</v>
      </c>
      <c r="R153" s="6">
        <f>Q153-P153</f>
        <v/>
      </c>
    </row>
    <row r="154">
      <c r="P154" s="2" t="inlineStr">
        <is>
          <t>STANDBYLABOR LABOR</t>
        </is>
      </c>
      <c r="R154" s="8">
        <f>SUM(R153:R153)</f>
        <v/>
      </c>
    </row>
    <row r="156">
      <c r="B156" s="2" t="inlineStr">
        <is>
          <t>SETCRAFTSERVICELABOR</t>
        </is>
      </c>
    </row>
    <row r="157">
      <c r="A157" s="5" t="inlineStr">
        <is>
          <t>2511</t>
        </is>
      </c>
      <c r="B157" s="5" t="inlineStr">
        <is>
          <t>Maurico Solis</t>
        </is>
      </c>
      <c r="C157" s="5" t="inlineStr">
        <is>
          <t>KEYCRAFTSERVICE</t>
        </is>
      </c>
      <c r="D157" s="5" t="inlineStr">
        <is>
          <t>Local80</t>
        </is>
      </c>
      <c r="E157" s="6" t="n">
        <v>25.5</v>
      </c>
      <c r="F157" s="5" t="n"/>
      <c r="G157" s="5" t="n"/>
      <c r="H157" s="5" t="n"/>
      <c r="I157" s="5" t="n"/>
      <c r="J157" s="7">
        <f>IF(AND(N(F157)&gt;0,N(I157)&gt;0),I157-F157-IF(N(G157)&gt;0,0.5,0)-IF(N(H157)&gt;0,0.5,0),0)</f>
        <v/>
      </c>
      <c r="K157" s="5" t="n"/>
      <c r="L157" s="7">
        <f>MIN(J157,10.0)</f>
        <v/>
      </c>
      <c r="M157" s="7">
        <f>MAX(0,MIN(J157,12)-10.0)</f>
        <v/>
      </c>
      <c r="N157" s="7">
        <f>MAX(0,J157-12)</f>
        <v/>
      </c>
      <c r="O157" s="5" t="n"/>
      <c r="P157" s="6">
        <f>E157*(L157+M157*1.5+N157*2+O157*3+N(K157))</f>
        <v/>
      </c>
      <c r="Q157" s="6" t="n">
        <v>439.87</v>
      </c>
      <c r="R157" s="6">
        <f>Q157-P157</f>
        <v/>
      </c>
    </row>
    <row r="158">
      <c r="A158" s="5" t="inlineStr">
        <is>
          <t>2511</t>
        </is>
      </c>
      <c r="B158" s="5" t="inlineStr"/>
      <c r="C158" s="5" t="inlineStr">
        <is>
          <t>ASSTCRAFTSERVICE</t>
        </is>
      </c>
      <c r="D158" s="5" t="inlineStr">
        <is>
          <t>Local80</t>
        </is>
      </c>
      <c r="E158" s="6" t="n">
        <v>23.04</v>
      </c>
      <c r="F158" s="5" t="n"/>
      <c r="G158" s="5" t="n"/>
      <c r="H158" s="5" t="n"/>
      <c r="I158" s="5" t="n"/>
      <c r="J158" s="7">
        <f>IF(AND(N(F158)&gt;0,N(I158)&gt;0),I158-F158-IF(N(G158)&gt;0,0.5,0)-IF(N(H158)&gt;0,0.5,0),0)</f>
        <v/>
      </c>
      <c r="K158" s="5" t="n"/>
      <c r="L158" s="7">
        <f>MIN(J158,10.0)</f>
        <v/>
      </c>
      <c r="M158" s="7">
        <f>MAX(0,MIN(J158,12)-10.0)</f>
        <v/>
      </c>
      <c r="N158" s="7">
        <f>MAX(0,J158-12)</f>
        <v/>
      </c>
      <c r="O158" s="5" t="n"/>
      <c r="P158" s="6">
        <f>E158*(L158+M158*1.5+N158*2+O158*3+N(K158))</f>
        <v/>
      </c>
      <c r="Q158" s="6" t="n">
        <v>397.43</v>
      </c>
      <c r="R158" s="6">
        <f>Q158-P158</f>
        <v/>
      </c>
    </row>
    <row r="159">
      <c r="P159" s="2" t="inlineStr">
        <is>
          <t>SETCRAFTSERVICELABOR LABOR</t>
        </is>
      </c>
      <c r="R159" s="8">
        <f>SUM(R157:R158)</f>
        <v/>
      </c>
    </row>
    <row r="161">
      <c r="B161" s="2" t="inlineStr">
        <is>
          <t>SETFIRSTAIDLABOR</t>
        </is>
      </c>
    </row>
    <row r="162">
      <c r="A162" s="5" t="inlineStr">
        <is>
          <t>2514</t>
        </is>
      </c>
      <c r="B162" s="5" t="inlineStr">
        <is>
          <t>Robert Hill</t>
        </is>
      </c>
      <c r="C162" s="5" t="inlineStr">
        <is>
          <t>SETMEDIC</t>
        </is>
      </c>
      <c r="D162" s="5" t="inlineStr">
        <is>
          <t>Local80</t>
        </is>
      </c>
      <c r="E162" s="6" t="n">
        <v>23.04</v>
      </c>
      <c r="F162" s="5" t="n"/>
      <c r="G162" s="5" t="n"/>
      <c r="H162" s="5" t="n"/>
      <c r="I162" s="5" t="n"/>
      <c r="J162" s="7">
        <f>IF(AND(N(F162)&gt;0,N(I162)&gt;0),I162-F162-IF(N(G162)&gt;0,0.5,0)-IF(N(H162)&gt;0,0.5,0),0)</f>
        <v/>
      </c>
      <c r="K162" s="5" t="n"/>
      <c r="L162" s="7">
        <f>MIN(J162,10.0)</f>
        <v/>
      </c>
      <c r="M162" s="7">
        <f>MAX(0,MIN(J162,12)-10.0)</f>
        <v/>
      </c>
      <c r="N162" s="7">
        <f>MAX(0,J162-12)</f>
        <v/>
      </c>
      <c r="O162" s="5" t="n"/>
      <c r="P162" s="6">
        <f>E162*(L162+M162*1.5+N162*2+O162*3+N(K162))</f>
        <v/>
      </c>
      <c r="Q162" s="6" t="n">
        <v>397.43</v>
      </c>
      <c r="R162" s="6">
        <f>Q162-P162</f>
        <v/>
      </c>
    </row>
    <row r="163">
      <c r="A163" s="5" t="inlineStr">
        <is>
          <t>2514</t>
        </is>
      </c>
      <c r="B163" s="5" t="inlineStr"/>
      <c r="C163" s="5" t="inlineStr">
        <is>
          <t>RIGGINGMEDICMANDAYS</t>
        </is>
      </c>
      <c r="D163" s="5" t="inlineStr">
        <is>
          <t>Local80</t>
        </is>
      </c>
      <c r="E163" s="6" t="n">
        <v>23.04</v>
      </c>
      <c r="F163" s="5" t="n"/>
      <c r="G163" s="5" t="n"/>
      <c r="H163" s="5" t="n"/>
      <c r="I163" s="5" t="n"/>
      <c r="J163" s="7">
        <f>IF(AND(N(F163)&gt;0,N(I163)&gt;0),I163-F163-IF(N(G163)&gt;0,0.5,0)-IF(N(H163)&gt;0,0.5,0),0)</f>
        <v/>
      </c>
      <c r="K163" s="5" t="n"/>
      <c r="L163" s="7">
        <f>MIN(J163,10.0)</f>
        <v/>
      </c>
      <c r="M163" s="7">
        <f>MAX(0,MIN(J163,12)-10.0)</f>
        <v/>
      </c>
      <c r="N163" s="7">
        <f>MAX(0,J163-12)</f>
        <v/>
      </c>
      <c r="O163" s="5" t="n"/>
      <c r="P163" s="6">
        <f>E163*(L163+M163*1.5+N163*2+O163*3+N(K163))</f>
        <v/>
      </c>
      <c r="Q163" s="5" t="n"/>
      <c r="R163" s="6">
        <f>Q163-P163</f>
        <v/>
      </c>
    </row>
    <row r="164">
      <c r="P164" s="2" t="inlineStr">
        <is>
          <t>SETFIRSTAIDLABOR LABOR</t>
        </is>
      </c>
      <c r="R164" s="8">
        <f>SUM(R162:R163)</f>
        <v/>
      </c>
    </row>
    <row r="166">
      <c r="B166" s="2" t="inlineStr">
        <is>
          <t>SFXCOORDINATOR</t>
        </is>
      </c>
    </row>
    <row r="167">
      <c r="A167" s="5" t="inlineStr">
        <is>
          <t>2601</t>
        </is>
      </c>
      <c r="B167" s="5" t="inlineStr">
        <is>
          <t>Zak Knight</t>
        </is>
      </c>
      <c r="C167" s="5" t="inlineStr">
        <is>
          <t>SPFXCOORDINATOR</t>
        </is>
      </c>
      <c r="D167" s="5" t="inlineStr">
        <is>
          <t>Local44</t>
        </is>
      </c>
      <c r="E167" s="6" t="n">
        <v>42</v>
      </c>
      <c r="F167" s="5" t="n"/>
      <c r="G167" s="5" t="n"/>
      <c r="H167" s="5" t="n"/>
      <c r="I167" s="5" t="n"/>
      <c r="J167" s="7">
        <f>IF(AND(N(F167)&gt;0,N(I167)&gt;0),I167-F167-IF(N(G167)&gt;0,0.5,0)-IF(N(H167)&gt;0,0.5,0),0)</f>
        <v/>
      </c>
      <c r="K167" s="5" t="n"/>
      <c r="L167" s="7">
        <f>MIN(J167,10.0)</f>
        <v/>
      </c>
      <c r="M167" s="7">
        <f>MAX(0,MIN(J167,12)-10.0)</f>
        <v/>
      </c>
      <c r="N167" s="7">
        <f>MAX(0,J167-12)</f>
        <v/>
      </c>
      <c r="O167" s="5" t="n"/>
      <c r="P167" s="6">
        <f>E167*(L167+M167*1.5+N167*2+O167*3+N(K167))</f>
        <v/>
      </c>
      <c r="Q167" s="6" t="n">
        <v>651</v>
      </c>
      <c r="R167" s="6">
        <f>Q167-P167</f>
        <v/>
      </c>
    </row>
    <row r="168">
      <c r="P168" s="2" t="inlineStr">
        <is>
          <t>SFXCOORDINATOR LABOR</t>
        </is>
      </c>
      <c r="R168" s="8">
        <f>SUM(R167:R167)</f>
        <v/>
      </c>
    </row>
    <row r="170">
      <c r="B170" s="2" t="inlineStr">
        <is>
          <t>SFXTECHMANDAYS</t>
        </is>
      </c>
    </row>
    <row r="171">
      <c r="A171" s="5" t="inlineStr">
        <is>
          <t>2609</t>
        </is>
      </c>
      <c r="B171" s="5" t="inlineStr"/>
      <c r="C171" s="5" t="inlineStr">
        <is>
          <t>SPFXTECHMANDAYS</t>
        </is>
      </c>
      <c r="D171" s="5" t="inlineStr">
        <is>
          <t>Local44</t>
        </is>
      </c>
      <c r="E171" s="6" t="n">
        <v>40</v>
      </c>
      <c r="F171" s="5" t="n"/>
      <c r="G171" s="5" t="n"/>
      <c r="H171" s="5" t="n"/>
      <c r="I171" s="5" t="n"/>
      <c r="J171" s="7">
        <f>IF(AND(N(F171)&gt;0,N(I171)&gt;0),I171-F171-IF(N(G171)&gt;0,0.5,0)-IF(N(H171)&gt;0,0.5,0),0)</f>
        <v/>
      </c>
      <c r="K171" s="5" t="n"/>
      <c r="L171" s="7">
        <f>MIN(J171,10.0)</f>
        <v/>
      </c>
      <c r="M171" s="7">
        <f>MAX(0,MIN(J171,12)-10.0)</f>
        <v/>
      </c>
      <c r="N171" s="7">
        <f>MAX(0,J171-12)</f>
        <v/>
      </c>
      <c r="O171" s="5" t="n"/>
      <c r="P171" s="6">
        <f>E171*(L171+M171*1.5+N171*2+O171*3+N(K171))</f>
        <v/>
      </c>
      <c r="Q171" s="6" t="n">
        <v>620</v>
      </c>
      <c r="R171" s="6">
        <f>Q171-P171</f>
        <v/>
      </c>
    </row>
    <row r="172">
      <c r="A172" s="5" t="inlineStr">
        <is>
          <t>2609</t>
        </is>
      </c>
      <c r="B172" s="5" t="inlineStr"/>
      <c r="C172" s="5" t="inlineStr">
        <is>
          <t>SPFXASSISTANTMANDAYS</t>
        </is>
      </c>
      <c r="D172" s="5" t="inlineStr">
        <is>
          <t>Local44</t>
        </is>
      </c>
      <c r="E172" s="6" t="n">
        <v>25.5</v>
      </c>
      <c r="F172" s="5" t="n"/>
      <c r="G172" s="5" t="n"/>
      <c r="H172" s="5" t="n"/>
      <c r="I172" s="5" t="n"/>
      <c r="J172" s="7">
        <f>IF(AND(N(F172)&gt;0,N(I172)&gt;0),I172-F172-IF(N(G172)&gt;0,0.5,0)-IF(N(H172)&gt;0,0.5,0),0)</f>
        <v/>
      </c>
      <c r="K172" s="5" t="n"/>
      <c r="L172" s="7">
        <f>MIN(J172,10.0)</f>
        <v/>
      </c>
      <c r="M172" s="7">
        <f>MAX(0,MIN(J172,12)-10.0)</f>
        <v/>
      </c>
      <c r="N172" s="7">
        <f>MAX(0,J172-12)</f>
        <v/>
      </c>
      <c r="O172" s="5" t="n"/>
      <c r="P172" s="6">
        <f>E172*(L172+M172*1.5+N172*2+O172*3+N(K172))</f>
        <v/>
      </c>
      <c r="Q172" s="6" t="n">
        <v>395.25</v>
      </c>
      <c r="R172" s="6">
        <f>Q172-P172</f>
        <v/>
      </c>
    </row>
    <row r="173">
      <c r="A173" s="5" t="inlineStr">
        <is>
          <t>2609</t>
        </is>
      </c>
      <c r="B173" s="5" t="inlineStr"/>
      <c r="C173" s="5" t="inlineStr">
        <is>
          <t>PYROMANDAYS</t>
        </is>
      </c>
      <c r="D173" s="5" t="inlineStr">
        <is>
          <t>Local44</t>
        </is>
      </c>
      <c r="E173" s="6" t="n">
        <v>68.18000000000001</v>
      </c>
      <c r="F173" s="5" t="n"/>
      <c r="G173" s="5" t="n"/>
      <c r="H173" s="5" t="n"/>
      <c r="I173" s="5" t="n"/>
      <c r="J173" s="7">
        <f>IF(AND(N(F173)&gt;0,N(I173)&gt;0),I173-F173-IF(N(G173)&gt;0,0.5,0)-IF(N(H173)&gt;0,0.5,0),0)</f>
        <v/>
      </c>
      <c r="K173" s="5" t="n"/>
      <c r="L173" s="7">
        <f>MIN(J173,10.0)</f>
        <v/>
      </c>
      <c r="M173" s="7">
        <f>MAX(0,MIN(J173,12)-10.0)</f>
        <v/>
      </c>
      <c r="N173" s="7">
        <f>MAX(0,J173-12)</f>
        <v/>
      </c>
      <c r="O173" s="5" t="n"/>
      <c r="P173" s="6">
        <f>E173*(L173+M173*1.5+N173*2+O173*3+N(K173))</f>
        <v/>
      </c>
      <c r="Q173" s="6" t="n">
        <v>749.98</v>
      </c>
      <c r="R173" s="6">
        <f>Q173-P173</f>
        <v/>
      </c>
    </row>
    <row r="174">
      <c r="P174" s="2" t="inlineStr">
        <is>
          <t>SFXTECHMANDAYS LABOR</t>
        </is>
      </c>
      <c r="R174" s="8">
        <f>SUM(R171:R173)</f>
        <v/>
      </c>
    </row>
    <row r="176">
      <c r="B176" s="2" t="inlineStr">
        <is>
          <t>SETDECORATOR</t>
        </is>
      </c>
    </row>
    <row r="177">
      <c r="A177" s="5" t="inlineStr">
        <is>
          <t>2701</t>
        </is>
      </c>
      <c r="B177" s="5" t="inlineStr">
        <is>
          <t>Sandy Skora</t>
        </is>
      </c>
      <c r="C177" s="5" t="inlineStr">
        <is>
          <t>SETDECORATOR</t>
        </is>
      </c>
      <c r="D177" s="5" t="inlineStr">
        <is>
          <t>Local44</t>
        </is>
      </c>
      <c r="E177" s="6" t="n">
        <v>400</v>
      </c>
      <c r="F177" s="5" t="n"/>
      <c r="G177" s="5" t="n"/>
      <c r="H177" s="5" t="n"/>
      <c r="I177" s="5" t="n"/>
      <c r="J177" s="7">
        <f>IF(AND(N(F177)&gt;0,N(I177)&gt;0),I177-F177-IF(N(G177)&gt;0,0.5,0)-IF(N(H177)&gt;0,0.5,0),0)</f>
        <v/>
      </c>
      <c r="K177" s="5" t="n"/>
      <c r="L177" s="7">
        <f>MIN(J177,10.0)</f>
        <v/>
      </c>
      <c r="M177" s="7">
        <f>MAX(0,MIN(J177,12)-10.0)</f>
        <v/>
      </c>
      <c r="N177" s="7">
        <f>MAX(0,J177-12)</f>
        <v/>
      </c>
      <c r="O177" s="5" t="n"/>
      <c r="P177" s="6">
        <f>E177*(L177+M177*1.5+N177*2+O177*3+N(K177))</f>
        <v/>
      </c>
      <c r="Q177" s="6" t="n">
        <v>400</v>
      </c>
      <c r="R177" s="6">
        <f>Q177-P177</f>
        <v/>
      </c>
    </row>
    <row r="178">
      <c r="P178" s="2" t="inlineStr">
        <is>
          <t>SETDECORATOR LABOR</t>
        </is>
      </c>
      <c r="R178" s="8">
        <f>SUM(R177:R177)</f>
        <v/>
      </c>
    </row>
    <row r="180">
      <c r="B180" s="2" t="inlineStr">
        <is>
          <t>LEADPERSON</t>
        </is>
      </c>
    </row>
    <row r="181">
      <c r="A181" s="5" t="inlineStr">
        <is>
          <t>2702</t>
        </is>
      </c>
      <c r="B181" s="5" t="inlineStr">
        <is>
          <t>Josh Richmond</t>
        </is>
      </c>
      <c r="C181" s="5" t="inlineStr">
        <is>
          <t>LEADPERSON</t>
        </is>
      </c>
      <c r="D181" s="5" t="inlineStr">
        <is>
          <t>Local44</t>
        </is>
      </c>
      <c r="E181" s="6" t="n">
        <v>23.04</v>
      </c>
      <c r="F181" s="5" t="n"/>
      <c r="G181" s="5" t="n"/>
      <c r="H181" s="5" t="n"/>
      <c r="I181" s="5" t="n"/>
      <c r="J181" s="7">
        <f>IF(AND(N(F181)&gt;0,N(I181)&gt;0),I181-F181-IF(N(G181)&gt;0,0.5,0)-IF(N(H181)&gt;0,0.5,0),0)</f>
        <v/>
      </c>
      <c r="K181" s="5" t="n"/>
      <c r="L181" s="7">
        <f>MIN(J181,10.0)</f>
        <v/>
      </c>
      <c r="M181" s="7">
        <f>MAX(0,MIN(J181,12)-10.0)</f>
        <v/>
      </c>
      <c r="N181" s="7">
        <f>MAX(0,J181-12)</f>
        <v/>
      </c>
      <c r="O181" s="5" t="n"/>
      <c r="P181" s="6">
        <f>E181*(L181+M181*1.5+N181*2+O181*3+N(K181))</f>
        <v/>
      </c>
      <c r="Q181" s="6" t="n">
        <v>322.56</v>
      </c>
      <c r="R181" s="6">
        <f>Q181-P181</f>
        <v/>
      </c>
    </row>
    <row r="182">
      <c r="P182" s="2" t="inlineStr">
        <is>
          <t>LEADPERSON LABOR</t>
        </is>
      </c>
      <c r="R182" s="8">
        <f>SUM(R181:R181)</f>
        <v/>
      </c>
    </row>
    <row r="184">
      <c r="B184" s="2" t="inlineStr">
        <is>
          <t>SWINGLABOR</t>
        </is>
      </c>
    </row>
    <row r="185">
      <c r="A185" s="5" t="inlineStr">
        <is>
          <t>2703</t>
        </is>
      </c>
      <c r="B185" s="5" t="inlineStr">
        <is>
          <t>Tim Dodge</t>
        </is>
      </c>
      <c r="C185" s="5" t="inlineStr">
        <is>
          <t>SWING#1</t>
        </is>
      </c>
      <c r="D185" s="5" t="inlineStr">
        <is>
          <t>Local44</t>
        </is>
      </c>
      <c r="E185" s="6" t="n">
        <v>20.57</v>
      </c>
      <c r="F185" s="5" t="n"/>
      <c r="G185" s="5" t="n"/>
      <c r="H185" s="5" t="n"/>
      <c r="I185" s="5" t="n"/>
      <c r="J185" s="7">
        <f>IF(AND(N(F185)&gt;0,N(I185)&gt;0),I185-F185-IF(N(G185)&gt;0,0.5,0)-IF(N(H185)&gt;0,0.5,0),0)</f>
        <v/>
      </c>
      <c r="K185" s="5" t="n"/>
      <c r="L185" s="7">
        <f>MIN(J185,10.0)</f>
        <v/>
      </c>
      <c r="M185" s="7">
        <f>MAX(0,MIN(J185,12)-10.0)</f>
        <v/>
      </c>
      <c r="N185" s="7">
        <f>MAX(0,J185-12)</f>
        <v/>
      </c>
      <c r="O185" s="5" t="n"/>
      <c r="P185" s="6">
        <f>E185*(L185+M185*1.5+N185*2+O185*3+N(K185))</f>
        <v/>
      </c>
      <c r="Q185" s="6" t="n">
        <v>287.98</v>
      </c>
      <c r="R185" s="6">
        <f>Q185-P185</f>
        <v/>
      </c>
    </row>
    <row r="186">
      <c r="A186" s="5" t="inlineStr">
        <is>
          <t>2703</t>
        </is>
      </c>
      <c r="B186" s="5" t="inlineStr"/>
      <c r="C186" s="5" t="inlineStr">
        <is>
          <t>SWING#2</t>
        </is>
      </c>
      <c r="D186" s="5" t="inlineStr">
        <is>
          <t>Local44</t>
        </is>
      </c>
      <c r="E186" s="6" t="n">
        <v>20.57</v>
      </c>
      <c r="F186" s="5" t="n"/>
      <c r="G186" s="5" t="n"/>
      <c r="H186" s="5" t="n"/>
      <c r="I186" s="5" t="n"/>
      <c r="J186" s="7">
        <f>IF(AND(N(F186)&gt;0,N(I186)&gt;0),I186-F186-IF(N(G186)&gt;0,0.5,0)-IF(N(H186)&gt;0,0.5,0),0)</f>
        <v/>
      </c>
      <c r="K186" s="5" t="n"/>
      <c r="L186" s="7">
        <f>MIN(J186,10.0)</f>
        <v/>
      </c>
      <c r="M186" s="7">
        <f>MAX(0,MIN(J186,12)-10.0)</f>
        <v/>
      </c>
      <c r="N186" s="7">
        <f>MAX(0,J186-12)</f>
        <v/>
      </c>
      <c r="O186" s="5" t="n"/>
      <c r="P186" s="6">
        <f>E186*(L186+M186*1.5+N186*2+O186*3+N(K186))</f>
        <v/>
      </c>
      <c r="Q186" s="6" t="n">
        <v>287.98</v>
      </c>
      <c r="R186" s="6">
        <f>Q186-P186</f>
        <v/>
      </c>
    </row>
    <row r="187">
      <c r="A187" s="5" t="inlineStr">
        <is>
          <t>2703</t>
        </is>
      </c>
      <c r="B187" s="5" t="inlineStr"/>
      <c r="C187" s="5" t="inlineStr">
        <is>
          <t>ADDITIONALSWINGMANDAYS</t>
        </is>
      </c>
      <c r="D187" s="5" t="inlineStr">
        <is>
          <t>Local44</t>
        </is>
      </c>
      <c r="E187" s="6" t="n">
        <v>20.57</v>
      </c>
      <c r="F187" s="5" t="n"/>
      <c r="G187" s="5" t="n"/>
      <c r="H187" s="5" t="n"/>
      <c r="I187" s="5" t="n"/>
      <c r="J187" s="7">
        <f>IF(AND(N(F187)&gt;0,N(I187)&gt;0),I187-F187-IF(N(G187)&gt;0,0.5,0)-IF(N(H187)&gt;0,0.5,0),0)</f>
        <v/>
      </c>
      <c r="K187" s="5" t="n"/>
      <c r="L187" s="7">
        <f>MIN(J187,10.0)</f>
        <v/>
      </c>
      <c r="M187" s="7">
        <f>MAX(0,MIN(J187,12)-10.0)</f>
        <v/>
      </c>
      <c r="N187" s="7">
        <f>MAX(0,J187-12)</f>
        <v/>
      </c>
      <c r="O187" s="5" t="n"/>
      <c r="P187" s="6">
        <f>E187*(L187+M187*1.5+N187*2+O187*3+N(K187))</f>
        <v/>
      </c>
      <c r="Q187" s="6" t="n">
        <v>287.98</v>
      </c>
      <c r="R187" s="6">
        <f>Q187-P187</f>
        <v/>
      </c>
    </row>
    <row r="188">
      <c r="P188" s="2" t="inlineStr">
        <is>
          <t>SWINGLABOR LABOR</t>
        </is>
      </c>
      <c r="R188" s="8">
        <f>SUM(R185:R187)</f>
        <v/>
      </c>
    </row>
    <row r="190">
      <c r="B190" s="2" t="inlineStr">
        <is>
          <t>ON-SETDRESSER</t>
        </is>
      </c>
    </row>
    <row r="191">
      <c r="A191" s="5" t="inlineStr">
        <is>
          <t>2705</t>
        </is>
      </c>
      <c r="B191" s="5" t="inlineStr">
        <is>
          <t>Khamisi Thurman</t>
        </is>
      </c>
      <c r="C191" s="5" t="inlineStr">
        <is>
          <t>ON-SETDRESSER</t>
        </is>
      </c>
      <c r="D191" s="5" t="inlineStr">
        <is>
          <t>Local44</t>
        </is>
      </c>
      <c r="E191" s="6" t="n">
        <v>20.57</v>
      </c>
      <c r="F191" s="5" t="n"/>
      <c r="G191" s="5" t="n"/>
      <c r="H191" s="5" t="n"/>
      <c r="I191" s="5" t="n"/>
      <c r="J191" s="7">
        <f>IF(AND(N(F191)&gt;0,N(I191)&gt;0),I191-F191-IF(N(G191)&gt;0,0.5,0)-IF(N(H191)&gt;0,0.5,0),0)</f>
        <v/>
      </c>
      <c r="K191" s="5" t="n"/>
      <c r="L191" s="7">
        <f>MIN(J191,10.0)</f>
        <v/>
      </c>
      <c r="M191" s="7">
        <f>MAX(0,MIN(J191,12)-10.0)</f>
        <v/>
      </c>
      <c r="N191" s="7">
        <f>MAX(0,J191-12)</f>
        <v/>
      </c>
      <c r="O191" s="5" t="n"/>
      <c r="P191" s="6">
        <f>E191*(L191+M191*1.5+N191*2+O191*3+N(K191))</f>
        <v/>
      </c>
      <c r="Q191" s="6" t="n">
        <v>318.83</v>
      </c>
      <c r="R191" s="6">
        <f>Q191-P191</f>
        <v/>
      </c>
    </row>
    <row r="192">
      <c r="P192" s="2" t="inlineStr">
        <is>
          <t>ON-SETDRESSER LABOR</t>
        </is>
      </c>
      <c r="R192" s="8">
        <f>SUM(R191:R191)</f>
        <v/>
      </c>
    </row>
    <row r="194">
      <c r="B194" s="2" t="inlineStr">
        <is>
          <t>BUYERS</t>
        </is>
      </c>
    </row>
    <row r="195">
      <c r="A195" s="5" t="inlineStr">
        <is>
          <t>2706</t>
        </is>
      </c>
      <c r="B195" s="5" t="inlineStr">
        <is>
          <t>Sarah Hickman</t>
        </is>
      </c>
      <c r="C195" s="5" t="inlineStr">
        <is>
          <t>BUYER</t>
        </is>
      </c>
      <c r="D195" s="5" t="inlineStr">
        <is>
          <t>Local44</t>
        </is>
      </c>
      <c r="E195" s="6" t="n">
        <v>23.04</v>
      </c>
      <c r="F195" s="5" t="n"/>
      <c r="G195" s="5" t="n"/>
      <c r="H195" s="5" t="n"/>
      <c r="I195" s="5" t="n"/>
      <c r="J195" s="7">
        <f>IF(AND(N(F195)&gt;0,N(I195)&gt;0),I195-F195-IF(N(G195)&gt;0,0.5,0)-IF(N(H195)&gt;0,0.5,0),0)</f>
        <v/>
      </c>
      <c r="K195" s="5" t="n"/>
      <c r="L195" s="7">
        <f>MIN(J195,10.0)</f>
        <v/>
      </c>
      <c r="M195" s="7">
        <f>MAX(0,MIN(J195,12)-10.0)</f>
        <v/>
      </c>
      <c r="N195" s="7">
        <f>MAX(0,J195-12)</f>
        <v/>
      </c>
      <c r="O195" s="5" t="n"/>
      <c r="P195" s="6">
        <f>E195*(L195+M195*1.5+N195*2+O195*3+N(K195))</f>
        <v/>
      </c>
      <c r="Q195" s="5" t="n"/>
      <c r="R195" s="6">
        <f>Q195-P195</f>
        <v/>
      </c>
    </row>
    <row r="196">
      <c r="P196" s="2" t="inlineStr">
        <is>
          <t>BUYERS LABOR</t>
        </is>
      </c>
      <c r="R196" s="8">
        <f>SUM(R195:R195)</f>
        <v/>
      </c>
    </row>
    <row r="198">
      <c r="B198" s="2" t="inlineStr">
        <is>
          <t>PROPMASTER</t>
        </is>
      </c>
    </row>
    <row r="199">
      <c r="A199" s="5" t="inlineStr">
        <is>
          <t>2801</t>
        </is>
      </c>
      <c r="B199" s="5" t="inlineStr">
        <is>
          <t>Annie Brandt</t>
        </is>
      </c>
      <c r="C199" s="5" t="inlineStr">
        <is>
          <t>PROPMASTER</t>
        </is>
      </c>
      <c r="D199" s="5" t="inlineStr">
        <is>
          <t>Local44</t>
        </is>
      </c>
      <c r="E199" s="6" t="n">
        <v>25.5</v>
      </c>
      <c r="F199" s="5" t="n"/>
      <c r="G199" s="5" t="n"/>
      <c r="H199" s="5" t="n"/>
      <c r="I199" s="5" t="n"/>
      <c r="J199" s="7">
        <f>IF(AND(N(F199)&gt;0,N(I199)&gt;0),I199-F199-IF(N(G199)&gt;0,0.5,0)-IF(N(H199)&gt;0,0.5,0),0)</f>
        <v/>
      </c>
      <c r="K199" s="5" t="n"/>
      <c r="L199" s="7">
        <f>MIN(J199,10.0)</f>
        <v/>
      </c>
      <c r="M199" s="7">
        <f>MAX(0,MIN(J199,12)-10.0)</f>
        <v/>
      </c>
      <c r="N199" s="7">
        <f>MAX(0,J199-12)</f>
        <v/>
      </c>
      <c r="O199" s="5" t="n"/>
      <c r="P199" s="6">
        <f>E199*(L199+M199*1.5+N199*2+O199*3+N(K199))</f>
        <v/>
      </c>
      <c r="Q199" s="6" t="n">
        <v>395.25</v>
      </c>
      <c r="R199" s="6">
        <f>Q199-P199</f>
        <v/>
      </c>
    </row>
    <row r="200">
      <c r="P200" s="2" t="inlineStr">
        <is>
          <t>PROPMASTER LABOR</t>
        </is>
      </c>
      <c r="R200" s="8">
        <f>SUM(R199:R199)</f>
        <v/>
      </c>
    </row>
    <row r="202">
      <c r="B202" s="2" t="inlineStr">
        <is>
          <t>ASSTPROPMASTER</t>
        </is>
      </c>
    </row>
    <row r="203">
      <c r="A203" s="5" t="inlineStr">
        <is>
          <t>2802</t>
        </is>
      </c>
      <c r="B203" s="5" t="inlineStr">
        <is>
          <t>Nate Bakes</t>
        </is>
      </c>
      <c r="C203" s="5" t="inlineStr">
        <is>
          <t>ASSTPROPMASTER</t>
        </is>
      </c>
      <c r="D203" s="5" t="inlineStr">
        <is>
          <t>Local44</t>
        </is>
      </c>
      <c r="E203" s="6" t="n">
        <v>23.04</v>
      </c>
      <c r="F203" s="5" t="n"/>
      <c r="G203" s="5" t="n"/>
      <c r="H203" s="5" t="n"/>
      <c r="I203" s="5" t="n"/>
      <c r="J203" s="7">
        <f>IF(AND(N(F203)&gt;0,N(I203)&gt;0),I203-F203-IF(N(G203)&gt;0,0.5,0)-IF(N(H203)&gt;0,0.5,0),0)</f>
        <v/>
      </c>
      <c r="K203" s="5" t="n"/>
      <c r="L203" s="7">
        <f>MIN(J203,10.0)</f>
        <v/>
      </c>
      <c r="M203" s="7">
        <f>MAX(0,MIN(J203,12)-10.0)</f>
        <v/>
      </c>
      <c r="N203" s="7">
        <f>MAX(0,J203-12)</f>
        <v/>
      </c>
      <c r="O203" s="5" t="n"/>
      <c r="P203" s="6">
        <f>E203*(L203+M203*1.5+N203*2+O203*3+N(K203))</f>
        <v/>
      </c>
      <c r="Q203" s="6" t="n">
        <v>357.12</v>
      </c>
      <c r="R203" s="6">
        <f>Q203-P203</f>
        <v/>
      </c>
    </row>
    <row r="204">
      <c r="P204" s="2" t="inlineStr">
        <is>
          <t>ASSTPROPMASTER LABOR</t>
        </is>
      </c>
      <c r="R204" s="8">
        <f>SUM(R203:R203)</f>
        <v/>
      </c>
    </row>
    <row r="206">
      <c r="B206" s="2" t="inlineStr">
        <is>
          <t>COSTUMEDESIGNER</t>
        </is>
      </c>
    </row>
    <row r="207">
      <c r="A207" s="5" t="inlineStr">
        <is>
          <t>2901</t>
        </is>
      </c>
      <c r="B207" s="5" t="inlineStr">
        <is>
          <t>Megan Spatz</t>
        </is>
      </c>
      <c r="C207" s="5" t="inlineStr">
        <is>
          <t>COSTUMEDESIGNER</t>
        </is>
      </c>
      <c r="D207" s="5" t="inlineStr">
        <is>
          <t>Local892</t>
        </is>
      </c>
      <c r="E207" s="6" t="n">
        <v>540</v>
      </c>
      <c r="F207" s="5" t="n"/>
      <c r="G207" s="5" t="n"/>
      <c r="H207" s="5" t="n"/>
      <c r="I207" s="5" t="n"/>
      <c r="J207" s="7">
        <f>IF(AND(N(F207)&gt;0,N(I207)&gt;0),I207-F207-IF(N(G207)&gt;0,0.5,0)-IF(N(H207)&gt;0,0.5,0),0)</f>
        <v/>
      </c>
      <c r="K207" s="5" t="n"/>
      <c r="L207" s="7">
        <f>MIN(J207,8.0)</f>
        <v/>
      </c>
      <c r="M207" s="7">
        <f>MAX(0,MIN(J207,12)-8.0)</f>
        <v/>
      </c>
      <c r="N207" s="7">
        <f>MAX(0,J207-12)</f>
        <v/>
      </c>
      <c r="O207" s="5" t="n"/>
      <c r="P207" s="6">
        <f>E207*(L207+M207*1.5+N207*2+O207*3+N(K207))</f>
        <v/>
      </c>
      <c r="Q207" s="6" t="n">
        <v>540</v>
      </c>
      <c r="R207" s="6">
        <f>Q207-P207</f>
        <v/>
      </c>
    </row>
    <row r="208">
      <c r="P208" s="2" t="inlineStr">
        <is>
          <t>COSTUMEDESIGNER LABOR</t>
        </is>
      </c>
      <c r="R208" s="8">
        <f>SUM(R207:R207)</f>
        <v/>
      </c>
    </row>
    <row r="210">
      <c r="B210" s="2" t="inlineStr">
        <is>
          <t>COSTUMESUPERVISOR</t>
        </is>
      </c>
    </row>
    <row r="211">
      <c r="A211" s="5" t="inlineStr">
        <is>
          <t>2903</t>
        </is>
      </c>
      <c r="B211" s="5" t="inlineStr">
        <is>
          <t>Danielle Schuck</t>
        </is>
      </c>
      <c r="C211" s="5" t="inlineStr">
        <is>
          <t>COSTUMESUPERVISOR</t>
        </is>
      </c>
      <c r="D211" s="5" t="inlineStr">
        <is>
          <t>Local705</t>
        </is>
      </c>
      <c r="E211" s="6" t="n">
        <v>25.5</v>
      </c>
      <c r="F211" s="5" t="n"/>
      <c r="G211" s="5" t="n"/>
      <c r="H211" s="5" t="n"/>
      <c r="I211" s="5" t="n"/>
      <c r="J211" s="7">
        <f>IF(AND(N(F211)&gt;0,N(I211)&gt;0),I211-F211-IF(N(G211)&gt;0,0.5,0)-IF(N(H211)&gt;0,0.5,0),0)</f>
        <v/>
      </c>
      <c r="K211" s="5" t="n"/>
      <c r="L211" s="7">
        <f>MIN(J211,8.0)</f>
        <v/>
      </c>
      <c r="M211" s="7">
        <f>MAX(0,MIN(J211,12)-8.0)</f>
        <v/>
      </c>
      <c r="N211" s="7">
        <f>MAX(0,J211-12)</f>
        <v/>
      </c>
      <c r="O211" s="5" t="n"/>
      <c r="P211" s="6">
        <f>E211*(L211+M211*1.5+N211*2+O211*3+N(K211))</f>
        <v/>
      </c>
      <c r="Q211" s="6" t="n">
        <v>395.25</v>
      </c>
      <c r="R211" s="6">
        <f>Q211-P211</f>
        <v/>
      </c>
    </row>
    <row r="212">
      <c r="P212" s="2" t="inlineStr">
        <is>
          <t>COSTUMESUPERVISOR LABOR</t>
        </is>
      </c>
      <c r="R212" s="8">
        <f>SUM(R211:R211)</f>
        <v/>
      </c>
    </row>
    <row r="214">
      <c r="B214" s="2" t="inlineStr">
        <is>
          <t>SETCOSTUMERS</t>
        </is>
      </c>
    </row>
    <row r="215">
      <c r="A215" s="5" t="inlineStr">
        <is>
          <t>2905</t>
        </is>
      </c>
      <c r="B215" s="5" t="inlineStr">
        <is>
          <t>Monavie Tutop</t>
        </is>
      </c>
      <c r="C215" s="5" t="inlineStr">
        <is>
          <t>COSTUMER#1</t>
        </is>
      </c>
      <c r="D215" s="5" t="inlineStr">
        <is>
          <t>Local705</t>
        </is>
      </c>
      <c r="E215" s="6" t="n">
        <v>23.04</v>
      </c>
      <c r="F215" s="5" t="n"/>
      <c r="G215" s="5" t="n"/>
      <c r="H215" s="5" t="n"/>
      <c r="I215" s="5" t="n"/>
      <c r="J215" s="7">
        <f>IF(AND(N(F215)&gt;0,N(I215)&gt;0),I215-F215-IF(N(G215)&gt;0,0.5,0)-IF(N(H215)&gt;0,0.5,0),0)</f>
        <v/>
      </c>
      <c r="K215" s="5" t="n"/>
      <c r="L215" s="7">
        <f>MIN(J215,8.0)</f>
        <v/>
      </c>
      <c r="M215" s="7">
        <f>MAX(0,MIN(J215,12)-8.0)</f>
        <v/>
      </c>
      <c r="N215" s="7">
        <f>MAX(0,J215-12)</f>
        <v/>
      </c>
      <c r="O215" s="5" t="n"/>
      <c r="P215" s="6">
        <f>E215*(L215+M215*1.5+N215*2+O215*3+N(K215))</f>
        <v/>
      </c>
      <c r="Q215" s="6" t="n">
        <v>397.43</v>
      </c>
      <c r="R215" s="6">
        <f>Q215-P215</f>
        <v/>
      </c>
    </row>
    <row r="216">
      <c r="A216" s="5" t="inlineStr">
        <is>
          <t>2905</t>
        </is>
      </c>
      <c r="B216" s="5" t="inlineStr"/>
      <c r="C216" s="5" t="inlineStr">
        <is>
          <t>COSTUMER#2</t>
        </is>
      </c>
      <c r="D216" s="5" t="inlineStr">
        <is>
          <t>Local705</t>
        </is>
      </c>
      <c r="E216" s="6" t="n">
        <v>20.57</v>
      </c>
      <c r="F216" s="5" t="n"/>
      <c r="G216" s="5" t="n"/>
      <c r="H216" s="5" t="n"/>
      <c r="I216" s="5" t="n"/>
      <c r="J216" s="7">
        <f>IF(AND(N(F216)&gt;0,N(I216)&gt;0),I216-F216-IF(N(G216)&gt;0,0.5,0)-IF(N(H216)&gt;0,0.5,0),0)</f>
        <v/>
      </c>
      <c r="K216" s="5" t="n"/>
      <c r="L216" s="7">
        <f>MIN(J216,8.0)</f>
        <v/>
      </c>
      <c r="M216" s="7">
        <f>MAX(0,MIN(J216,12)-8.0)</f>
        <v/>
      </c>
      <c r="N216" s="7">
        <f>MAX(0,J216-12)</f>
        <v/>
      </c>
      <c r="O216" s="5" t="n"/>
      <c r="P216" s="6">
        <f>E216*(L216+M216*1.5+N216*2+O216*3+N(K216))</f>
        <v/>
      </c>
      <c r="Q216" s="6" t="n">
        <v>354.83</v>
      </c>
      <c r="R216" s="6">
        <f>Q216-P216</f>
        <v/>
      </c>
    </row>
    <row r="217">
      <c r="P217" s="2" t="inlineStr">
        <is>
          <t>SETCOSTUMERS LABOR</t>
        </is>
      </c>
      <c r="R217" s="8">
        <f>SUM(R215:R216)</f>
        <v/>
      </c>
    </row>
    <row r="219">
      <c r="B219" s="2" t="inlineStr">
        <is>
          <t>KEYMAKE-UP</t>
        </is>
      </c>
    </row>
    <row r="220">
      <c r="A220" s="5" t="inlineStr">
        <is>
          <t>3101</t>
        </is>
      </c>
      <c r="B220" s="5" t="inlineStr">
        <is>
          <t>Eleanor Sabaduquia</t>
        </is>
      </c>
      <c r="C220" s="5" t="inlineStr">
        <is>
          <t>KEYMAKEUPARTIST</t>
        </is>
      </c>
      <c r="D220" s="5" t="inlineStr">
        <is>
          <t>Local706</t>
        </is>
      </c>
      <c r="E220" s="6" t="n">
        <v>25.5</v>
      </c>
      <c r="F220" s="5" t="n"/>
      <c r="G220" s="5" t="n"/>
      <c r="H220" s="5" t="n"/>
      <c r="I220" s="5" t="n"/>
      <c r="J220" s="7">
        <f>IF(AND(N(F220)&gt;0,N(I220)&gt;0),I220-F220-IF(N(G220)&gt;0,0.5,0)-IF(N(H220)&gt;0,0.5,0),0)</f>
        <v/>
      </c>
      <c r="K220" s="5" t="n"/>
      <c r="L220" s="7">
        <f>MIN(J220,10.0)</f>
        <v/>
      </c>
      <c r="M220" s="7">
        <f>MAX(0,MIN(J220,12)-10.0)</f>
        <v/>
      </c>
      <c r="N220" s="7">
        <f>MAX(0,J220-12)</f>
        <v/>
      </c>
      <c r="O220" s="5" t="n"/>
      <c r="P220" s="6">
        <f>E220*(L220+M220*1.5+N220*2+O220*3+N(K220))</f>
        <v/>
      </c>
      <c r="Q220" s="6" t="n">
        <v>439.87</v>
      </c>
      <c r="R220" s="6">
        <f>Q220-P220</f>
        <v/>
      </c>
    </row>
    <row r="221">
      <c r="P221" s="2" t="inlineStr">
        <is>
          <t>KEYMAKE-UP LABOR</t>
        </is>
      </c>
      <c r="R221" s="8">
        <f>SUM(R220:R220)</f>
        <v/>
      </c>
    </row>
    <row r="223">
      <c r="B223" s="2" t="inlineStr">
        <is>
          <t>ASSTMAKE-UP</t>
        </is>
      </c>
    </row>
    <row r="224">
      <c r="A224" s="5" t="inlineStr">
        <is>
          <t>3102</t>
        </is>
      </c>
      <c r="B224" s="5" t="inlineStr">
        <is>
          <t>Yoko Nobushi</t>
        </is>
      </c>
      <c r="C224" s="5" t="inlineStr">
        <is>
          <t>ASSTMAKEUPARTIST#1</t>
        </is>
      </c>
      <c r="D224" s="5" t="inlineStr">
        <is>
          <t>Local706</t>
        </is>
      </c>
      <c r="E224" s="6" t="n">
        <v>23.04</v>
      </c>
      <c r="F224" s="5" t="n"/>
      <c r="G224" s="5" t="n"/>
      <c r="H224" s="5" t="n"/>
      <c r="I224" s="5" t="n"/>
      <c r="J224" s="7">
        <f>IF(AND(N(F224)&gt;0,N(I224)&gt;0),I224-F224-IF(N(G224)&gt;0,0.5,0)-IF(N(H224)&gt;0,0.5,0),0)</f>
        <v/>
      </c>
      <c r="K224" s="5" t="n"/>
      <c r="L224" s="7">
        <f>MIN(J224,10.0)</f>
        <v/>
      </c>
      <c r="M224" s="7">
        <f>MAX(0,MIN(J224,12)-10.0)</f>
        <v/>
      </c>
      <c r="N224" s="7">
        <f>MAX(0,J224-12)</f>
        <v/>
      </c>
      <c r="O224" s="5" t="n"/>
      <c r="P224" s="6">
        <f>E224*(L224+M224*1.5+N224*2+O224*3+N(K224))</f>
        <v/>
      </c>
      <c r="Q224" s="6" t="n">
        <v>397.43</v>
      </c>
      <c r="R224" s="6">
        <f>Q224-P224</f>
        <v/>
      </c>
    </row>
    <row r="225">
      <c r="P225" s="2" t="inlineStr">
        <is>
          <t>ASSTMAKE-UP LABOR</t>
        </is>
      </c>
      <c r="R225" s="8">
        <f>SUM(R224:R224)</f>
        <v/>
      </c>
    </row>
    <row r="227">
      <c r="B227" s="2" t="inlineStr">
        <is>
          <t>ADDITIONALMAKE-UPLABOR</t>
        </is>
      </c>
    </row>
    <row r="228">
      <c r="A228" s="5" t="inlineStr">
        <is>
          <t>3103</t>
        </is>
      </c>
      <c r="B228" s="5" t="inlineStr"/>
      <c r="C228" s="5" t="inlineStr">
        <is>
          <t>ADDLMAKEUPARTISTDAYS</t>
        </is>
      </c>
      <c r="D228" s="5" t="inlineStr">
        <is>
          <t>Local706</t>
        </is>
      </c>
      <c r="E228" s="6" t="n">
        <v>23.04</v>
      </c>
      <c r="F228" s="5" t="n"/>
      <c r="G228" s="5" t="n"/>
      <c r="H228" s="5" t="n"/>
      <c r="I228" s="5" t="n"/>
      <c r="J228" s="7">
        <f>IF(AND(N(F228)&gt;0,N(I228)&gt;0),I228-F228-IF(N(G228)&gt;0,0.5,0)-IF(N(H228)&gt;0,0.5,0),0)</f>
        <v/>
      </c>
      <c r="K228" s="5" t="n"/>
      <c r="L228" s="7">
        <f>MIN(J228,10.0)</f>
        <v/>
      </c>
      <c r="M228" s="7">
        <f>MAX(0,MIN(J228,12)-10.0)</f>
        <v/>
      </c>
      <c r="N228" s="7">
        <f>MAX(0,J228-12)</f>
        <v/>
      </c>
      <c r="O228" s="5" t="n"/>
      <c r="P228" s="6">
        <f>E228*(L228+M228*1.5+N228*2+O228*3+N(K228))</f>
        <v/>
      </c>
      <c r="Q228" s="6" t="n">
        <v>397.43</v>
      </c>
      <c r="R228" s="6">
        <f>Q228-P228</f>
        <v/>
      </c>
    </row>
    <row r="229">
      <c r="P229" s="2" t="inlineStr">
        <is>
          <t>ADDITIONALMAKE-UPLABOR LABOR</t>
        </is>
      </c>
      <c r="R229" s="8">
        <f>SUM(R228:R228)</f>
        <v/>
      </c>
    </row>
    <row r="231">
      <c r="B231" s="2" t="inlineStr">
        <is>
          <t>PROSTHETICS</t>
        </is>
      </c>
    </row>
    <row r="232">
      <c r="A232" s="5" t="inlineStr">
        <is>
          <t>3105</t>
        </is>
      </c>
      <c r="B232" s="5" t="inlineStr"/>
      <c r="C232" s="5" t="inlineStr">
        <is>
          <t>PROSTHETICMAKEUPARTIST</t>
        </is>
      </c>
      <c r="D232" s="5" t="inlineStr">
        <is>
          <t>Local706</t>
        </is>
      </c>
      <c r="E232" s="6" t="n">
        <v>25.5</v>
      </c>
      <c r="F232" s="5" t="n"/>
      <c r="G232" s="5" t="n"/>
      <c r="H232" s="5" t="n"/>
      <c r="I232" s="5" t="n"/>
      <c r="J232" s="7">
        <f>IF(AND(N(F232)&gt;0,N(I232)&gt;0),I232-F232-IF(N(G232)&gt;0,0.5,0)-IF(N(H232)&gt;0,0.5,0),0)</f>
        <v/>
      </c>
      <c r="K232" s="5" t="n"/>
      <c r="L232" s="7">
        <f>MIN(J232,10.0)</f>
        <v/>
      </c>
      <c r="M232" s="7">
        <f>MAX(0,MIN(J232,12)-10.0)</f>
        <v/>
      </c>
      <c r="N232" s="7">
        <f>MAX(0,J232-12)</f>
        <v/>
      </c>
      <c r="O232" s="5" t="n"/>
      <c r="P232" s="6">
        <f>E232*(L232+M232*1.5+N232*2+O232*3+N(K232))</f>
        <v/>
      </c>
      <c r="Q232" s="6" t="n">
        <v>439.87</v>
      </c>
      <c r="R232" s="6">
        <f>Q232-P232</f>
        <v/>
      </c>
    </row>
    <row r="233">
      <c r="A233" s="5" t="inlineStr">
        <is>
          <t>3105</t>
        </is>
      </c>
      <c r="B233" s="5" t="inlineStr"/>
      <c r="C233" s="5" t="inlineStr">
        <is>
          <t>LENSCONSULTANT</t>
        </is>
      </c>
      <c r="D233" s="5" t="inlineStr"/>
      <c r="E233" s="6" t="n">
        <v>50</v>
      </c>
      <c r="F233" s="5" t="n"/>
      <c r="G233" s="5" t="n"/>
      <c r="H233" s="5" t="n"/>
      <c r="I233" s="5" t="n"/>
      <c r="J233" s="7">
        <f>IF(AND(N(F233)&gt;0,N(I233)&gt;0),I233-F233-IF(N(G233)&gt;0,0.5,0)-IF(N(H233)&gt;0,0.5,0),0)</f>
        <v/>
      </c>
      <c r="K233" s="5" t="n"/>
      <c r="L233" s="7">
        <f>MIN(J233,8.0)</f>
        <v/>
      </c>
      <c r="M233" s="7">
        <f>MAX(0,MIN(J233,12)-8.0)</f>
        <v/>
      </c>
      <c r="N233" s="7">
        <f>MAX(0,J233-12)</f>
        <v/>
      </c>
      <c r="O233" s="5" t="n"/>
      <c r="P233" s="6">
        <f>E233*(L233+M233*1.5+N233*2+O233*3+N(K233))</f>
        <v/>
      </c>
      <c r="Q233" s="6" t="n">
        <v>862.53</v>
      </c>
      <c r="R233" s="6">
        <f>Q233-P233</f>
        <v/>
      </c>
    </row>
    <row r="234">
      <c r="P234" s="2" t="inlineStr">
        <is>
          <t>PROSTHETICS LABOR</t>
        </is>
      </c>
      <c r="R234" s="8">
        <f>SUM(R232:R233)</f>
        <v/>
      </c>
    </row>
    <row r="236">
      <c r="B236" s="2" t="inlineStr">
        <is>
          <t>KEYHAIR</t>
        </is>
      </c>
    </row>
    <row r="237">
      <c r="A237" s="5" t="inlineStr">
        <is>
          <t>3111</t>
        </is>
      </c>
      <c r="B237" s="5" t="inlineStr">
        <is>
          <t>Traci Smithe</t>
        </is>
      </c>
      <c r="C237" s="5" t="inlineStr">
        <is>
          <t>KEYHAIR</t>
        </is>
      </c>
      <c r="D237" s="5" t="inlineStr">
        <is>
          <t>Local706</t>
        </is>
      </c>
      <c r="E237" s="6" t="n">
        <v>25.5</v>
      </c>
      <c r="F237" s="5" t="n"/>
      <c r="G237" s="5" t="n"/>
      <c r="H237" s="5" t="n"/>
      <c r="I237" s="5" t="n"/>
      <c r="J237" s="7">
        <f>IF(AND(N(F237)&gt;0,N(I237)&gt;0),I237-F237-IF(N(G237)&gt;0,0.5,0)-IF(N(H237)&gt;0,0.5,0),0)</f>
        <v/>
      </c>
      <c r="K237" s="5" t="n"/>
      <c r="L237" s="7">
        <f>MIN(J237,10.0)</f>
        <v/>
      </c>
      <c r="M237" s="7">
        <f>MAX(0,MIN(J237,12)-10.0)</f>
        <v/>
      </c>
      <c r="N237" s="7">
        <f>MAX(0,J237-12)</f>
        <v/>
      </c>
      <c r="O237" s="5" t="n"/>
      <c r="P237" s="6">
        <f>E237*(L237+M237*1.5+N237*2+O237*3+N(K237))</f>
        <v/>
      </c>
      <c r="Q237" s="6" t="n">
        <v>439.87</v>
      </c>
      <c r="R237" s="6">
        <f>Q237-P237</f>
        <v/>
      </c>
    </row>
    <row r="238">
      <c r="P238" s="2" t="inlineStr">
        <is>
          <t>KEYHAIR LABOR</t>
        </is>
      </c>
      <c r="R238" s="8">
        <f>SUM(R237:R237)</f>
        <v/>
      </c>
    </row>
    <row r="240">
      <c r="B240" s="2" t="inlineStr">
        <is>
          <t>ASSTHAIR</t>
        </is>
      </c>
    </row>
    <row r="241">
      <c r="A241" s="5" t="inlineStr">
        <is>
          <t>3112</t>
        </is>
      </c>
      <c r="B241" s="5" t="inlineStr">
        <is>
          <t>Yunea Cruz</t>
        </is>
      </c>
      <c r="C241" s="5" t="inlineStr">
        <is>
          <t>ASSTHAIRSTYLIST#1</t>
        </is>
      </c>
      <c r="D241" s="5" t="inlineStr">
        <is>
          <t>Local706</t>
        </is>
      </c>
      <c r="E241" s="6" t="n">
        <v>23.04</v>
      </c>
      <c r="F241" s="5" t="n"/>
      <c r="G241" s="5" t="n"/>
      <c r="H241" s="5" t="n"/>
      <c r="I241" s="5" t="n"/>
      <c r="J241" s="7">
        <f>IF(AND(N(F241)&gt;0,N(I241)&gt;0),I241-F241-IF(N(G241)&gt;0,0.5,0)-IF(N(H241)&gt;0,0.5,0),0)</f>
        <v/>
      </c>
      <c r="K241" s="5" t="n"/>
      <c r="L241" s="7">
        <f>MIN(J241,10.0)</f>
        <v/>
      </c>
      <c r="M241" s="7">
        <f>MAX(0,MIN(J241,12)-10.0)</f>
        <v/>
      </c>
      <c r="N241" s="7">
        <f>MAX(0,J241-12)</f>
        <v/>
      </c>
      <c r="O241" s="5" t="n"/>
      <c r="P241" s="6">
        <f>E241*(L241+M241*1.5+N241*2+O241*3+N(K241))</f>
        <v/>
      </c>
      <c r="Q241" s="6" t="n">
        <v>397.43</v>
      </c>
      <c r="R241" s="6">
        <f>Q241-P241</f>
        <v/>
      </c>
    </row>
    <row r="242">
      <c r="P242" s="2" t="inlineStr">
        <is>
          <t>ASSTHAIR LABOR</t>
        </is>
      </c>
      <c r="R242" s="8">
        <f>SUM(R241:R241)</f>
        <v/>
      </c>
    </row>
    <row r="244">
      <c r="B244" s="2" t="inlineStr">
        <is>
          <t>ADDITIONALHAIRLABOR</t>
        </is>
      </c>
    </row>
    <row r="245">
      <c r="A245" s="5" t="inlineStr">
        <is>
          <t>3113</t>
        </is>
      </c>
      <c r="B245" s="5" t="inlineStr"/>
      <c r="C245" s="5" t="inlineStr">
        <is>
          <t>ADDLHAIRSTYLISTDAYS</t>
        </is>
      </c>
      <c r="D245" s="5" t="inlineStr">
        <is>
          <t>Local706</t>
        </is>
      </c>
      <c r="E245" s="6" t="n">
        <v>23.04</v>
      </c>
      <c r="F245" s="5" t="n"/>
      <c r="G245" s="5" t="n"/>
      <c r="H245" s="5" t="n"/>
      <c r="I245" s="5" t="n"/>
      <c r="J245" s="7">
        <f>IF(AND(N(F245)&gt;0,N(I245)&gt;0),I245-F245-IF(N(G245)&gt;0,0.5,0)-IF(N(H245)&gt;0,0.5,0),0)</f>
        <v/>
      </c>
      <c r="K245" s="5" t="n"/>
      <c r="L245" s="7">
        <f>MIN(J245,10.0)</f>
        <v/>
      </c>
      <c r="M245" s="7">
        <f>MAX(0,MIN(J245,12)-10.0)</f>
        <v/>
      </c>
      <c r="N245" s="7">
        <f>MAX(0,J245-12)</f>
        <v/>
      </c>
      <c r="O245" s="5" t="n"/>
      <c r="P245" s="6">
        <f>E245*(L245+M245*1.5+N245*2+O245*3+N(K245))</f>
        <v/>
      </c>
      <c r="Q245" s="6" t="n">
        <v>397.43</v>
      </c>
      <c r="R245" s="6">
        <f>Q245-P245</f>
        <v/>
      </c>
    </row>
    <row r="246">
      <c r="P246" s="2" t="inlineStr">
        <is>
          <t>ADDITIONALHAIRLABOR LABOR</t>
        </is>
      </c>
      <c r="R246" s="8">
        <f>SUM(R245:R245)</f>
        <v/>
      </c>
    </row>
    <row r="248">
      <c r="B248" s="2" t="inlineStr">
        <is>
          <t>GAFFER</t>
        </is>
      </c>
    </row>
    <row r="249">
      <c r="A249" s="5" t="inlineStr">
        <is>
          <t>3201</t>
        </is>
      </c>
      <c r="B249" s="5" t="inlineStr">
        <is>
          <t>Nicholas Kaat</t>
        </is>
      </c>
      <c r="C249" s="5" t="inlineStr">
        <is>
          <t>GAFFER</t>
        </is>
      </c>
      <c r="D249" s="5" t="inlineStr">
        <is>
          <t>Local728</t>
        </is>
      </c>
      <c r="E249" s="6" t="n">
        <v>25.5</v>
      </c>
      <c r="F249" s="5" t="n"/>
      <c r="G249" s="5" t="n"/>
      <c r="H249" s="5" t="n"/>
      <c r="I249" s="5" t="n"/>
      <c r="J249" s="7">
        <f>IF(AND(N(F249)&gt;0,N(I249)&gt;0),I249-F249-IF(N(G249)&gt;0,0.5,0)-IF(N(H249)&gt;0,0.5,0),0)</f>
        <v/>
      </c>
      <c r="K249" s="5" t="n"/>
      <c r="L249" s="7">
        <f>MIN(J249,10.0)</f>
        <v/>
      </c>
      <c r="M249" s="7">
        <f>MAX(0,MIN(J249,12)-10.0)</f>
        <v/>
      </c>
      <c r="N249" s="7">
        <f>MAX(0,J249-12)</f>
        <v/>
      </c>
      <c r="O249" s="5" t="n"/>
      <c r="P249" s="6">
        <f>E249*(L249+M249*1.5+N249*2+O249*3+N(K249))</f>
        <v/>
      </c>
      <c r="Q249" s="6" t="n">
        <v>395.25</v>
      </c>
      <c r="R249" s="6">
        <f>Q249-P249</f>
        <v/>
      </c>
    </row>
    <row r="250">
      <c r="P250" s="2" t="inlineStr">
        <is>
          <t>GAFFER LABOR</t>
        </is>
      </c>
      <c r="R250" s="8">
        <f>SUM(R249:R249)</f>
        <v/>
      </c>
    </row>
    <row r="252">
      <c r="B252" s="2" t="inlineStr">
        <is>
          <t>BESTBOYELECTRIC</t>
        </is>
      </c>
    </row>
    <row r="253">
      <c r="A253" s="5" t="inlineStr">
        <is>
          <t>3202</t>
        </is>
      </c>
      <c r="B253" s="5" t="inlineStr">
        <is>
          <t>Nathan Fetzer</t>
        </is>
      </c>
      <c r="C253" s="5" t="inlineStr">
        <is>
          <t>BESTBOYELECTRIC</t>
        </is>
      </c>
      <c r="D253" s="5" t="inlineStr">
        <is>
          <t>Local728</t>
        </is>
      </c>
      <c r="E253" s="6" t="n">
        <v>23.04</v>
      </c>
      <c r="F253" s="5" t="n"/>
      <c r="G253" s="5" t="n"/>
      <c r="H253" s="5" t="n"/>
      <c r="I253" s="5" t="n"/>
      <c r="J253" s="7">
        <f>IF(AND(N(F253)&gt;0,N(I253)&gt;0),I253-F253-IF(N(G253)&gt;0,0.5,0)-IF(N(H253)&gt;0,0.5,0),0)</f>
        <v/>
      </c>
      <c r="K253" s="5" t="n"/>
      <c r="L253" s="7">
        <f>MIN(J253,10.0)</f>
        <v/>
      </c>
      <c r="M253" s="7">
        <f>MAX(0,MIN(J253,12)-10.0)</f>
        <v/>
      </c>
      <c r="N253" s="7">
        <f>MAX(0,J253-12)</f>
        <v/>
      </c>
      <c r="O253" s="5" t="n"/>
      <c r="P253" s="6">
        <f>E253*(L253+M253*1.5+N253*2+O253*3+N(K253))</f>
        <v/>
      </c>
      <c r="Q253" s="6" t="n">
        <v>357.12</v>
      </c>
      <c r="R253" s="6">
        <f>Q253-P253</f>
        <v/>
      </c>
    </row>
    <row r="254">
      <c r="A254" s="5" t="inlineStr">
        <is>
          <t>3202</t>
        </is>
      </c>
      <c r="B254" s="5" t="inlineStr"/>
      <c r="C254" s="5" t="inlineStr">
        <is>
          <t>STUDIOBESTBOYELECTRIC</t>
        </is>
      </c>
      <c r="D254" s="5" t="inlineStr">
        <is>
          <t>Local728</t>
        </is>
      </c>
      <c r="E254" s="6" t="n">
        <v>43.05</v>
      </c>
      <c r="F254" s="5" t="n"/>
      <c r="G254" s="5" t="n"/>
      <c r="H254" s="5" t="n"/>
      <c r="I254" s="5" t="n"/>
      <c r="J254" s="7">
        <f>IF(AND(N(F254)&gt;0,N(I254)&gt;0),I254-F254-IF(N(G254)&gt;0,0.5,0)-IF(N(H254)&gt;0,0.5,0),0)</f>
        <v/>
      </c>
      <c r="K254" s="5" t="n"/>
      <c r="L254" s="7">
        <f>MIN(J254,10.0)</f>
        <v/>
      </c>
      <c r="M254" s="7">
        <f>MAX(0,MIN(J254,12)-10.0)</f>
        <v/>
      </c>
      <c r="N254" s="7">
        <f>MAX(0,J254-12)</f>
        <v/>
      </c>
      <c r="O254" s="5" t="n"/>
      <c r="P254" s="6">
        <f>E254*(L254+M254*1.5+N254*2+O254*3+N(K254))</f>
        <v/>
      </c>
      <c r="Q254" s="6" t="n">
        <v>667.27</v>
      </c>
      <c r="R254" s="6">
        <f>Q254-P254</f>
        <v/>
      </c>
    </row>
    <row r="255">
      <c r="P255" s="2" t="inlineStr">
        <is>
          <t>BESTBOYELECTRIC LABOR</t>
        </is>
      </c>
      <c r="R255" s="8">
        <f>SUM(R253:R254)</f>
        <v/>
      </c>
    </row>
    <row r="257">
      <c r="B257" s="2" t="inlineStr">
        <is>
          <t>ELECTRICIANS</t>
        </is>
      </c>
    </row>
    <row r="258">
      <c r="A258" s="5" t="inlineStr">
        <is>
          <t>3204</t>
        </is>
      </c>
      <c r="B258" s="5" t="inlineStr"/>
      <c r="C258" s="5" t="inlineStr">
        <is>
          <t>ELECTRICIAN#1</t>
        </is>
      </c>
      <c r="D258" s="5" t="inlineStr">
        <is>
          <t>Local728</t>
        </is>
      </c>
      <c r="E258" s="6" t="n">
        <v>20.57</v>
      </c>
      <c r="F258" s="5" t="n"/>
      <c r="G258" s="5" t="n"/>
      <c r="H258" s="5" t="n"/>
      <c r="I258" s="5" t="n"/>
      <c r="J258" s="7">
        <f>IF(AND(N(F258)&gt;0,N(I258)&gt;0),I258-F258-IF(N(G258)&gt;0,0.5,0)-IF(N(H258)&gt;0,0.5,0),0)</f>
        <v/>
      </c>
      <c r="K258" s="5" t="n"/>
      <c r="L258" s="7">
        <f>MIN(J258,10.0)</f>
        <v/>
      </c>
      <c r="M258" s="7">
        <f>MAX(0,MIN(J258,12)-10.0)</f>
        <v/>
      </c>
      <c r="N258" s="7">
        <f>MAX(0,J258-12)</f>
        <v/>
      </c>
      <c r="O258" s="5" t="n"/>
      <c r="P258" s="6">
        <f>E258*(L258+M258*1.5+N258*2+O258*3+N(K258))</f>
        <v/>
      </c>
      <c r="Q258" s="6" t="n">
        <v>318.83</v>
      </c>
      <c r="R258" s="6">
        <f>Q258-P258</f>
        <v/>
      </c>
    </row>
    <row r="259">
      <c r="A259" s="5" t="inlineStr">
        <is>
          <t>3204</t>
        </is>
      </c>
      <c r="B259" s="5" t="inlineStr"/>
      <c r="C259" s="5" t="inlineStr">
        <is>
          <t>ELECTRICIAN#2</t>
        </is>
      </c>
      <c r="D259" s="5" t="inlineStr">
        <is>
          <t>Local728</t>
        </is>
      </c>
      <c r="E259" s="6" t="n">
        <v>20.57</v>
      </c>
      <c r="F259" s="5" t="n"/>
      <c r="G259" s="5" t="n"/>
      <c r="H259" s="5" t="n"/>
      <c r="I259" s="5" t="n"/>
      <c r="J259" s="7">
        <f>IF(AND(N(F259)&gt;0,N(I259)&gt;0),I259-F259-IF(N(G259)&gt;0,0.5,0)-IF(N(H259)&gt;0,0.5,0),0)</f>
        <v/>
      </c>
      <c r="K259" s="5" t="n"/>
      <c r="L259" s="7">
        <f>MIN(J259,10.0)</f>
        <v/>
      </c>
      <c r="M259" s="7">
        <f>MAX(0,MIN(J259,12)-10.0)</f>
        <v/>
      </c>
      <c r="N259" s="7">
        <f>MAX(0,J259-12)</f>
        <v/>
      </c>
      <c r="O259" s="5" t="n"/>
      <c r="P259" s="6">
        <f>E259*(L259+M259*1.5+N259*2+O259*3+N(K259))</f>
        <v/>
      </c>
      <c r="Q259" s="6" t="n">
        <v>318.83</v>
      </c>
      <c r="R259" s="6">
        <f>Q259-P259</f>
        <v/>
      </c>
    </row>
    <row r="260">
      <c r="A260" s="5" t="inlineStr">
        <is>
          <t>3204</t>
        </is>
      </c>
      <c r="B260" s="5" t="inlineStr"/>
      <c r="C260" s="5" t="inlineStr">
        <is>
          <t>ELECTRICIAN#3</t>
        </is>
      </c>
      <c r="D260" s="5" t="inlineStr">
        <is>
          <t>Local728</t>
        </is>
      </c>
      <c r="E260" s="6" t="n">
        <v>20.57</v>
      </c>
      <c r="F260" s="5" t="n"/>
      <c r="G260" s="5" t="n"/>
      <c r="H260" s="5" t="n"/>
      <c r="I260" s="5" t="n"/>
      <c r="J260" s="7">
        <f>IF(AND(N(F260)&gt;0,N(I260)&gt;0),I260-F260-IF(N(G260)&gt;0,0.5,0)-IF(N(H260)&gt;0,0.5,0),0)</f>
        <v/>
      </c>
      <c r="K260" s="5" t="n"/>
      <c r="L260" s="7">
        <f>MIN(J260,10.0)</f>
        <v/>
      </c>
      <c r="M260" s="7">
        <f>MAX(0,MIN(J260,12)-10.0)</f>
        <v/>
      </c>
      <c r="N260" s="7">
        <f>MAX(0,J260-12)</f>
        <v/>
      </c>
      <c r="O260" s="5" t="n"/>
      <c r="P260" s="6">
        <f>E260*(L260+M260*1.5+N260*2+O260*3+N(K260))</f>
        <v/>
      </c>
      <c r="Q260" s="6" t="n">
        <v>318.83</v>
      </c>
      <c r="R260" s="6">
        <f>Q260-P260</f>
        <v/>
      </c>
    </row>
    <row r="261">
      <c r="P261" s="2" t="inlineStr">
        <is>
          <t>ELECTRICIANS LABOR</t>
        </is>
      </c>
      <c r="R261" s="8">
        <f>SUM(R258:R260)</f>
        <v/>
      </c>
    </row>
    <row r="263">
      <c r="B263" s="2" t="inlineStr">
        <is>
          <t>ADDITIONALELECTRICLABOR</t>
        </is>
      </c>
    </row>
    <row r="264">
      <c r="A264" s="5" t="inlineStr">
        <is>
          <t>3206</t>
        </is>
      </c>
      <c r="B264" s="5" t="inlineStr"/>
      <c r="C264" s="5" t="inlineStr">
        <is>
          <t>ELECTRICMANDAYS&amp;RIGGINGMANDAYS</t>
        </is>
      </c>
      <c r="D264" s="5" t="inlineStr">
        <is>
          <t>Local728</t>
        </is>
      </c>
      <c r="E264" s="6" t="n">
        <v>20.57</v>
      </c>
      <c r="F264" s="5" t="n"/>
      <c r="G264" s="5" t="n"/>
      <c r="H264" s="5" t="n"/>
      <c r="I264" s="5" t="n"/>
      <c r="J264" s="7">
        <f>IF(AND(N(F264)&gt;0,N(I264)&gt;0),I264-F264-IF(N(G264)&gt;0,0.5,0)-IF(N(H264)&gt;0,0.5,0),0)</f>
        <v/>
      </c>
      <c r="K264" s="5" t="n"/>
      <c r="L264" s="7">
        <f>MIN(J264,10.0)</f>
        <v/>
      </c>
      <c r="M264" s="7">
        <f>MAX(0,MIN(J264,12)-10.0)</f>
        <v/>
      </c>
      <c r="N264" s="7">
        <f>MAX(0,J264-12)</f>
        <v/>
      </c>
      <c r="O264" s="5" t="n"/>
      <c r="P264" s="6">
        <f>E264*(L264+M264*1.5+N264*2+O264*3+N(K264))</f>
        <v/>
      </c>
      <c r="Q264" s="6" t="n">
        <v>318.83</v>
      </c>
      <c r="R264" s="6">
        <f>Q264-P264</f>
        <v/>
      </c>
    </row>
    <row r="265">
      <c r="P265" s="2" t="inlineStr">
        <is>
          <t>ADDITIONALELECTRICLABOR LABOR</t>
        </is>
      </c>
      <c r="R265" s="8">
        <f>SUM(R264:R264)</f>
        <v/>
      </c>
    </row>
    <row r="267">
      <c r="B267" s="2" t="inlineStr">
        <is>
          <t>DIRECTOROFPHOTOGRAPHY</t>
        </is>
      </c>
    </row>
    <row r="268">
      <c r="A268" s="5" t="inlineStr">
        <is>
          <t>3301</t>
        </is>
      </c>
      <c r="B268" s="5" t="inlineStr">
        <is>
          <t>Michael Burgess</t>
        </is>
      </c>
      <c r="C268" s="5" t="inlineStr">
        <is>
          <t>DIRECTOROFPHOTOGRAPHY</t>
        </is>
      </c>
      <c r="D268" s="5" t="inlineStr">
        <is>
          <t>Local600</t>
        </is>
      </c>
      <c r="E268" s="6" t="n">
        <v>700</v>
      </c>
      <c r="F268" s="5" t="n"/>
      <c r="G268" s="5" t="n"/>
      <c r="H268" s="5" t="n"/>
      <c r="I268" s="5" t="n"/>
      <c r="J268" s="7">
        <f>IF(AND(N(F268)&gt;0,N(I268)&gt;0),I268-F268-IF(N(G268)&gt;0,0.5,0)-IF(N(H268)&gt;0,0.5,0),0)</f>
        <v/>
      </c>
      <c r="K268" s="5" t="n"/>
      <c r="L268" s="7">
        <f>MIN(J268,8.0)</f>
        <v/>
      </c>
      <c r="M268" s="7">
        <f>MAX(0,MIN(J268,12)-8.0)</f>
        <v/>
      </c>
      <c r="N268" s="7">
        <f>MAX(0,J268-12)</f>
        <v/>
      </c>
      <c r="O268" s="5" t="n"/>
      <c r="P268" s="6">
        <f>E268*(L268+M268*1.5+N268*2+O268*3+N(K268))</f>
        <v/>
      </c>
      <c r="Q268" s="6" t="n">
        <v>700</v>
      </c>
      <c r="R268" s="6">
        <f>Q268-P268</f>
        <v/>
      </c>
    </row>
    <row r="269">
      <c r="P269" s="2" t="inlineStr">
        <is>
          <t>DIRECTOROFPHOTOGRAPHY LABOR</t>
        </is>
      </c>
      <c r="R269" s="8">
        <f>SUM(R268:R268)</f>
        <v/>
      </c>
    </row>
    <row r="271">
      <c r="B271" s="2" t="inlineStr">
        <is>
          <t>CAMERAOPERATORS</t>
        </is>
      </c>
    </row>
    <row r="272">
      <c r="A272" s="5" t="inlineStr">
        <is>
          <t>3302</t>
        </is>
      </c>
      <c r="B272" s="5" t="inlineStr">
        <is>
          <t>Craig Bauer</t>
        </is>
      </c>
      <c r="C272" s="5" t="inlineStr">
        <is>
          <t>"B"CAMERAOP</t>
        </is>
      </c>
      <c r="D272" s="5" t="inlineStr">
        <is>
          <t>Local600</t>
        </is>
      </c>
      <c r="E272" s="6" t="n">
        <v>45</v>
      </c>
      <c r="F272" s="5" t="n"/>
      <c r="G272" s="5" t="n"/>
      <c r="H272" s="5" t="n"/>
      <c r="I272" s="5" t="n"/>
      <c r="J272" s="7">
        <f>IF(AND(N(F272)&gt;0,N(I272)&gt;0),I272-F272-IF(N(G272)&gt;0,0.5,0)-IF(N(H272)&gt;0,0.5,0),0)</f>
        <v/>
      </c>
      <c r="K272" s="5" t="n"/>
      <c r="L272" s="7">
        <f>MIN(J272,8.0)</f>
        <v/>
      </c>
      <c r="M272" s="7">
        <f>MAX(0,MIN(J272,12)-8.0)</f>
        <v/>
      </c>
      <c r="N272" s="7">
        <f>MAX(0,J272-12)</f>
        <v/>
      </c>
      <c r="O272" s="5" t="n"/>
      <c r="P272" s="6">
        <f>E272*(L272+M272*1.5+N272*2+O272*3+N(K272))</f>
        <v/>
      </c>
      <c r="Q272" s="6" t="n">
        <v>630</v>
      </c>
      <c r="R272" s="6">
        <f>Q272-P272</f>
        <v/>
      </c>
    </row>
    <row r="273">
      <c r="P273" s="2" t="inlineStr">
        <is>
          <t>CAMERAOPERATORS LABOR</t>
        </is>
      </c>
      <c r="R273" s="8">
        <f>SUM(R272:R272)</f>
        <v/>
      </c>
    </row>
    <row r="275">
      <c r="B275" s="2" t="inlineStr">
        <is>
          <t>DIGITALIMAGINGTECHS</t>
        </is>
      </c>
    </row>
    <row r="276">
      <c r="A276" s="5" t="inlineStr">
        <is>
          <t>3304</t>
        </is>
      </c>
      <c r="B276" s="5" t="inlineStr">
        <is>
          <t>Oliver Mancebo</t>
        </is>
      </c>
      <c r="C276" s="5" t="inlineStr">
        <is>
          <t>DIT</t>
        </is>
      </c>
      <c r="D276" s="5" t="inlineStr">
        <is>
          <t>Local600</t>
        </is>
      </c>
      <c r="E276" s="6" t="n">
        <v>35</v>
      </c>
      <c r="F276" s="5" t="n"/>
      <c r="G276" s="5" t="n"/>
      <c r="H276" s="5" t="n"/>
      <c r="I276" s="5" t="n"/>
      <c r="J276" s="7">
        <f>IF(AND(N(F276)&gt;0,N(I276)&gt;0),I276-F276-IF(N(G276)&gt;0,0.5,0)-IF(N(H276)&gt;0,0.5,0),0)</f>
        <v/>
      </c>
      <c r="K276" s="5" t="n"/>
      <c r="L276" s="7">
        <f>MIN(J276,8.0)</f>
        <v/>
      </c>
      <c r="M276" s="7">
        <f>MAX(0,MIN(J276,12)-8.0)</f>
        <v/>
      </c>
      <c r="N276" s="7">
        <f>MAX(0,J276-12)</f>
        <v/>
      </c>
      <c r="O276" s="5" t="n"/>
      <c r="P276" s="6">
        <f>E276*(L276+M276*1.5+N276*2+O276*3+N(K276))</f>
        <v/>
      </c>
      <c r="Q276" s="6" t="n">
        <v>542.5</v>
      </c>
      <c r="R276" s="6">
        <f>Q276-P276</f>
        <v/>
      </c>
    </row>
    <row r="277">
      <c r="P277" s="2" t="inlineStr">
        <is>
          <t>DIGITALIMAGINGTECHS LABOR</t>
        </is>
      </c>
      <c r="R277" s="8">
        <f>SUM(R276:R276)</f>
        <v/>
      </c>
    </row>
    <row r="279">
      <c r="B279" s="2" t="inlineStr">
        <is>
          <t>1STASSTCAMERA</t>
        </is>
      </c>
    </row>
    <row r="280">
      <c r="A280" s="5" t="inlineStr">
        <is>
          <t>3305</t>
        </is>
      </c>
      <c r="B280" s="5" t="inlineStr">
        <is>
          <t>Steve Cueva</t>
        </is>
      </c>
      <c r="C280" s="5" t="inlineStr">
        <is>
          <t>"A"CAMERA 1STAC</t>
        </is>
      </c>
      <c r="D280" s="5" t="inlineStr">
        <is>
          <t>Local600</t>
        </is>
      </c>
      <c r="E280" s="6" t="n">
        <v>25.5</v>
      </c>
      <c r="F280" s="5" t="n"/>
      <c r="G280" s="5" t="n"/>
      <c r="H280" s="5" t="n"/>
      <c r="I280" s="5" t="n"/>
      <c r="J280" s="7">
        <f>IF(AND(N(F280)&gt;0,N(I280)&gt;0),I280-F280-IF(N(G280)&gt;0,0.5,0)-IF(N(H280)&gt;0,0.5,0),0)</f>
        <v/>
      </c>
      <c r="K280" s="5" t="n"/>
      <c r="L280" s="7">
        <f>MIN(J280,8.0)</f>
        <v/>
      </c>
      <c r="M280" s="7">
        <f>MAX(0,MIN(J280,12)-8.0)</f>
        <v/>
      </c>
      <c r="N280" s="7">
        <f>MAX(0,J280-12)</f>
        <v/>
      </c>
      <c r="O280" s="5" t="n"/>
      <c r="P280" s="6">
        <f>E280*(L280+M280*1.5+N280*2+O280*3+N(K280))</f>
        <v/>
      </c>
      <c r="Q280" s="6" t="n">
        <v>395.25</v>
      </c>
      <c r="R280" s="6">
        <f>Q280-P280</f>
        <v/>
      </c>
    </row>
    <row r="281">
      <c r="A281" s="5" t="inlineStr">
        <is>
          <t>3305</t>
        </is>
      </c>
      <c r="B281" s="5" t="inlineStr">
        <is>
          <t>Chris Garcia</t>
        </is>
      </c>
      <c r="C281" s="5" t="inlineStr">
        <is>
          <t>"B"CAMERA 1STAC</t>
        </is>
      </c>
      <c r="D281" s="5" t="inlineStr">
        <is>
          <t>Local600</t>
        </is>
      </c>
      <c r="E281" s="6" t="n">
        <v>25.5</v>
      </c>
      <c r="F281" s="5" t="n"/>
      <c r="G281" s="5" t="n"/>
      <c r="H281" s="5" t="n"/>
      <c r="I281" s="5" t="n"/>
      <c r="J281" s="7">
        <f>IF(AND(N(F281)&gt;0,N(I281)&gt;0),I281-F281-IF(N(G281)&gt;0,0.5,0)-IF(N(H281)&gt;0,0.5,0),0)</f>
        <v/>
      </c>
      <c r="K281" s="5" t="n"/>
      <c r="L281" s="7">
        <f>MIN(J281,8.0)</f>
        <v/>
      </c>
      <c r="M281" s="7">
        <f>MAX(0,MIN(J281,12)-8.0)</f>
        <v/>
      </c>
      <c r="N281" s="7">
        <f>MAX(0,J281-12)</f>
        <v/>
      </c>
      <c r="O281" s="5" t="n"/>
      <c r="P281" s="6">
        <f>E281*(L281+M281*1.5+N281*2+O281*3+N(K281))</f>
        <v/>
      </c>
      <c r="Q281" s="6" t="n">
        <v>395.25</v>
      </c>
      <c r="R281" s="6">
        <f>Q281-P281</f>
        <v/>
      </c>
    </row>
    <row r="282">
      <c r="P282" s="2" t="inlineStr">
        <is>
          <t>1STASSTCAMERA LABOR</t>
        </is>
      </c>
      <c r="R282" s="8">
        <f>SUM(R280:R281)</f>
        <v/>
      </c>
    </row>
    <row r="284">
      <c r="B284" s="2" t="inlineStr">
        <is>
          <t>2NDASSTCAMERA</t>
        </is>
      </c>
    </row>
    <row r="285">
      <c r="A285" s="5" t="inlineStr">
        <is>
          <t>3306</t>
        </is>
      </c>
      <c r="B285" s="5" t="inlineStr">
        <is>
          <t>Manny Serrano</t>
        </is>
      </c>
      <c r="C285" s="5" t="inlineStr">
        <is>
          <t>"A"CAMERA 2NDAC</t>
        </is>
      </c>
      <c r="D285" s="5" t="inlineStr">
        <is>
          <t>Local600</t>
        </is>
      </c>
      <c r="E285" s="6" t="n">
        <v>23.04</v>
      </c>
      <c r="F285" s="5" t="n"/>
      <c r="G285" s="5" t="n"/>
      <c r="H285" s="5" t="n"/>
      <c r="I285" s="5" t="n"/>
      <c r="J285" s="7">
        <f>IF(AND(N(F285)&gt;0,N(I285)&gt;0),I285-F285-IF(N(G285)&gt;0,0.5,0)-IF(N(H285)&gt;0,0.5,0),0)</f>
        <v/>
      </c>
      <c r="K285" s="5" t="n"/>
      <c r="L285" s="7">
        <f>MIN(J285,8.0)</f>
        <v/>
      </c>
      <c r="M285" s="7">
        <f>MAX(0,MIN(J285,12)-8.0)</f>
        <v/>
      </c>
      <c r="N285" s="7">
        <f>MAX(0,J285-12)</f>
        <v/>
      </c>
      <c r="O285" s="5" t="n"/>
      <c r="P285" s="6">
        <f>E285*(L285+M285*1.5+N285*2+O285*3+N(K285))</f>
        <v/>
      </c>
      <c r="Q285" s="6" t="n">
        <v>357.12</v>
      </c>
      <c r="R285" s="6">
        <f>Q285-P285</f>
        <v/>
      </c>
    </row>
    <row r="286">
      <c r="A286" s="5" t="inlineStr">
        <is>
          <t>3306</t>
        </is>
      </c>
      <c r="B286" s="5" t="inlineStr"/>
      <c r="C286" s="5" t="inlineStr">
        <is>
          <t>"B"CAMERA 2NDAC</t>
        </is>
      </c>
      <c r="D286" s="5" t="inlineStr">
        <is>
          <t>Local600</t>
        </is>
      </c>
      <c r="E286" s="6" t="n">
        <v>23.04</v>
      </c>
      <c r="F286" s="5" t="n"/>
      <c r="G286" s="5" t="n"/>
      <c r="H286" s="5" t="n"/>
      <c r="I286" s="5" t="n"/>
      <c r="J286" s="7">
        <f>IF(AND(N(F286)&gt;0,N(I286)&gt;0),I286-F286-IF(N(G286)&gt;0,0.5,0)-IF(N(H286)&gt;0,0.5,0),0)</f>
        <v/>
      </c>
      <c r="K286" s="5" t="n"/>
      <c r="L286" s="7">
        <f>MIN(J286,8.0)</f>
        <v/>
      </c>
      <c r="M286" s="7">
        <f>MAX(0,MIN(J286,12)-8.0)</f>
        <v/>
      </c>
      <c r="N286" s="7">
        <f>MAX(0,J286-12)</f>
        <v/>
      </c>
      <c r="O286" s="5" t="n"/>
      <c r="P286" s="6">
        <f>E286*(L286+M286*1.5+N286*2+O286*3+N(K286))</f>
        <v/>
      </c>
      <c r="Q286" s="6" t="n">
        <v>357.12</v>
      </c>
      <c r="R286" s="6">
        <f>Q286-P286</f>
        <v/>
      </c>
    </row>
    <row r="287">
      <c r="P287" s="2" t="inlineStr">
        <is>
          <t>2NDASSTCAMERA LABOR</t>
        </is>
      </c>
      <c r="R287" s="8">
        <f>SUM(R285:R286)</f>
        <v/>
      </c>
    </row>
    <row r="289">
      <c r="B289" s="2" t="inlineStr">
        <is>
          <t>STILLPHOTOGRAPHER</t>
        </is>
      </c>
    </row>
    <row r="290">
      <c r="A290" s="5" t="inlineStr">
        <is>
          <t>3308</t>
        </is>
      </c>
      <c r="B290" s="5" t="inlineStr">
        <is>
          <t>Scott Patrick Green</t>
        </is>
      </c>
      <c r="C290" s="5" t="inlineStr">
        <is>
          <t>STILLPHOTOGRAPHER</t>
        </is>
      </c>
      <c r="D290" s="5" t="inlineStr">
        <is>
          <t>Local600</t>
        </is>
      </c>
      <c r="E290" s="6" t="n">
        <v>26.5</v>
      </c>
      <c r="F290" s="5" t="n"/>
      <c r="G290" s="5" t="n"/>
      <c r="H290" s="5" t="n"/>
      <c r="I290" s="5" t="n"/>
      <c r="J290" s="7">
        <f>IF(AND(N(F290)&gt;0,N(I290)&gt;0),I290-F290-IF(N(G290)&gt;0,0.5,0)-IF(N(H290)&gt;0,0.5,0),0)</f>
        <v/>
      </c>
      <c r="K290" s="5" t="n"/>
      <c r="L290" s="7">
        <f>MIN(J290,8.0)</f>
        <v/>
      </c>
      <c r="M290" s="7">
        <f>MAX(0,MIN(J290,12)-8.0)</f>
        <v/>
      </c>
      <c r="N290" s="7">
        <f>MAX(0,J290-12)</f>
        <v/>
      </c>
      <c r="O290" s="5" t="n"/>
      <c r="P290" s="6">
        <f>E290*(L290+M290*1.5+N290*2+O290*3+N(K290))</f>
        <v/>
      </c>
      <c r="Q290" s="6" t="n">
        <v>291.5</v>
      </c>
      <c r="R290" s="6">
        <f>Q290-P290</f>
        <v/>
      </c>
    </row>
    <row r="291">
      <c r="P291" s="2" t="inlineStr">
        <is>
          <t>STILLPHOTOGRAPHER LABOR</t>
        </is>
      </c>
      <c r="R291" s="8">
        <f>SUM(R290:R290)</f>
        <v/>
      </c>
    </row>
    <row r="293">
      <c r="B293" s="2" t="inlineStr">
        <is>
          <t>AERIAL/UNDERWATERPHOTOGRAPHY</t>
        </is>
      </c>
    </row>
    <row r="294">
      <c r="A294" s="5" t="inlineStr">
        <is>
          <t>3385</t>
        </is>
      </c>
      <c r="B294" s="5" t="inlineStr"/>
      <c r="C294" s="5" t="inlineStr">
        <is>
          <t>UNDERWATEROPERATOR</t>
        </is>
      </c>
      <c r="D294" s="5" t="inlineStr">
        <is>
          <t>Local600</t>
        </is>
      </c>
      <c r="E294" s="6" t="n">
        <v>65</v>
      </c>
      <c r="F294" s="5" t="n"/>
      <c r="G294" s="5" t="n"/>
      <c r="H294" s="5" t="n"/>
      <c r="I294" s="5" t="n"/>
      <c r="J294" s="7">
        <f>IF(AND(N(F294)&gt;0,N(I294)&gt;0),I294-F294-IF(N(G294)&gt;0,0.5,0)-IF(N(H294)&gt;0,0.5,0),0)</f>
        <v/>
      </c>
      <c r="K294" s="5" t="n"/>
      <c r="L294" s="7">
        <f>MIN(J294,8.0)</f>
        <v/>
      </c>
      <c r="M294" s="7">
        <f>MAX(0,MIN(J294,12)-8.0)</f>
        <v/>
      </c>
      <c r="N294" s="7">
        <f>MAX(0,J294-12)</f>
        <v/>
      </c>
      <c r="O294" s="5" t="n"/>
      <c r="P294" s="6">
        <f>E294*(L294+M294*1.5+N294*2+O294*3+N(K294))</f>
        <v/>
      </c>
      <c r="Q294" s="6" t="n">
        <v>910</v>
      </c>
      <c r="R294" s="6">
        <f>Q294-P294</f>
        <v/>
      </c>
    </row>
    <row r="295">
      <c r="P295" s="2" t="inlineStr">
        <is>
          <t>AERIAL/UNDERWATERPHOTOGRAPHY LABOR</t>
        </is>
      </c>
      <c r="R295" s="8">
        <f>SUM(R294:R294)</f>
        <v/>
      </c>
    </row>
    <row r="297">
      <c r="B297" s="2" t="inlineStr">
        <is>
          <t>SOUNDMIXER</t>
        </is>
      </c>
    </row>
    <row r="298">
      <c r="A298" s="5" t="inlineStr">
        <is>
          <t>3401</t>
        </is>
      </c>
      <c r="B298" s="5" t="inlineStr">
        <is>
          <t>Julian Howarth</t>
        </is>
      </c>
      <c r="C298" s="5" t="inlineStr">
        <is>
          <t>SOUNDMIXER</t>
        </is>
      </c>
      <c r="D298" s="5" t="inlineStr">
        <is>
          <t>Local695</t>
        </is>
      </c>
      <c r="E298" s="6" t="n">
        <v>26.5</v>
      </c>
      <c r="F298" s="5" t="n"/>
      <c r="G298" s="5" t="n"/>
      <c r="H298" s="5" t="n"/>
      <c r="I298" s="5" t="n"/>
      <c r="J298" s="7">
        <f>IF(AND(N(F298)&gt;0,N(I298)&gt;0),I298-F298-IF(N(G298)&gt;0,0.5,0)-IF(N(H298)&gt;0,0.5,0),0)</f>
        <v/>
      </c>
      <c r="K298" s="5" t="n"/>
      <c r="L298" s="7">
        <f>MIN(J298,10.0)</f>
        <v/>
      </c>
      <c r="M298" s="7">
        <f>MAX(0,MIN(J298,12)-10.0)</f>
        <v/>
      </c>
      <c r="N298" s="7">
        <f>MAX(0,J298-12)</f>
        <v/>
      </c>
      <c r="O298" s="5" t="n"/>
      <c r="P298" s="6">
        <f>E298*(L298+M298*1.5+N298*2+O298*3+N(K298))</f>
        <v/>
      </c>
      <c r="Q298" s="6" t="n">
        <v>410.75</v>
      </c>
      <c r="R298" s="6">
        <f>Q298-P298</f>
        <v/>
      </c>
    </row>
    <row r="299">
      <c r="P299" s="2" t="inlineStr">
        <is>
          <t>SOUNDMIXER LABOR</t>
        </is>
      </c>
      <c r="R299" s="8">
        <f>SUM(R298:R298)</f>
        <v/>
      </c>
    </row>
    <row r="301">
      <c r="B301" s="2" t="inlineStr">
        <is>
          <t>BOOMOPERATOR</t>
        </is>
      </c>
    </row>
    <row r="302">
      <c r="A302" s="5" t="inlineStr">
        <is>
          <t>3402</t>
        </is>
      </c>
      <c r="B302" s="5" t="inlineStr">
        <is>
          <t>Tim Song Jones</t>
        </is>
      </c>
      <c r="C302" s="5" t="inlineStr">
        <is>
          <t>BOOMOPERATOR</t>
        </is>
      </c>
      <c r="D302" s="5" t="inlineStr">
        <is>
          <t>Local695</t>
        </is>
      </c>
      <c r="E302" s="6" t="n">
        <v>23.04</v>
      </c>
      <c r="F302" s="5" t="n"/>
      <c r="G302" s="5" t="n"/>
      <c r="H302" s="5" t="n"/>
      <c r="I302" s="5" t="n"/>
      <c r="J302" s="7">
        <f>IF(AND(N(F302)&gt;0,N(I302)&gt;0),I302-F302-IF(N(G302)&gt;0,0.5,0)-IF(N(H302)&gt;0,0.5,0),0)</f>
        <v/>
      </c>
      <c r="K302" s="5" t="n"/>
      <c r="L302" s="7">
        <f>MIN(J302,10.0)</f>
        <v/>
      </c>
      <c r="M302" s="7">
        <f>MAX(0,MIN(J302,12)-10.0)</f>
        <v/>
      </c>
      <c r="N302" s="7">
        <f>MAX(0,J302-12)</f>
        <v/>
      </c>
      <c r="O302" s="5" t="n"/>
      <c r="P302" s="6">
        <f>E302*(L302+M302*1.5+N302*2+O302*3+N(K302))</f>
        <v/>
      </c>
      <c r="Q302" s="6" t="n">
        <v>357.12</v>
      </c>
      <c r="R302" s="6">
        <f>Q302-P302</f>
        <v/>
      </c>
    </row>
    <row r="303">
      <c r="P303" s="2" t="inlineStr">
        <is>
          <t>BOOMOPERATOR LABOR</t>
        </is>
      </c>
      <c r="R303" s="8">
        <f>SUM(R302:R302)</f>
        <v/>
      </c>
    </row>
    <row r="305">
      <c r="B305" s="2" t="inlineStr">
        <is>
          <t>CABLEPERSON</t>
        </is>
      </c>
    </row>
    <row r="306">
      <c r="A306" s="5" t="inlineStr">
        <is>
          <t>3403</t>
        </is>
      </c>
      <c r="B306" s="5" t="inlineStr"/>
      <c r="C306" s="5" t="inlineStr">
        <is>
          <t>UTILITYSOUND</t>
        </is>
      </c>
      <c r="D306" s="5" t="inlineStr">
        <is>
          <t>Local695</t>
        </is>
      </c>
      <c r="E306" s="6" t="n">
        <v>20.57</v>
      </c>
      <c r="F306" s="5" t="n"/>
      <c r="G306" s="5" t="n"/>
      <c r="H306" s="5" t="n"/>
      <c r="I306" s="5" t="n"/>
      <c r="J306" s="7">
        <f>IF(AND(N(F306)&gt;0,N(I306)&gt;0),I306-F306-IF(N(G306)&gt;0,0.5,0)-IF(N(H306)&gt;0,0.5,0),0)</f>
        <v/>
      </c>
      <c r="K306" s="5" t="n"/>
      <c r="L306" s="7">
        <f>MIN(J306,10.0)</f>
        <v/>
      </c>
      <c r="M306" s="7">
        <f>MAX(0,MIN(J306,12)-10.0)</f>
        <v/>
      </c>
      <c r="N306" s="7">
        <f>MAX(0,J306-12)</f>
        <v/>
      </c>
      <c r="O306" s="5" t="n"/>
      <c r="P306" s="6">
        <f>E306*(L306+M306*1.5+N306*2+O306*3+N(K306))</f>
        <v/>
      </c>
      <c r="Q306" s="6" t="n">
        <v>318.83</v>
      </c>
      <c r="R306" s="6">
        <f>Q306-P306</f>
        <v/>
      </c>
    </row>
    <row r="307">
      <c r="P307" s="2" t="inlineStr">
        <is>
          <t>CABLEPERSON LABOR</t>
        </is>
      </c>
      <c r="R307" s="8">
        <f>SUM(R306:R306)</f>
        <v/>
      </c>
    </row>
    <row r="309">
      <c r="B309" s="2" t="inlineStr">
        <is>
          <t>VIDEOASSIST</t>
        </is>
      </c>
    </row>
    <row r="310">
      <c r="A310" s="5" t="inlineStr">
        <is>
          <t>3404</t>
        </is>
      </c>
      <c r="B310" s="5" t="inlineStr">
        <is>
          <t>Jeff Snyder</t>
        </is>
      </c>
      <c r="C310" s="5" t="inlineStr">
        <is>
          <t>VIDEOASSISTOPERATOR</t>
        </is>
      </c>
      <c r="D310" s="5" t="inlineStr">
        <is>
          <t>Local695</t>
        </is>
      </c>
      <c r="E310" s="6" t="n">
        <v>23.04</v>
      </c>
      <c r="F310" s="5" t="n"/>
      <c r="G310" s="5" t="n"/>
      <c r="H310" s="5" t="n"/>
      <c r="I310" s="5" t="n"/>
      <c r="J310" s="7">
        <f>IF(AND(N(F310)&gt;0,N(I310)&gt;0),I310-F310-IF(N(G310)&gt;0,0.5,0)-IF(N(H310)&gt;0,0.5,0),0)</f>
        <v/>
      </c>
      <c r="K310" s="5" t="n"/>
      <c r="L310" s="7">
        <f>MIN(J310,10.0)</f>
        <v/>
      </c>
      <c r="M310" s="7">
        <f>MAX(0,MIN(J310,12)-10.0)</f>
        <v/>
      </c>
      <c r="N310" s="7">
        <f>MAX(0,J310-12)</f>
        <v/>
      </c>
      <c r="O310" s="5" t="n"/>
      <c r="P310" s="6">
        <f>E310*(L310+M310*1.5+N310*2+O310*3+N(K310))</f>
        <v/>
      </c>
      <c r="Q310" s="6" t="n">
        <v>357.12</v>
      </c>
      <c r="R310" s="6">
        <f>Q310-P310</f>
        <v/>
      </c>
    </row>
    <row r="311">
      <c r="P311" s="2" t="inlineStr">
        <is>
          <t>VIDEOASSIST LABOR</t>
        </is>
      </c>
      <c r="R311" s="8">
        <f>SUM(R310:R310)</f>
        <v/>
      </c>
    </row>
    <row r="313">
      <c r="B313" s="2" t="inlineStr">
        <is>
          <t>CAPTAIN</t>
        </is>
      </c>
    </row>
    <row r="314">
      <c r="A314" s="5" t="inlineStr">
        <is>
          <t>3502</t>
        </is>
      </c>
      <c r="B314" s="5" t="inlineStr">
        <is>
          <t>Kevin Caira</t>
        </is>
      </c>
      <c r="C314" s="5" t="inlineStr">
        <is>
          <t>TRANSPOCAPTAIN(LA)</t>
        </is>
      </c>
      <c r="D314" s="5" t="inlineStr">
        <is>
          <t>Local399</t>
        </is>
      </c>
      <c r="E314" s="6" t="n">
        <v>37.21</v>
      </c>
      <c r="F314" s="5" t="n"/>
      <c r="G314" s="5" t="n"/>
      <c r="H314" s="5" t="n"/>
      <c r="I314" s="5" t="n"/>
      <c r="J314" s="7">
        <f>IF(AND(N(F314)&gt;0,N(I314)&gt;0),I314-F314-IF(N(G314)&gt;0,0.5,0)-IF(N(H314)&gt;0,0.5,0),0)</f>
        <v/>
      </c>
      <c r="K314" s="5" t="n"/>
      <c r="L314" s="7">
        <f>MIN(J314,8.0)</f>
        <v/>
      </c>
      <c r="M314" s="7">
        <f>MAX(0,MIN(J314,12)-8.0)</f>
        <v/>
      </c>
      <c r="N314" s="7">
        <f>MAX(0,J314-12)</f>
        <v/>
      </c>
      <c r="O314" s="5" t="n"/>
      <c r="P314" s="6">
        <f>E314*(L314+M314*1.5+N314*2+O314*3+N(K314))</f>
        <v/>
      </c>
      <c r="Q314" s="6" t="n">
        <v>651.17</v>
      </c>
      <c r="R314" s="6">
        <f>Q314-P314</f>
        <v/>
      </c>
    </row>
    <row r="315">
      <c r="A315" s="5" t="inlineStr">
        <is>
          <t>3502</t>
        </is>
      </c>
      <c r="B315" s="5" t="inlineStr">
        <is>
          <t>Tina Peterson</t>
        </is>
      </c>
      <c r="C315" s="5" t="inlineStr">
        <is>
          <t>CO-CAPTAIN</t>
        </is>
      </c>
      <c r="D315" s="5" t="inlineStr">
        <is>
          <t>Local399</t>
        </is>
      </c>
      <c r="E315" s="6" t="n">
        <v>37.21</v>
      </c>
      <c r="F315" s="5" t="n"/>
      <c r="G315" s="5" t="n"/>
      <c r="H315" s="5" t="n"/>
      <c r="I315" s="5" t="n"/>
      <c r="J315" s="7">
        <f>IF(AND(N(F315)&gt;0,N(I315)&gt;0),I315-F315-IF(N(G315)&gt;0,0.5,0)-IF(N(H315)&gt;0,0.5,0),0)</f>
        <v/>
      </c>
      <c r="K315" s="5" t="n"/>
      <c r="L315" s="7">
        <f>MIN(J315,8.0)</f>
        <v/>
      </c>
      <c r="M315" s="7">
        <f>MAX(0,MIN(J315,12)-8.0)</f>
        <v/>
      </c>
      <c r="N315" s="7">
        <f>MAX(0,J315-12)</f>
        <v/>
      </c>
      <c r="O315" s="5" t="n"/>
      <c r="P315" s="6">
        <f>E315*(L315+M315*1.5+N315*2+O315*3+N(K315))</f>
        <v/>
      </c>
      <c r="Q315" s="6" t="n">
        <v>576.75</v>
      </c>
      <c r="R315" s="6">
        <f>Q315-P315</f>
        <v/>
      </c>
    </row>
    <row r="316">
      <c r="P316" s="2" t="inlineStr">
        <is>
          <t>CAPTAIN LABOR</t>
        </is>
      </c>
      <c r="R316" s="8">
        <f>SUM(R314:R315)</f>
        <v/>
      </c>
    </row>
    <row r="318">
      <c r="B318" s="2" t="inlineStr">
        <is>
          <t>DRIVERS</t>
        </is>
      </c>
    </row>
    <row r="319">
      <c r="A319" s="5" t="inlineStr">
        <is>
          <t>3503</t>
        </is>
      </c>
      <c r="B319" s="5" t="inlineStr"/>
      <c r="C319" s="5" t="inlineStr">
        <is>
          <t>GRIPTRUCK 48'TRACTORTRAILERDRIVER</t>
        </is>
      </c>
      <c r="D319" s="5" t="inlineStr"/>
      <c r="E319" s="6" t="n">
        <v>32.36</v>
      </c>
      <c r="F319" s="5" t="n"/>
      <c r="G319" s="5" t="n"/>
      <c r="H319" s="5" t="n"/>
      <c r="I319" s="5" t="n"/>
      <c r="J319" s="7">
        <f>IF(AND(N(F319)&gt;0,N(I319)&gt;0),I319-F319-IF(N(G319)&gt;0,0.5,0)-IF(N(H319)&gt;0,0.5,0),0)</f>
        <v/>
      </c>
      <c r="K319" s="5" t="n"/>
      <c r="L319" s="7">
        <f>MIN(J319,8.0)</f>
        <v/>
      </c>
      <c r="M319" s="7">
        <f>MAX(0,MIN(J319,12)-8.0)</f>
        <v/>
      </c>
      <c r="N319" s="7">
        <f>MAX(0,J319-12)</f>
        <v/>
      </c>
      <c r="O319" s="5" t="n"/>
      <c r="P319" s="6">
        <f>E319*(L319+M319*1.5+N319*2+O319*3+N(K319))</f>
        <v/>
      </c>
      <c r="Q319" s="6" t="n">
        <v>501.58</v>
      </c>
      <c r="R319" s="6">
        <f>Q319-P319</f>
        <v/>
      </c>
    </row>
    <row r="320">
      <c r="A320" s="5" t="inlineStr">
        <is>
          <t>3503</t>
        </is>
      </c>
      <c r="B320" s="5" t="inlineStr">
        <is>
          <t>Donald Wilson</t>
        </is>
      </c>
      <c r="C320" s="5" t="inlineStr">
        <is>
          <t>PROP 5-TON(ENCLOSED)</t>
        </is>
      </c>
      <c r="D320" s="5" t="inlineStr"/>
      <c r="E320" s="6" t="n">
        <v>32.36</v>
      </c>
      <c r="F320" s="5" t="n"/>
      <c r="G320" s="5" t="n"/>
      <c r="H320" s="5" t="n"/>
      <c r="I320" s="5" t="n"/>
      <c r="J320" s="7">
        <f>IF(AND(N(F320)&gt;0,N(I320)&gt;0),I320-F320-IF(N(G320)&gt;0,0.5,0)-IF(N(H320)&gt;0,0.5,0),0)</f>
        <v/>
      </c>
      <c r="K320" s="5" t="n"/>
      <c r="L320" s="7">
        <f>MIN(J320,8.0)</f>
        <v/>
      </c>
      <c r="M320" s="7">
        <f>MAX(0,MIN(J320,12)-8.0)</f>
        <v/>
      </c>
      <c r="N320" s="7">
        <f>MAX(0,J320-12)</f>
        <v/>
      </c>
      <c r="O320" s="5" t="n"/>
      <c r="P320" s="6">
        <f>E320*(L320+M320*1.5+N320*2+O320*3+N(K320))</f>
        <v/>
      </c>
      <c r="Q320" s="6" t="n">
        <v>501.58</v>
      </c>
      <c r="R320" s="6">
        <f>Q320-P320</f>
        <v/>
      </c>
    </row>
    <row r="321">
      <c r="A321" s="5" t="inlineStr">
        <is>
          <t>3503</t>
        </is>
      </c>
      <c r="B321" s="5" t="inlineStr"/>
      <c r="C321" s="5" t="inlineStr">
        <is>
          <t>WARDROBESTAKEBEDDRIVER#1</t>
        </is>
      </c>
      <c r="D321" s="5" t="inlineStr"/>
      <c r="E321" s="6" t="n">
        <v>37.99</v>
      </c>
      <c r="F321" s="5" t="n"/>
      <c r="G321" s="5" t="n"/>
      <c r="H321" s="5" t="n"/>
      <c r="I321" s="5" t="n"/>
      <c r="J321" s="7">
        <f>IF(AND(N(F321)&gt;0,N(I321)&gt;0),I321-F321-IF(N(G321)&gt;0,0.5,0)-IF(N(H321)&gt;0,0.5,0),0)</f>
        <v/>
      </c>
      <c r="K321" s="5" t="n"/>
      <c r="L321" s="7">
        <f>MIN(J321,8.0)</f>
        <v/>
      </c>
      <c r="M321" s="7">
        <f>MAX(0,MIN(J321,12)-8.0)</f>
        <v/>
      </c>
      <c r="N321" s="7">
        <f>MAX(0,J321-12)</f>
        <v/>
      </c>
      <c r="O321" s="5" t="n"/>
      <c r="P321" s="6">
        <f>E321*(L321+M321*1.5+N321*2+O321*3+N(K321))</f>
        <v/>
      </c>
      <c r="Q321" s="6" t="n">
        <v>588.85</v>
      </c>
      <c r="R321" s="6">
        <f>Q321-P321</f>
        <v/>
      </c>
    </row>
    <row r="322">
      <c r="A322" s="5" t="inlineStr">
        <is>
          <t>3503</t>
        </is>
      </c>
      <c r="B322" s="5" t="inlineStr"/>
      <c r="C322" s="5" t="inlineStr">
        <is>
          <t>MAKEUPHAIRTRAILERDRIVER</t>
        </is>
      </c>
      <c r="D322" s="5" t="inlineStr"/>
      <c r="E322" s="6" t="n">
        <v>32.36</v>
      </c>
      <c r="F322" s="5" t="n"/>
      <c r="G322" s="5" t="n"/>
      <c r="H322" s="5" t="n"/>
      <c r="I322" s="5" t="n"/>
      <c r="J322" s="7">
        <f>IF(AND(N(F322)&gt;0,N(I322)&gt;0),I322-F322-IF(N(G322)&gt;0,0.5,0)-IF(N(H322)&gt;0,0.5,0),0)</f>
        <v/>
      </c>
      <c r="K322" s="5" t="n"/>
      <c r="L322" s="7">
        <f>MIN(J322,8.0)</f>
        <v/>
      </c>
      <c r="M322" s="7">
        <f>MAX(0,MIN(J322,12)-8.0)</f>
        <v/>
      </c>
      <c r="N322" s="7">
        <f>MAX(0,J322-12)</f>
        <v/>
      </c>
      <c r="O322" s="5" t="n"/>
      <c r="P322" s="6">
        <f>E322*(L322+M322*1.5+N322*2+O322*3+N(K322))</f>
        <v/>
      </c>
      <c r="Q322" s="6" t="n">
        <v>501.58</v>
      </c>
      <c r="R322" s="6">
        <f>Q322-P322</f>
        <v/>
      </c>
    </row>
    <row r="323">
      <c r="A323" s="5" t="inlineStr">
        <is>
          <t>3503</t>
        </is>
      </c>
      <c r="B323" s="5" t="inlineStr"/>
      <c r="C323" s="5" t="inlineStr">
        <is>
          <t>ELECTRIC 10TONDRIVER(GENIEOPERATOR)</t>
        </is>
      </c>
      <c r="D323" s="5" t="inlineStr"/>
      <c r="E323" s="6" t="n">
        <v>37.99</v>
      </c>
      <c r="F323" s="5" t="n"/>
      <c r="G323" s="5" t="n"/>
      <c r="H323" s="5" t="n"/>
      <c r="I323" s="5" t="n"/>
      <c r="J323" s="7">
        <f>IF(AND(N(F323)&gt;0,N(I323)&gt;0),I323-F323-IF(N(G323)&gt;0,0.5,0)-IF(N(H323)&gt;0,0.5,0),0)</f>
        <v/>
      </c>
      <c r="K323" s="5" t="n"/>
      <c r="L323" s="7">
        <f>MIN(J323,8.0)</f>
        <v/>
      </c>
      <c r="M323" s="7">
        <f>MAX(0,MIN(J323,12)-8.0)</f>
        <v/>
      </c>
      <c r="N323" s="7">
        <f>MAX(0,J323-12)</f>
        <v/>
      </c>
      <c r="O323" s="5" t="n"/>
      <c r="P323" s="6">
        <f>E323*(L323+M323*1.5+N323*2+O323*3+N(K323))</f>
        <v/>
      </c>
      <c r="Q323" s="6" t="n">
        <v>588.85</v>
      </c>
      <c r="R323" s="6">
        <f>Q323-P323</f>
        <v/>
      </c>
    </row>
    <row r="324">
      <c r="A324" s="5" t="inlineStr">
        <is>
          <t>3503</t>
        </is>
      </c>
      <c r="B324" s="5" t="inlineStr"/>
      <c r="C324" s="5" t="inlineStr">
        <is>
          <t>SOUNDCCSTAKEBEDFUELTRUCKDRIVER</t>
        </is>
      </c>
      <c r="D324" s="5" t="inlineStr"/>
      <c r="E324" s="6" t="n">
        <v>32.36</v>
      </c>
      <c r="F324" s="5" t="n"/>
      <c r="G324" s="5" t="n"/>
      <c r="H324" s="5" t="n"/>
      <c r="I324" s="5" t="n"/>
      <c r="J324" s="7">
        <f>IF(AND(N(F324)&gt;0,N(I324)&gt;0),I324-F324-IF(N(G324)&gt;0,0.5,0)-IF(N(H324)&gt;0,0.5,0),0)</f>
        <v/>
      </c>
      <c r="K324" s="5" t="n"/>
      <c r="L324" s="7">
        <f>MIN(J324,8.0)</f>
        <v/>
      </c>
      <c r="M324" s="7">
        <f>MAX(0,MIN(J324,12)-8.0)</f>
        <v/>
      </c>
      <c r="N324" s="7">
        <f>MAX(0,J324-12)</f>
        <v/>
      </c>
      <c r="O324" s="5" t="n"/>
      <c r="P324" s="6">
        <f>E324*(L324+M324*1.5+N324*2+O324*3+N(K324))</f>
        <v/>
      </c>
      <c r="Q324" s="6" t="n">
        <v>501.58</v>
      </c>
      <c r="R324" s="6">
        <f>Q324-P324</f>
        <v/>
      </c>
    </row>
    <row r="325">
      <c r="A325" s="5" t="inlineStr">
        <is>
          <t>3503</t>
        </is>
      </c>
      <c r="B325" s="5" t="inlineStr"/>
      <c r="C325" s="5" t="inlineStr">
        <is>
          <t>9-ROOMHONEYWAGONTRACTORDRIVER</t>
        </is>
      </c>
      <c r="D325" s="5" t="inlineStr"/>
      <c r="E325" s="6" t="n">
        <v>32.36</v>
      </c>
      <c r="F325" s="5" t="n"/>
      <c r="G325" s="5" t="n"/>
      <c r="H325" s="5" t="n"/>
      <c r="I325" s="5" t="n"/>
      <c r="J325" s="7">
        <f>IF(AND(N(F325)&gt;0,N(I325)&gt;0),I325-F325-IF(N(G325)&gt;0,0.5,0)-IF(N(H325)&gt;0,0.5,0),0)</f>
        <v/>
      </c>
      <c r="K325" s="5" t="n"/>
      <c r="L325" s="7">
        <f>MIN(J325,8.0)</f>
        <v/>
      </c>
      <c r="M325" s="7">
        <f>MAX(0,MIN(J325,12)-8.0)</f>
        <v/>
      </c>
      <c r="N325" s="7">
        <f>MAX(0,J325-12)</f>
        <v/>
      </c>
      <c r="O325" s="5" t="n"/>
      <c r="P325" s="6">
        <f>E325*(L325+M325*1.5+N325*2+O325*3+N(K325))</f>
        <v/>
      </c>
      <c r="Q325" s="6" t="n">
        <v>501.58</v>
      </c>
      <c r="R325" s="6">
        <f>Q325-P325</f>
        <v/>
      </c>
    </row>
    <row r="326">
      <c r="A326" s="5" t="inlineStr">
        <is>
          <t>3503</t>
        </is>
      </c>
      <c r="B326" s="5" t="inlineStr"/>
      <c r="C326" s="5" t="inlineStr">
        <is>
          <t>FORDTRANSITVANDRIVER#1</t>
        </is>
      </c>
      <c r="D326" s="5" t="inlineStr"/>
      <c r="E326" s="6" t="n">
        <v>32.36</v>
      </c>
      <c r="F326" s="5" t="n"/>
      <c r="G326" s="5" t="n"/>
      <c r="H326" s="5" t="n"/>
      <c r="I326" s="5" t="n"/>
      <c r="J326" s="7">
        <f>IF(AND(N(F326)&gt;0,N(I326)&gt;0),I326-F326-IF(N(G326)&gt;0,0.5,0)-IF(N(H326)&gt;0,0.5,0),0)</f>
        <v/>
      </c>
      <c r="K326" s="5" t="n"/>
      <c r="L326" s="7">
        <f>MIN(J326,8.0)</f>
        <v/>
      </c>
      <c r="M326" s="7">
        <f>MAX(0,MIN(J326,12)-8.0)</f>
        <v/>
      </c>
      <c r="N326" s="7">
        <f>MAX(0,J326-12)</f>
        <v/>
      </c>
      <c r="O326" s="5" t="n"/>
      <c r="P326" s="6">
        <f>E326*(L326+M326*1.5+N326*2+O326*3+N(K326))</f>
        <v/>
      </c>
      <c r="Q326" s="6" t="n">
        <v>501.58</v>
      </c>
      <c r="R326" s="6">
        <f>Q326-P326</f>
        <v/>
      </c>
    </row>
    <row r="327">
      <c r="A327" s="5" t="inlineStr">
        <is>
          <t>3503</t>
        </is>
      </c>
      <c r="B327" s="5" t="inlineStr">
        <is>
          <t>Kaiser Clark</t>
        </is>
      </c>
      <c r="C327" s="5" t="inlineStr">
        <is>
          <t>CSETDECTRUCKDRIVER#1</t>
        </is>
      </c>
      <c r="D327" s="5" t="inlineStr"/>
      <c r="E327" s="6" t="n">
        <v>32.36</v>
      </c>
      <c r="F327" s="5" t="n"/>
      <c r="G327" s="5" t="n"/>
      <c r="H327" s="5" t="n"/>
      <c r="I327" s="5" t="n"/>
      <c r="J327" s="7">
        <f>IF(AND(N(F327)&gt;0,N(I327)&gt;0),I327-F327-IF(N(G327)&gt;0,0.5,0)-IF(N(H327)&gt;0,0.5,0),0)</f>
        <v/>
      </c>
      <c r="K327" s="5" t="n"/>
      <c r="L327" s="7">
        <f>MIN(J327,8.0)</f>
        <v/>
      </c>
      <c r="M327" s="7">
        <f>MAX(0,MIN(J327,12)-8.0)</f>
        <v/>
      </c>
      <c r="N327" s="7">
        <f>MAX(0,J327-12)</f>
        <v/>
      </c>
      <c r="O327" s="5" t="n"/>
      <c r="P327" s="6">
        <f>E327*(L327+M327*1.5+N327*2+O327*3+N(K327))</f>
        <v/>
      </c>
      <c r="Q327" s="6" t="n">
        <v>501.58</v>
      </c>
      <c r="R327" s="6">
        <f>Q327-P327</f>
        <v/>
      </c>
    </row>
    <row r="328">
      <c r="A328" s="5" t="inlineStr">
        <is>
          <t>3503</t>
        </is>
      </c>
      <c r="B328" s="5" t="inlineStr"/>
      <c r="C328" s="5" t="inlineStr">
        <is>
          <t>C 5-TONENCLOSEDRIGGINGGRIPDRIVER</t>
        </is>
      </c>
      <c r="D328" s="5" t="inlineStr"/>
      <c r="E328" s="6" t="n">
        <v>32.36</v>
      </c>
      <c r="F328" s="5" t="n"/>
      <c r="G328" s="5" t="n"/>
      <c r="H328" s="5" t="n"/>
      <c r="I328" s="5" t="n"/>
      <c r="J328" s="7">
        <f>IF(AND(N(F328)&gt;0,N(I328)&gt;0),I328-F328-IF(N(G328)&gt;0,0.5,0)-IF(N(H328)&gt;0,0.5,0),0)</f>
        <v/>
      </c>
      <c r="K328" s="5" t="n"/>
      <c r="L328" s="7">
        <f>MIN(J328,8.0)</f>
        <v/>
      </c>
      <c r="M328" s="7">
        <f>MAX(0,MIN(J328,12)-8.0)</f>
        <v/>
      </c>
      <c r="N328" s="7">
        <f>MAX(0,J328-12)</f>
        <v/>
      </c>
      <c r="O328" s="5" t="n"/>
      <c r="P328" s="6">
        <f>E328*(L328+M328*1.5+N328*2+O328*3+N(K328))</f>
        <v/>
      </c>
      <c r="Q328" s="5" t="n"/>
      <c r="R328" s="6">
        <f>Q328-P328</f>
        <v/>
      </c>
    </row>
    <row r="329">
      <c r="A329" s="5" t="inlineStr">
        <is>
          <t>3503</t>
        </is>
      </c>
      <c r="B329" s="5" t="inlineStr"/>
      <c r="C329" s="5" t="inlineStr">
        <is>
          <t>SCOUTBUS</t>
        </is>
      </c>
      <c r="D329" s="5" t="inlineStr"/>
      <c r="E329" s="6" t="n">
        <v>32.36</v>
      </c>
      <c r="F329" s="5" t="n"/>
      <c r="G329" s="5" t="n"/>
      <c r="H329" s="5" t="n"/>
      <c r="I329" s="5" t="n"/>
      <c r="J329" s="7">
        <f>IF(AND(N(F329)&gt;0,N(I329)&gt;0),I329-F329-IF(N(G329)&gt;0,0.5,0)-IF(N(H329)&gt;0,0.5,0),0)</f>
        <v/>
      </c>
      <c r="K329" s="5" t="n"/>
      <c r="L329" s="7">
        <f>MIN(J329,8.0)</f>
        <v/>
      </c>
      <c r="M329" s="7">
        <f>MAX(0,MIN(J329,12)-8.0)</f>
        <v/>
      </c>
      <c r="N329" s="7">
        <f>MAX(0,J329-12)</f>
        <v/>
      </c>
      <c r="O329" s="5" t="n"/>
      <c r="P329" s="6">
        <f>E329*(L329+M329*1.5+N329*2+O329*3+N(K329))</f>
        <v/>
      </c>
      <c r="Q329" s="5" t="n"/>
      <c r="R329" s="6">
        <f>Q329-P329</f>
        <v/>
      </c>
    </row>
    <row r="330">
      <c r="A330" s="5" t="inlineStr">
        <is>
          <t>3503</t>
        </is>
      </c>
      <c r="B330" s="5" t="inlineStr"/>
      <c r="C330" s="5" t="inlineStr">
        <is>
          <t>DRIVERMANDAYS</t>
        </is>
      </c>
      <c r="D330" s="5" t="inlineStr"/>
      <c r="E330" s="6" t="n">
        <v>32.36</v>
      </c>
      <c r="F330" s="5" t="n"/>
      <c r="G330" s="5" t="n"/>
      <c r="H330" s="5" t="n"/>
      <c r="I330" s="5" t="n"/>
      <c r="J330" s="7">
        <f>IF(AND(N(F330)&gt;0,N(I330)&gt;0),I330-F330-IF(N(G330)&gt;0,0.5,0)-IF(N(H330)&gt;0,0.5,0),0)</f>
        <v/>
      </c>
      <c r="K330" s="5" t="n"/>
      <c r="L330" s="7">
        <f>MIN(J330,8.0)</f>
        <v/>
      </c>
      <c r="M330" s="7">
        <f>MAX(0,MIN(J330,12)-8.0)</f>
        <v/>
      </c>
      <c r="N330" s="7">
        <f>MAX(0,J330-12)</f>
        <v/>
      </c>
      <c r="O330" s="5" t="n"/>
      <c r="P330" s="6">
        <f>E330*(L330+M330*1.5+N330*2+O330*3+N(K330))</f>
        <v/>
      </c>
      <c r="Q330" s="5" t="n"/>
      <c r="R330" s="6">
        <f>Q330-P330</f>
        <v/>
      </c>
    </row>
    <row r="331">
      <c r="P331" s="2" t="inlineStr">
        <is>
          <t>DRIVERS LABOR</t>
        </is>
      </c>
      <c r="R331" s="8">
        <f>SUM(R319:R330)</f>
        <v/>
      </c>
    </row>
    <row r="333">
      <c r="B333" s="2" t="inlineStr">
        <is>
          <t>LOCATIONSITEFEES</t>
        </is>
      </c>
    </row>
    <row r="334">
      <c r="A334" s="5" t="inlineStr">
        <is>
          <t>3607</t>
        </is>
      </c>
      <c r="B334" s="5" t="inlineStr"/>
      <c r="C334" s="5" t="inlineStr">
        <is>
          <t>Location#1(Hospital ER, LACountry Childrens Shelter, Shelter Dorm, Dept...</t>
        </is>
      </c>
      <c r="D334" s="5" t="inlineStr">
        <is>
          <t>Local400</t>
        </is>
      </c>
      <c r="E334" s="6" t="n">
        <v>50000</v>
      </c>
      <c r="F334" s="5" t="n"/>
      <c r="G334" s="5" t="n"/>
      <c r="H334" s="5" t="n"/>
      <c r="I334" s="5" t="n"/>
      <c r="J334" s="7">
        <f>IF(AND(N(F334)&gt;0,N(I334)&gt;0),I334-F334-IF(N(G334)&gt;0,0.5,0)-IF(N(H334)&gt;0,0.5,0),0)</f>
        <v/>
      </c>
      <c r="K334" s="5" t="n"/>
      <c r="L334" s="7">
        <f>MIN(J334,8.0)</f>
        <v/>
      </c>
      <c r="M334" s="7">
        <f>MAX(0,MIN(J334,12)-8.0)</f>
        <v/>
      </c>
      <c r="N334" s="7">
        <f>MAX(0,J334-12)</f>
        <v/>
      </c>
      <c r="O334" s="5" t="n"/>
      <c r="P334" s="6">
        <f>E334*(L334+M334*1.5+N334*2+O334*3+N(K334))</f>
        <v/>
      </c>
      <c r="Q334" s="6" t="n">
        <v>50000</v>
      </c>
      <c r="R334" s="6">
        <f>Q334-P334</f>
        <v/>
      </c>
    </row>
    <row r="335">
      <c r="P335" s="2" t="inlineStr">
        <is>
          <t>LOCATIONSITEFEES LABOR</t>
        </is>
      </c>
      <c r="R335" s="8">
        <f>SUM(R334:R334)</f>
        <v/>
      </c>
    </row>
    <row r="337">
      <c r="B337" s="2" t="inlineStr">
        <is>
          <t>CATERINGLABOR</t>
        </is>
      </c>
    </row>
    <row r="338">
      <c r="A338" s="5" t="inlineStr">
        <is>
          <t>3621</t>
        </is>
      </c>
      <c r="B338" s="5" t="inlineStr"/>
      <c r="C338" s="5" t="inlineStr">
        <is>
          <t>COOKDRIVER#1</t>
        </is>
      </c>
      <c r="D338" s="5" t="inlineStr">
        <is>
          <t>Local399</t>
        </is>
      </c>
      <c r="E338" s="6" t="n">
        <v>32.36</v>
      </c>
      <c r="F338" s="5" t="n"/>
      <c r="G338" s="5" t="n"/>
      <c r="H338" s="5" t="n"/>
      <c r="I338" s="5" t="n"/>
      <c r="J338" s="7">
        <f>IF(AND(N(F338)&gt;0,N(I338)&gt;0),I338-F338-IF(N(G338)&gt;0,0.5,0)-IF(N(H338)&gt;0,0.5,0),0)</f>
        <v/>
      </c>
      <c r="K338" s="5" t="n"/>
      <c r="L338" s="7">
        <f>MIN(J338,8.0)</f>
        <v/>
      </c>
      <c r="M338" s="7">
        <f>MAX(0,MIN(J338,12)-8.0)</f>
        <v/>
      </c>
      <c r="N338" s="7">
        <f>MAX(0,J338-12)</f>
        <v/>
      </c>
      <c r="O338" s="5" t="n"/>
      <c r="P338" s="6">
        <f>E338*(L338+M338*1.5+N338*2+O338*3+N(K338))</f>
        <v/>
      </c>
      <c r="Q338" s="6" t="n">
        <v>647.2</v>
      </c>
      <c r="R338" s="6">
        <f>Q338-P338</f>
        <v/>
      </c>
    </row>
    <row r="339">
      <c r="A339" s="5" t="inlineStr">
        <is>
          <t>3621</t>
        </is>
      </c>
      <c r="B339" s="5" t="inlineStr"/>
      <c r="C339" s="5" t="inlineStr">
        <is>
          <t>1STASSTCATERER#1</t>
        </is>
      </c>
      <c r="D339" s="5" t="inlineStr"/>
      <c r="E339" s="6" t="n">
        <v>17</v>
      </c>
      <c r="F339" s="5" t="n"/>
      <c r="G339" s="5" t="n"/>
      <c r="H339" s="5" t="n"/>
      <c r="I339" s="5" t="n"/>
      <c r="J339" s="7">
        <f>IF(AND(N(F339)&gt;0,N(I339)&gt;0),I339-F339-IF(N(G339)&gt;0,0.5,0)-IF(N(H339)&gt;0,0.5,0),0)</f>
        <v/>
      </c>
      <c r="K339" s="5" t="n"/>
      <c r="L339" s="7">
        <f>MIN(J339,8.0)</f>
        <v/>
      </c>
      <c r="M339" s="7">
        <f>MAX(0,MIN(J339,12)-8.0)</f>
        <v/>
      </c>
      <c r="N339" s="7">
        <f>MAX(0,J339-12)</f>
        <v/>
      </c>
      <c r="O339" s="5" t="n"/>
      <c r="P339" s="6">
        <f>E339*(L339+M339*1.5+N339*2+O339*3+N(K339))</f>
        <v/>
      </c>
      <c r="Q339" s="6" t="n">
        <v>340</v>
      </c>
      <c r="R339" s="6">
        <f>Q339-P339</f>
        <v/>
      </c>
    </row>
    <row r="340">
      <c r="A340" s="5" t="inlineStr">
        <is>
          <t>3621</t>
        </is>
      </c>
      <c r="B340" s="5" t="inlineStr"/>
      <c r="C340" s="5" t="inlineStr">
        <is>
          <t>1STASSTCATERER#2</t>
        </is>
      </c>
      <c r="D340" s="5" t="inlineStr"/>
      <c r="E340" s="6" t="n">
        <v>16</v>
      </c>
      <c r="F340" s="5" t="n"/>
      <c r="G340" s="5" t="n"/>
      <c r="H340" s="5" t="n"/>
      <c r="I340" s="5" t="n"/>
      <c r="J340" s="7">
        <f>IF(AND(N(F340)&gt;0,N(I340)&gt;0),I340-F340-IF(N(G340)&gt;0,0.5,0)-IF(N(H340)&gt;0,0.5,0),0)</f>
        <v/>
      </c>
      <c r="K340" s="5" t="n"/>
      <c r="L340" s="7">
        <f>MIN(J340,8.0)</f>
        <v/>
      </c>
      <c r="M340" s="7">
        <f>MAX(0,MIN(J340,12)-8.0)</f>
        <v/>
      </c>
      <c r="N340" s="7">
        <f>MAX(0,J340-12)</f>
        <v/>
      </c>
      <c r="O340" s="5" t="n"/>
      <c r="P340" s="6">
        <f>E340*(L340+M340*1.5+N340*2+O340*3+N(K340))</f>
        <v/>
      </c>
      <c r="Q340" s="6" t="n">
        <v>320</v>
      </c>
      <c r="R340" s="6">
        <f>Q340-P340</f>
        <v/>
      </c>
    </row>
    <row r="341">
      <c r="P341" s="2" t="inlineStr">
        <is>
          <t>CATERINGLABOR LABOR</t>
        </is>
      </c>
      <c r="R341" s="8">
        <f>SUM(R338:R340)</f>
        <v/>
      </c>
    </row>
    <row r="343">
      <c r="K343" s="9" t="inlineStr">
        <is>
          <t>TOTAL</t>
        </is>
      </c>
      <c r="P343" s="9" t="inlineStr">
        <is>
          <t>ACTUAL</t>
        </is>
      </c>
      <c r="Q343" s="9" t="inlineStr">
        <is>
          <t>BUDGET</t>
        </is>
      </c>
      <c r="R343" s="9" t="inlineStr">
        <is>
          <t>TOTAL VAR</t>
        </is>
      </c>
    </row>
    <row r="344">
      <c r="P344" s="9" t="inlineStr">
        <is>
          <t>DAY COST</t>
        </is>
      </c>
      <c r="Q344" s="9" t="inlineStr">
        <is>
          <t>DY COST</t>
        </is>
      </c>
      <c r="R344" s="9" t="inlineStr">
        <is>
          <t>(OVER) / UNDER</t>
        </is>
      </c>
    </row>
    <row r="345">
      <c r="P345" s="10">
        <f>SUM(P6:P6)+SUM(P10:P11)+SUM(P15:P17)+SUM(P21:P22)+SUM(P26:P32)+SUM(P36:P36)+SUM(P40:P41)+SUM(P45:P45)+SUM(P49:P49)+SUM(P53:P54)+SUM(P58:P58)+SUM(P62:P62)+SUM(P66:P67)+SUM(P71:P71)+SUM(P75:P75)+SUM(P79:P80)+SUM(P84:P84)+SUM(P88:P88)+SUM(P92:P93)+SUM(P97:P100)+SUM(P104:P104)+SUM(P108:P109)+SUM(P113:P113)+SUM(P117:P117)+SUM(P121:P121)+SUM(P125:P125)+SUM(P129:P130)+SUM(P134:P134)+SUM(P138:P139)+SUM(P143:P145)+SUM(P149:P149)+SUM(P153:P153)+SUM(P157:P158)+SUM(P162:P163)+SUM(P167:P167)+SUM(P171:P173)+SUM(P177:P177)+SUM(P181:P181)+SUM(P185:P187)+SUM(P191:P191)+SUM(P195:P195)+SUM(P199:P199)+SUM(P203:P203)+SUM(P207:P207)+SUM(P211:P211)+SUM(P215:P216)+SUM(P220:P220)+SUM(P224:P224)+SUM(P228:P228)+SUM(P232:P233)+SUM(P237:P237)+SUM(P241:P241)+SUM(P245:P245)+SUM(P249:P249)+SUM(P253:P254)+SUM(P258:P260)+SUM(P264:P264)+SUM(P268:P268)+SUM(P272:P272)+SUM(P276:P276)+SUM(P280:P281)+SUM(P285:P286)+SUM(P290:P290)+SUM(P294:P294)+SUM(P298:P298)+SUM(P302:P302)+SUM(P306:P306)+SUM(P310:P310)+SUM(P314:P315)+SUM(P319:P330)+SUM(P334:P334)+SUM(P338:P340)</f>
        <v/>
      </c>
      <c r="Q345" s="10">
        <f>SUM(Q6:Q6)+SUM(Q10:Q11)+SUM(Q15:Q17)+SUM(Q21:Q22)+SUM(Q26:Q32)+SUM(Q36:Q36)+SUM(Q40:Q41)+SUM(Q45:Q45)+SUM(Q49:Q49)+SUM(Q53:Q54)+SUM(Q58:Q58)+SUM(Q62:Q62)+SUM(Q66:Q67)+SUM(Q71:Q71)+SUM(Q75:Q75)+SUM(Q79:Q80)+SUM(Q84:Q84)+SUM(Q88:Q88)+SUM(Q92:Q93)+SUM(Q97:Q100)+SUM(Q104:Q104)+SUM(Q108:Q109)+SUM(Q113:Q113)+SUM(Q117:Q117)+SUM(Q121:Q121)+SUM(Q125:Q125)+SUM(Q129:Q130)+SUM(Q134:Q134)+SUM(Q138:Q139)+SUM(Q143:Q145)+SUM(Q149:Q149)+SUM(Q153:Q153)+SUM(Q157:Q158)+SUM(Q162:Q163)+SUM(Q167:Q167)+SUM(Q171:Q173)+SUM(Q177:Q177)+SUM(Q181:Q181)+SUM(Q185:Q187)+SUM(Q191:Q191)+SUM(Q195:Q195)+SUM(Q199:Q199)+SUM(Q203:Q203)+SUM(Q207:Q207)+SUM(Q211:Q211)+SUM(Q215:Q216)+SUM(Q220:Q220)+SUM(Q224:Q224)+SUM(Q228:Q228)+SUM(Q232:Q233)+SUM(Q237:Q237)+SUM(Q241:Q241)+SUM(Q245:Q245)+SUM(Q249:Q249)+SUM(Q253:Q254)+SUM(Q258:Q260)+SUM(Q264:Q264)+SUM(Q268:Q268)+SUM(Q272:Q272)+SUM(Q276:Q276)+SUM(Q280:Q281)+SUM(Q285:Q286)+SUM(Q290:Q290)+SUM(Q294:Q294)+SUM(Q298:Q298)+SUM(Q302:Q302)+SUM(Q306:Q306)+SUM(Q310:Q310)+SUM(Q314:Q315)+SUM(Q319:Q330)+SUM(Q334:Q334)+SUM(Q338:Q340)</f>
        <v/>
      </c>
      <c r="R345" s="10">
        <f>SUM(R6:R6)+SUM(R10:R11)+SUM(R15:R17)+SUM(R21:R22)+SUM(R26:R32)+SUM(R36:R36)+SUM(R40:R41)+SUM(R45:R45)+SUM(R49:R49)+SUM(R53:R54)+SUM(R58:R58)+SUM(R62:R62)+SUM(R66:R67)+SUM(R71:R71)+SUM(R75:R75)+SUM(R79:R80)+SUM(R84:R84)+SUM(R88:R88)+SUM(R92:R93)+SUM(R97:R100)+SUM(R104:R104)+SUM(R108:R109)+SUM(R113:R113)+SUM(R117:R117)+SUM(R121:R121)+SUM(R125:R125)+SUM(R129:R130)+SUM(R134:R134)+SUM(R138:R139)+SUM(R143:R145)+SUM(R149:R149)+SUM(R153:R153)+SUM(R157:R158)+SUM(R162:R163)+SUM(R167:R167)+SUM(R171:R173)+SUM(R177:R177)+SUM(R181:R181)+SUM(R185:R187)+SUM(R191:R191)+SUM(R195:R195)+SUM(R199:R199)+SUM(R203:R203)+SUM(R207:R207)+SUM(R211:R211)+SUM(R215:R216)+SUM(R220:R220)+SUM(R224:R224)+SUM(R228:R228)+SUM(R232:R233)+SUM(R237:R237)+SUM(R241:R241)+SUM(R245:R245)+SUM(R249:R249)+SUM(R253:R254)+SUM(R258:R260)+SUM(R264:R264)+SUM(R268:R268)+SUM(R272:R272)+SUM(R276:R276)+SUM(R280:R281)+SUM(R285:R286)+SUM(R290:R290)+SUM(R294:R294)+SUM(R298:R298)+SUM(R302:R302)+SUM(R306:R306)+SUM(R310:R310)+SUM(R314:R315)+SUM(R319:R330)+SUM(R334:R334)+SUM(R338:R340)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R34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20" customWidth="1" min="3" max="3"/>
    <col width="9" customWidth="1" min="4" max="4"/>
    <col width="9" customWidth="1" min="5" max="5"/>
    <col width="7" customWidth="1" min="6" max="6"/>
    <col width="7" customWidth="1" min="7" max="7"/>
    <col width="8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12" customWidth="1" min="16" max="16"/>
    <col width="13" customWidth="1" min="17" max="17"/>
    <col width="14" customWidth="1" min="18" max="18"/>
  </cols>
  <sheetData>
    <row r="1">
      <c r="A1" s="1" t="inlineStr">
        <is>
          <t>HOT COST</t>
        </is>
      </c>
      <c r="C1" t="inlineStr">
        <is>
          <t>Monday 06 Nov 2017</t>
        </is>
      </c>
      <c r="F1" s="2" t="inlineStr">
        <is>
          <t>DAY #16</t>
        </is>
      </c>
    </row>
    <row r="2">
      <c r="A2" s="3" t="inlineStr">
        <is>
          <t>enter CALL, LUNCH, WRAP as decimal hours (e.g. 7.5) — everything right of WRAP computes</t>
        </is>
      </c>
    </row>
    <row r="4">
      <c r="A4" s="4" t="inlineStr">
        <is>
          <t>ACCT</t>
        </is>
      </c>
      <c r="B4" s="4" t="inlineStr">
        <is>
          <t>NAME</t>
        </is>
      </c>
      <c r="C4" s="4" t="inlineStr">
        <is>
          <t>POSITION</t>
        </is>
      </c>
      <c r="D4" s="4" t="inlineStr">
        <is>
          <t>UNION</t>
        </is>
      </c>
      <c r="E4" s="4" t="inlineStr">
        <is>
          <t>RATE</t>
        </is>
      </c>
      <c r="F4" s="4" t="inlineStr">
        <is>
          <t>CALL</t>
        </is>
      </c>
      <c r="G4" s="4" t="inlineStr">
        <is>
          <t>LUNCH</t>
        </is>
      </c>
      <c r="H4" s="4" t="inlineStr">
        <is>
          <t>LUNCH 2</t>
        </is>
      </c>
      <c r="I4" s="4" t="inlineStr">
        <is>
          <t>WRAP</t>
        </is>
      </c>
      <c r="J4" s="4" t="inlineStr">
        <is>
          <t>HRS</t>
        </is>
      </c>
      <c r="K4" s="4" t="inlineStr">
        <is>
          <t>MP'S</t>
        </is>
      </c>
      <c r="L4" s="4" t="inlineStr">
        <is>
          <t>ST</t>
        </is>
      </c>
      <c r="M4" s="4" t="inlineStr">
        <is>
          <t>1.5X</t>
        </is>
      </c>
      <c r="N4" s="4" t="inlineStr">
        <is>
          <t>2X</t>
        </is>
      </c>
      <c r="O4" s="4" t="inlineStr">
        <is>
          <t>3X</t>
        </is>
      </c>
      <c r="P4" s="4" t="inlineStr">
        <is>
          <t>TOTAL / DAY</t>
        </is>
      </c>
      <c r="Q4" s="4" t="inlineStr">
        <is>
          <t>BUDGET / DAY</t>
        </is>
      </c>
      <c r="R4" s="4" t="inlineStr">
        <is>
          <t>(OVER) / UNDER</t>
        </is>
      </c>
    </row>
    <row r="5">
      <c r="B5" s="2" t="inlineStr">
        <is>
          <t>LEAD#</t>
        </is>
      </c>
    </row>
    <row r="6">
      <c r="A6" s="5" t="inlineStr">
        <is>
          <t>1401</t>
        </is>
      </c>
      <c r="B6" s="5" t="inlineStr">
        <is>
          <t>Linda Cardellini</t>
        </is>
      </c>
      <c r="C6" s="5" t="inlineStr">
        <is>
          <t>"ANNA"</t>
        </is>
      </c>
      <c r="D6" s="5" t="inlineStr"/>
      <c r="E6" s="6" t="n">
        <v>1211.8</v>
      </c>
      <c r="F6" s="5" t="n"/>
      <c r="G6" s="5" t="n"/>
      <c r="H6" s="5" t="n"/>
      <c r="I6" s="5" t="n"/>
      <c r="J6" s="7">
        <f>IF(AND(N(F6)&gt;0,N(I6)&gt;0),I6-F6-IF(N(G6)&gt;0,0.5,0)-IF(N(H6)&gt;0,0.5,0),0)</f>
        <v/>
      </c>
      <c r="K6" s="5" t="n"/>
      <c r="L6" s="7">
        <f>MIN(J6,8.0)</f>
        <v/>
      </c>
      <c r="M6" s="7">
        <f>MAX(0,MIN(J6,12)-8.0)</f>
        <v/>
      </c>
      <c r="N6" s="7">
        <f>MAX(0,J6-12)</f>
        <v/>
      </c>
      <c r="O6" s="5" t="n"/>
      <c r="P6" s="6">
        <f>E6*(L6+M6*1.5+N6*2+O6*3+N(K6))</f>
        <v/>
      </c>
      <c r="Q6" s="6" t="n">
        <v>1211.8</v>
      </c>
      <c r="R6" s="6">
        <f>Q6-P6</f>
        <v/>
      </c>
    </row>
    <row r="7">
      <c r="P7" s="2" t="inlineStr">
        <is>
          <t>LEAD# LABOR</t>
        </is>
      </c>
      <c r="R7" s="8">
        <f>SUM(R6:R6)</f>
        <v/>
      </c>
    </row>
    <row r="9">
      <c r="B9" s="2" t="inlineStr">
        <is>
          <t>LEAD#2&amp;#</t>
        </is>
      </c>
    </row>
    <row r="10">
      <c r="A10" s="5" t="inlineStr">
        <is>
          <t>1402</t>
        </is>
      </c>
      <c r="B10" s="5" t="inlineStr">
        <is>
          <t>Roman Christou</t>
        </is>
      </c>
      <c r="C10" s="5" t="inlineStr">
        <is>
          <t>"CHRIS"(Minor)</t>
        </is>
      </c>
      <c r="D10" s="5" t="inlineStr"/>
      <c r="E10" s="6" t="n">
        <v>755.4</v>
      </c>
      <c r="F10" s="5" t="n"/>
      <c r="G10" s="5" t="n"/>
      <c r="H10" s="5" t="n"/>
      <c r="I10" s="5" t="n"/>
      <c r="J10" s="7">
        <f>IF(AND(N(F10)&gt;0,N(I10)&gt;0),I10-F10-IF(N(G10)&gt;0,0.5,0)-IF(N(H10)&gt;0,0.5,0),0)</f>
        <v/>
      </c>
      <c r="K10" s="5" t="n"/>
      <c r="L10" s="7">
        <f>MIN(J10,8.0)</f>
        <v/>
      </c>
      <c r="M10" s="7">
        <f>MAX(0,MIN(J10,12)-8.0)</f>
        <v/>
      </c>
      <c r="N10" s="7">
        <f>MAX(0,J10-12)</f>
        <v/>
      </c>
      <c r="O10" s="5" t="n"/>
      <c r="P10" s="6">
        <f>E10*(L10+M10*1.5+N10*2+O10*3+N(K10))</f>
        <v/>
      </c>
      <c r="Q10" s="6" t="n">
        <v>755.4</v>
      </c>
      <c r="R10" s="6">
        <f>Q10-P10</f>
        <v/>
      </c>
    </row>
    <row r="11">
      <c r="A11" s="5" t="inlineStr">
        <is>
          <t>1402</t>
        </is>
      </c>
      <c r="B11" s="5" t="inlineStr">
        <is>
          <t>Jaynee Lynee Kinchen</t>
        </is>
      </c>
      <c r="C11" s="5" t="inlineStr">
        <is>
          <t>"SAMANTHA"(Minor)</t>
        </is>
      </c>
      <c r="D11" s="5" t="inlineStr"/>
      <c r="E11" s="6" t="n">
        <v>755.4</v>
      </c>
      <c r="F11" s="5" t="n"/>
      <c r="G11" s="5" t="n"/>
      <c r="H11" s="5" t="n"/>
      <c r="I11" s="5" t="n"/>
      <c r="J11" s="7">
        <f>IF(AND(N(F11)&gt;0,N(I11)&gt;0),I11-F11-IF(N(G11)&gt;0,0.5,0)-IF(N(H11)&gt;0,0.5,0),0)</f>
        <v/>
      </c>
      <c r="K11" s="5" t="n"/>
      <c r="L11" s="7">
        <f>MIN(J11,8.0)</f>
        <v/>
      </c>
      <c r="M11" s="7">
        <f>MAX(0,MIN(J11,12)-8.0)</f>
        <v/>
      </c>
      <c r="N11" s="7">
        <f>MAX(0,J11-12)</f>
        <v/>
      </c>
      <c r="O11" s="5" t="n"/>
      <c r="P11" s="6">
        <f>E11*(L11+M11*1.5+N11*2+O11*3+N(K11))</f>
        <v/>
      </c>
      <c r="Q11" s="6" t="n">
        <v>755.4</v>
      </c>
      <c r="R11" s="6">
        <f>Q11-P11</f>
        <v/>
      </c>
    </row>
    <row r="12">
      <c r="P12" s="2" t="inlineStr">
        <is>
          <t>LEAD#2&amp;# LABOR</t>
        </is>
      </c>
      <c r="R12" s="8">
        <f>SUM(R10:R11)</f>
        <v/>
      </c>
    </row>
    <row r="14">
      <c r="B14" s="2" t="inlineStr">
        <is>
          <t>OTHERLEADCAST</t>
        </is>
      </c>
    </row>
    <row r="15">
      <c r="A15" s="5" t="inlineStr">
        <is>
          <t>1403</t>
        </is>
      </c>
      <c r="B15" s="5" t="inlineStr">
        <is>
          <t>Raymond Cruz</t>
        </is>
      </c>
      <c r="C15" s="5" t="inlineStr">
        <is>
          <t>"RAFAELOLVERA"</t>
        </is>
      </c>
      <c r="D15" s="5" t="inlineStr"/>
      <c r="E15" s="6" t="n">
        <v>1211.8</v>
      </c>
      <c r="F15" s="5" t="n"/>
      <c r="G15" s="5" t="n"/>
      <c r="H15" s="5" t="n"/>
      <c r="I15" s="5" t="n"/>
      <c r="J15" s="7">
        <f>IF(AND(N(F15)&gt;0,N(I15)&gt;0),I15-F15-IF(N(G15)&gt;0,0.5,0)-IF(N(H15)&gt;0,0.5,0),0)</f>
        <v/>
      </c>
      <c r="K15" s="5" t="n"/>
      <c r="L15" s="7">
        <f>MIN(J15,8.0)</f>
        <v/>
      </c>
      <c r="M15" s="7">
        <f>MAX(0,MIN(J15,12)-8.0)</f>
        <v/>
      </c>
      <c r="N15" s="7">
        <f>MAX(0,J15-12)</f>
        <v/>
      </c>
      <c r="O15" s="5" t="n"/>
      <c r="P15" s="6">
        <f>E15*(L15+M15*1.5+N15*2+O15*3+N(K15))</f>
        <v/>
      </c>
      <c r="Q15" s="6" t="n">
        <v>1211.8</v>
      </c>
      <c r="R15" s="6">
        <f>Q15-P15</f>
        <v/>
      </c>
    </row>
    <row r="16">
      <c r="A16" s="5" t="inlineStr">
        <is>
          <t>1403</t>
        </is>
      </c>
      <c r="B16" s="5" t="inlineStr">
        <is>
          <t>Marisol Ramirez</t>
        </is>
      </c>
      <c r="C16" s="5" t="inlineStr">
        <is>
          <t>"LALLORONA"</t>
        </is>
      </c>
      <c r="D16" s="5" t="inlineStr"/>
      <c r="E16" s="6" t="n">
        <v>1211.8</v>
      </c>
      <c r="F16" s="5" t="n"/>
      <c r="G16" s="5" t="n"/>
      <c r="H16" s="5" t="n"/>
      <c r="I16" s="5" t="n"/>
      <c r="J16" s="7">
        <f>IF(AND(N(F16)&gt;0,N(I16)&gt;0),I16-F16-IF(N(G16)&gt;0,0.5,0)-IF(N(H16)&gt;0,0.5,0),0)</f>
        <v/>
      </c>
      <c r="K16" s="5" t="n"/>
      <c r="L16" s="7">
        <f>MIN(J16,8.0)</f>
        <v/>
      </c>
      <c r="M16" s="7">
        <f>MAX(0,MIN(J16,12)-8.0)</f>
        <v/>
      </c>
      <c r="N16" s="7">
        <f>MAX(0,J16-12)</f>
        <v/>
      </c>
      <c r="O16" s="5" t="n"/>
      <c r="P16" s="6">
        <f>E16*(L16+M16*1.5+N16*2+O16*3+N(K16))</f>
        <v/>
      </c>
      <c r="Q16" s="6" t="n">
        <v>1211.8</v>
      </c>
      <c r="R16" s="6">
        <f>Q16-P16</f>
        <v/>
      </c>
    </row>
    <row r="17">
      <c r="A17" s="5" t="inlineStr">
        <is>
          <t>1403</t>
        </is>
      </c>
      <c r="B17" s="5" t="inlineStr">
        <is>
          <t>Patrica Velasquez</t>
        </is>
      </c>
      <c r="C17" s="5" t="inlineStr">
        <is>
          <t>"PATRICIA"</t>
        </is>
      </c>
      <c r="D17" s="5" t="inlineStr"/>
      <c r="E17" s="6" t="n">
        <v>1972</v>
      </c>
      <c r="F17" s="5" t="n"/>
      <c r="G17" s="5" t="n"/>
      <c r="H17" s="5" t="n"/>
      <c r="I17" s="5" t="n"/>
      <c r="J17" s="7">
        <f>IF(AND(N(F17)&gt;0,N(I17)&gt;0),I17-F17-IF(N(G17)&gt;0,0.5,0)-IF(N(H17)&gt;0,0.5,0),0)</f>
        <v/>
      </c>
      <c r="K17" s="5" t="n"/>
      <c r="L17" s="7">
        <f>MIN(J17,8.0)</f>
        <v/>
      </c>
      <c r="M17" s="7">
        <f>MAX(0,MIN(J17,12)-8.0)</f>
        <v/>
      </c>
      <c r="N17" s="7">
        <f>MAX(0,J17-12)</f>
        <v/>
      </c>
      <c r="O17" s="5" t="n"/>
      <c r="P17" s="6">
        <f>E17*(L17+M17*1.5+N17*2+O17*3+N(K17))</f>
        <v/>
      </c>
      <c r="Q17" s="6" t="n">
        <v>1972</v>
      </c>
      <c r="R17" s="6">
        <f>Q17-P17</f>
        <v/>
      </c>
    </row>
    <row r="18">
      <c r="P18" s="2" t="inlineStr">
        <is>
          <t>OTHERLEADCAST LABOR</t>
        </is>
      </c>
      <c r="R18" s="8">
        <f>SUM(R15:R17)</f>
        <v/>
      </c>
    </row>
    <row r="20">
      <c r="B20" s="2" t="inlineStr">
        <is>
          <t>SUPPORTINGCAST</t>
        </is>
      </c>
    </row>
    <row r="21">
      <c r="A21" s="5" t="inlineStr">
        <is>
          <t>1404</t>
        </is>
      </c>
      <c r="B21" s="5" t="inlineStr">
        <is>
          <t>Sean Patrick Thomas</t>
        </is>
      </c>
      <c r="C21" s="5" t="inlineStr">
        <is>
          <t>DETCOOPER</t>
        </is>
      </c>
      <c r="D21" s="5" t="inlineStr"/>
      <c r="E21" s="6" t="n">
        <v>1211.8</v>
      </c>
      <c r="F21" s="5" t="n"/>
      <c r="G21" s="5" t="n"/>
      <c r="H21" s="5" t="n"/>
      <c r="I21" s="5" t="n"/>
      <c r="J21" s="7">
        <f>IF(AND(N(F21)&gt;0,N(I21)&gt;0),I21-F21-IF(N(G21)&gt;0,0.5,0)-IF(N(H21)&gt;0,0.5,0),0)</f>
        <v/>
      </c>
      <c r="K21" s="5" t="n"/>
      <c r="L21" s="7">
        <f>MIN(J21,8.0)</f>
        <v/>
      </c>
      <c r="M21" s="7">
        <f>MAX(0,MIN(J21,12)-8.0)</f>
        <v/>
      </c>
      <c r="N21" s="7">
        <f>MAX(0,J21-12)</f>
        <v/>
      </c>
      <c r="O21" s="5" t="n"/>
      <c r="P21" s="6">
        <f>E21*(L21+M21*1.5+N21*2+O21*3+N(K21))</f>
        <v/>
      </c>
      <c r="Q21" s="6" t="n">
        <v>1211.8</v>
      </c>
      <c r="R21" s="6">
        <f>Q21-P21</f>
        <v/>
      </c>
    </row>
    <row r="22">
      <c r="A22" s="5" t="inlineStr">
        <is>
          <t>1404</t>
        </is>
      </c>
      <c r="B22" s="5" t="inlineStr">
        <is>
          <t>Tony Amendola</t>
        </is>
      </c>
      <c r="C22" s="5" t="inlineStr">
        <is>
          <t>"FATHERPEREZ"</t>
        </is>
      </c>
      <c r="D22" s="5" t="inlineStr"/>
      <c r="E22" s="6" t="n">
        <v>1972</v>
      </c>
      <c r="F22" s="5" t="n"/>
      <c r="G22" s="5" t="n"/>
      <c r="H22" s="5" t="n"/>
      <c r="I22" s="5" t="n"/>
      <c r="J22" s="7">
        <f>IF(AND(N(F22)&gt;0,N(I22)&gt;0),I22-F22-IF(N(G22)&gt;0,0.5,0)-IF(N(H22)&gt;0,0.5,0),0)</f>
        <v/>
      </c>
      <c r="K22" s="5" t="n"/>
      <c r="L22" s="7">
        <f>MIN(J22,8.0)</f>
        <v/>
      </c>
      <c r="M22" s="7">
        <f>MAX(0,MIN(J22,12)-8.0)</f>
        <v/>
      </c>
      <c r="N22" s="7">
        <f>MAX(0,J22-12)</f>
        <v/>
      </c>
      <c r="O22" s="5" t="n"/>
      <c r="P22" s="6">
        <f>E22*(L22+M22*1.5+N22*2+O22*3+N(K22))</f>
        <v/>
      </c>
      <c r="Q22" s="6" t="n">
        <v>1972</v>
      </c>
      <c r="R22" s="6">
        <f>Q22-P22</f>
        <v/>
      </c>
    </row>
    <row r="23">
      <c r="P23" s="2" t="inlineStr">
        <is>
          <t>SUPPORTINGCAST LABOR</t>
        </is>
      </c>
      <c r="R23" s="8">
        <f>SUM(R21:R22)</f>
        <v/>
      </c>
    </row>
    <row r="25">
      <c r="B25" s="2" t="inlineStr">
        <is>
          <t>DAYPLAYERS</t>
        </is>
      </c>
    </row>
    <row r="26">
      <c r="A26" s="5" t="inlineStr">
        <is>
          <t>1405</t>
        </is>
      </c>
      <c r="B26" s="5" t="inlineStr">
        <is>
          <t>Kristy Keng(Drop/Pickup)</t>
        </is>
      </c>
      <c r="C26" s="5" t="inlineStr">
        <is>
          <t>"DONNA"</t>
        </is>
      </c>
      <c r="D26" s="5" t="inlineStr"/>
      <c r="E26" s="6" t="n">
        <v>1972</v>
      </c>
      <c r="F26" s="5" t="n"/>
      <c r="G26" s="5" t="n"/>
      <c r="H26" s="5" t="n"/>
      <c r="I26" s="5" t="n"/>
      <c r="J26" s="7">
        <f>IF(AND(N(F26)&gt;0,N(I26)&gt;0),I26-F26-IF(N(G26)&gt;0,0.5,0)-IF(N(H26)&gt;0,0.5,0),0)</f>
        <v/>
      </c>
      <c r="K26" s="5" t="n"/>
      <c r="L26" s="7">
        <f>MIN(J26,8.0)</f>
        <v/>
      </c>
      <c r="M26" s="7">
        <f>MAX(0,MIN(J26,12)-8.0)</f>
        <v/>
      </c>
      <c r="N26" s="7">
        <f>MAX(0,J26-12)</f>
        <v/>
      </c>
      <c r="O26" s="5" t="n"/>
      <c r="P26" s="6">
        <f>E26*(L26+M26*1.5+N26*2+O26*3+N(K26))</f>
        <v/>
      </c>
      <c r="Q26" s="6" t="n">
        <v>1972</v>
      </c>
      <c r="R26" s="6">
        <f>Q26-P26</f>
        <v/>
      </c>
    </row>
    <row r="27">
      <c r="A27" s="5" t="inlineStr">
        <is>
          <t>1405</t>
        </is>
      </c>
      <c r="B27" s="5" t="inlineStr">
        <is>
          <t>Oliver Alexander</t>
        </is>
      </c>
      <c r="C27" s="5" t="inlineStr">
        <is>
          <t>"CARLOS"(Minor)</t>
        </is>
      </c>
      <c r="D27" s="5" t="inlineStr"/>
      <c r="E27" s="6" t="n">
        <v>1249</v>
      </c>
      <c r="F27" s="5" t="n"/>
      <c r="G27" s="5" t="n"/>
      <c r="H27" s="5" t="n"/>
      <c r="I27" s="5" t="n"/>
      <c r="J27" s="7">
        <f>IF(AND(N(F27)&gt;0,N(I27)&gt;0),I27-F27-IF(N(G27)&gt;0,0.5,0)-IF(N(H27)&gt;0,0.5,0),0)</f>
        <v/>
      </c>
      <c r="K27" s="5" t="n"/>
      <c r="L27" s="7">
        <f>MIN(J27,8.0)</f>
        <v/>
      </c>
      <c r="M27" s="7">
        <f>MAX(0,MIN(J27,12)-8.0)</f>
        <v/>
      </c>
      <c r="N27" s="7">
        <f>MAX(0,J27-12)</f>
        <v/>
      </c>
      <c r="O27" s="5" t="n"/>
      <c r="P27" s="6">
        <f>E27*(L27+M27*1.5+N27*2+O27*3+N(K27))</f>
        <v/>
      </c>
      <c r="Q27" s="6" t="n">
        <v>1249</v>
      </c>
      <c r="R27" s="6">
        <f>Q27-P27</f>
        <v/>
      </c>
    </row>
    <row r="28">
      <c r="A28" s="5" t="inlineStr">
        <is>
          <t>1405</t>
        </is>
      </c>
      <c r="B28" s="5" t="inlineStr">
        <is>
          <t>Adam Lewandowski</t>
        </is>
      </c>
      <c r="C28" s="5" t="inlineStr">
        <is>
          <t>"TOMAS"(Minor)</t>
        </is>
      </c>
      <c r="D28" s="5" t="inlineStr"/>
      <c r="E28" s="6" t="n">
        <v>1249</v>
      </c>
      <c r="F28" s="5" t="n"/>
      <c r="G28" s="5" t="n"/>
      <c r="H28" s="5" t="n"/>
      <c r="I28" s="5" t="n"/>
      <c r="J28" s="7">
        <f>IF(AND(N(F28)&gt;0,N(I28)&gt;0),I28-F28-IF(N(G28)&gt;0,0.5,0)-IF(N(H28)&gt;0,0.5,0),0)</f>
        <v/>
      </c>
      <c r="K28" s="5" t="n"/>
      <c r="L28" s="7">
        <f>MIN(J28,8.0)</f>
        <v/>
      </c>
      <c r="M28" s="7">
        <f>MAX(0,MIN(J28,12)-8.0)</f>
        <v/>
      </c>
      <c r="N28" s="7">
        <f>MAX(0,J28-12)</f>
        <v/>
      </c>
      <c r="O28" s="5" t="n"/>
      <c r="P28" s="6">
        <f>E28*(L28+M28*1.5+N28*2+O28*3+N(K28))</f>
        <v/>
      </c>
      <c r="Q28" s="6" t="n">
        <v>1249</v>
      </c>
      <c r="R28" s="6">
        <f>Q28-P28</f>
        <v/>
      </c>
    </row>
    <row r="29">
      <c r="A29" s="5" t="inlineStr">
        <is>
          <t>1405</t>
        </is>
      </c>
      <c r="B29" s="5" t="inlineStr">
        <is>
          <t>Paul Rodriquez Jr.</t>
        </is>
      </c>
      <c r="C29" s="5" t="inlineStr">
        <is>
          <t>"OFFICERCLARO"</t>
        </is>
      </c>
      <c r="D29" s="5" t="inlineStr"/>
      <c r="E29" s="6" t="n">
        <v>1972</v>
      </c>
      <c r="F29" s="5" t="n"/>
      <c r="G29" s="5" t="n"/>
      <c r="H29" s="5" t="n"/>
      <c r="I29" s="5" t="n"/>
      <c r="J29" s="7">
        <f>IF(AND(N(F29)&gt;0,N(I29)&gt;0),I29-F29-IF(N(G29)&gt;0,0.5,0)-IF(N(H29)&gt;0,0.5,0),0)</f>
        <v/>
      </c>
      <c r="K29" s="5" t="n"/>
      <c r="L29" s="7">
        <f>MIN(J29,8.0)</f>
        <v/>
      </c>
      <c r="M29" s="7">
        <f>MAX(0,MIN(J29,12)-8.0)</f>
        <v/>
      </c>
      <c r="N29" s="7">
        <f>MAX(0,J29-12)</f>
        <v/>
      </c>
      <c r="O29" s="5" t="n"/>
      <c r="P29" s="6">
        <f>E29*(L29+M29*1.5+N29*2+O29*3+N(K29))</f>
        <v/>
      </c>
      <c r="Q29" s="6" t="n">
        <v>1972</v>
      </c>
      <c r="R29" s="6">
        <f>Q29-P29</f>
        <v/>
      </c>
    </row>
    <row r="30">
      <c r="A30" s="5" t="inlineStr">
        <is>
          <t>1405</t>
        </is>
      </c>
      <c r="B30" s="5" t="inlineStr">
        <is>
          <t>Sophia Santi</t>
        </is>
      </c>
      <c r="C30" s="5" t="inlineStr">
        <is>
          <t>"FEMALECUSTOMER"</t>
        </is>
      </c>
      <c r="D30" s="5" t="inlineStr"/>
      <c r="E30" s="6" t="n">
        <v>1972</v>
      </c>
      <c r="F30" s="5" t="n"/>
      <c r="G30" s="5" t="n"/>
      <c r="H30" s="5" t="n"/>
      <c r="I30" s="5" t="n"/>
      <c r="J30" s="7">
        <f>IF(AND(N(F30)&gt;0,N(I30)&gt;0),I30-F30-IF(N(G30)&gt;0,0.5,0)-IF(N(H30)&gt;0,0.5,0),0)</f>
        <v/>
      </c>
      <c r="K30" s="5" t="n"/>
      <c r="L30" s="7">
        <f>MIN(J30,8.0)</f>
        <v/>
      </c>
      <c r="M30" s="7">
        <f>MAX(0,MIN(J30,12)-8.0)</f>
        <v/>
      </c>
      <c r="N30" s="7">
        <f>MAX(0,J30-12)</f>
        <v/>
      </c>
      <c r="O30" s="5" t="n"/>
      <c r="P30" s="6">
        <f>E30*(L30+M30*1.5+N30*2+O30*3+N(K30))</f>
        <v/>
      </c>
      <c r="Q30" s="6" t="n">
        <v>1972</v>
      </c>
      <c r="R30" s="6">
        <f>Q30-P30</f>
        <v/>
      </c>
    </row>
    <row r="31">
      <c r="A31" s="5" t="inlineStr">
        <is>
          <t>1405</t>
        </is>
      </c>
      <c r="B31" s="5" t="inlineStr">
        <is>
          <t>John Marshall Jones</t>
        </is>
      </c>
      <c r="C31" s="5" t="inlineStr">
        <is>
          <t>"MRHANKINS"</t>
        </is>
      </c>
      <c r="D31" s="5" t="inlineStr"/>
      <c r="E31" s="6" t="n">
        <v>1972</v>
      </c>
      <c r="F31" s="5" t="n"/>
      <c r="G31" s="5" t="n"/>
      <c r="H31" s="5" t="n"/>
      <c r="I31" s="5" t="n"/>
      <c r="J31" s="7">
        <f>IF(AND(N(F31)&gt;0,N(I31)&gt;0),I31-F31-IF(N(G31)&gt;0,0.5,0)-IF(N(H31)&gt;0,0.5,0),0)</f>
        <v/>
      </c>
      <c r="K31" s="5" t="n"/>
      <c r="L31" s="7">
        <f>MIN(J31,8.0)</f>
        <v/>
      </c>
      <c r="M31" s="7">
        <f>MAX(0,MIN(J31,12)-8.0)</f>
        <v/>
      </c>
      <c r="N31" s="7">
        <f>MAX(0,J31-12)</f>
        <v/>
      </c>
      <c r="O31" s="5" t="n"/>
      <c r="P31" s="6">
        <f>E31*(L31+M31*1.5+N31*2+O31*3+N(K31))</f>
        <v/>
      </c>
      <c r="Q31" s="6" t="n">
        <v>1972</v>
      </c>
      <c r="R31" s="6">
        <f>Q31-P31</f>
        <v/>
      </c>
    </row>
    <row r="32">
      <c r="A32" s="5" t="inlineStr">
        <is>
          <t>1405</t>
        </is>
      </c>
      <c r="B32" s="5" t="inlineStr">
        <is>
          <t>Madeleine Mcgraw</t>
        </is>
      </c>
      <c r="C32" s="5" t="inlineStr">
        <is>
          <t>"APRIL"(Minor)</t>
        </is>
      </c>
      <c r="D32" s="5" t="inlineStr"/>
      <c r="E32" s="6" t="n">
        <v>1249</v>
      </c>
      <c r="F32" s="5" t="n"/>
      <c r="G32" s="5" t="n"/>
      <c r="H32" s="5" t="n"/>
      <c r="I32" s="5" t="n"/>
      <c r="J32" s="7">
        <f>IF(AND(N(F32)&gt;0,N(I32)&gt;0),I32-F32-IF(N(G32)&gt;0,0.5,0)-IF(N(H32)&gt;0,0.5,0),0)</f>
        <v/>
      </c>
      <c r="K32" s="5" t="n"/>
      <c r="L32" s="7">
        <f>MIN(J32,8.0)</f>
        <v/>
      </c>
      <c r="M32" s="7">
        <f>MAX(0,MIN(J32,12)-8.0)</f>
        <v/>
      </c>
      <c r="N32" s="7">
        <f>MAX(0,J32-12)</f>
        <v/>
      </c>
      <c r="O32" s="5" t="n"/>
      <c r="P32" s="6">
        <f>E32*(L32+M32*1.5+N32*2+O32*3+N(K32))</f>
        <v/>
      </c>
      <c r="Q32" s="6" t="n">
        <v>1249</v>
      </c>
      <c r="R32" s="6">
        <f>Q32-P32</f>
        <v/>
      </c>
    </row>
    <row r="33">
      <c r="P33" s="2" t="inlineStr">
        <is>
          <t>DAYPLAYERS LABOR</t>
        </is>
      </c>
      <c r="R33" s="8">
        <f>SUM(R26:R32)</f>
        <v/>
      </c>
    </row>
    <row r="35">
      <c r="B35" s="2" t="inlineStr">
        <is>
          <t>STUNTCOORD</t>
        </is>
      </c>
    </row>
    <row r="36">
      <c r="A36" s="5" t="inlineStr">
        <is>
          <t>1406</t>
        </is>
      </c>
      <c r="B36" s="5" t="inlineStr">
        <is>
          <t>Rob King</t>
        </is>
      </c>
      <c r="C36" s="5" t="inlineStr">
        <is>
          <t>STUNTCOORDINATOR</t>
        </is>
      </c>
      <c r="D36" s="5" t="inlineStr"/>
      <c r="E36" s="6" t="n">
        <v>1173</v>
      </c>
      <c r="F36" s="5" t="n"/>
      <c r="G36" s="5" t="n"/>
      <c r="H36" s="5" t="n"/>
      <c r="I36" s="5" t="n"/>
      <c r="J36" s="7">
        <f>IF(AND(N(F36)&gt;0,N(I36)&gt;0),I36-F36-IF(N(G36)&gt;0,0.5,0)-IF(N(H36)&gt;0,0.5,0),0)</f>
        <v/>
      </c>
      <c r="K36" s="5" t="n"/>
      <c r="L36" s="7">
        <f>MIN(J36,8.0)</f>
        <v/>
      </c>
      <c r="M36" s="7">
        <f>MAX(0,MIN(J36,12)-8.0)</f>
        <v/>
      </c>
      <c r="N36" s="7">
        <f>MAX(0,J36-12)</f>
        <v/>
      </c>
      <c r="O36" s="5" t="n"/>
      <c r="P36" s="6">
        <f>E36*(L36+M36*1.5+N36*2+O36*3+N(K36))</f>
        <v/>
      </c>
      <c r="Q36" s="6" t="n">
        <v>1173</v>
      </c>
      <c r="R36" s="6">
        <f>Q36-P36</f>
        <v/>
      </c>
    </row>
    <row r="37">
      <c r="P37" s="2" t="inlineStr">
        <is>
          <t>STUNTCOORD LABOR</t>
        </is>
      </c>
      <c r="R37" s="8">
        <f>SUM(R36:R36)</f>
        <v/>
      </c>
    </row>
    <row r="39">
      <c r="B39" s="2" t="inlineStr">
        <is>
          <t>TEACHER/WELFAREWORKER</t>
        </is>
      </c>
    </row>
    <row r="40">
      <c r="A40" s="5" t="inlineStr">
        <is>
          <t>1412</t>
        </is>
      </c>
      <c r="B40" s="5" t="inlineStr"/>
      <c r="C40" s="5" t="inlineStr">
        <is>
          <t>WELFAREWORKER</t>
        </is>
      </c>
      <c r="D40" s="5" t="inlineStr">
        <is>
          <t>Local884</t>
        </is>
      </c>
      <c r="E40" s="6" t="n">
        <v>25.5</v>
      </c>
      <c r="F40" s="5" t="n"/>
      <c r="G40" s="5" t="n"/>
      <c r="H40" s="5" t="n"/>
      <c r="I40" s="5" t="n"/>
      <c r="J40" s="7">
        <f>IF(AND(N(F40)&gt;0,N(I40)&gt;0),I40-F40-IF(N(G40)&gt;0,0.5,0)-IF(N(H40)&gt;0,0.5,0),0)</f>
        <v/>
      </c>
      <c r="K40" s="5" t="n"/>
      <c r="L40" s="7">
        <f>MIN(J40,8.0)</f>
        <v/>
      </c>
      <c r="M40" s="7">
        <f>MAX(0,MIN(J40,12)-8.0)</f>
        <v/>
      </c>
      <c r="N40" s="7">
        <f>MAX(0,J40-12)</f>
        <v/>
      </c>
      <c r="O40" s="5" t="n"/>
      <c r="P40" s="6">
        <f>E40*(L40+M40*1.5+N40*2+O40*3+N(K40))</f>
        <v/>
      </c>
      <c r="Q40" s="6" t="n">
        <v>280.5</v>
      </c>
      <c r="R40" s="6">
        <f>Q40-P40</f>
        <v/>
      </c>
    </row>
    <row r="41">
      <c r="A41" s="5" t="inlineStr">
        <is>
          <t>1412</t>
        </is>
      </c>
      <c r="B41" s="5" t="inlineStr"/>
      <c r="C41" s="5" t="inlineStr">
        <is>
          <t>ADDLWELFAREWORKER</t>
        </is>
      </c>
      <c r="D41" s="5" t="inlineStr">
        <is>
          <t>Local884</t>
        </is>
      </c>
      <c r="E41" s="6" t="n">
        <v>25.5</v>
      </c>
      <c r="F41" s="5" t="n"/>
      <c r="G41" s="5" t="n"/>
      <c r="H41" s="5" t="n"/>
      <c r="I41" s="5" t="n"/>
      <c r="J41" s="7">
        <f>IF(AND(N(F41)&gt;0,N(I41)&gt;0),I41-F41-IF(N(G41)&gt;0,0.5,0)-IF(N(H41)&gt;0,0.5,0),0)</f>
        <v/>
      </c>
      <c r="K41" s="5" t="n"/>
      <c r="L41" s="7">
        <f>MIN(J41,8.0)</f>
        <v/>
      </c>
      <c r="M41" s="7">
        <f>MAX(0,MIN(J41,12)-8.0)</f>
        <v/>
      </c>
      <c r="N41" s="7">
        <f>MAX(0,J41-12)</f>
        <v/>
      </c>
      <c r="O41" s="5" t="n"/>
      <c r="P41" s="6">
        <f>E41*(L41+M41*1.5+N41*2+O41*3+N(K41))</f>
        <v/>
      </c>
      <c r="Q41" s="6" t="n">
        <v>280.5</v>
      </c>
      <c r="R41" s="6">
        <f>Q41-P41</f>
        <v/>
      </c>
    </row>
    <row r="42">
      <c r="P42" s="2" t="inlineStr">
        <is>
          <t>TEACHER/WELFAREWORKER LABOR</t>
        </is>
      </c>
      <c r="R42" s="8">
        <f>SUM(R40:R41)</f>
        <v/>
      </c>
    </row>
    <row r="44">
      <c r="B44" s="2" t="inlineStr">
        <is>
          <t>CASTINGDIRECTORS</t>
        </is>
      </c>
    </row>
    <row r="45">
      <c r="A45" s="5" t="inlineStr">
        <is>
          <t>1413</t>
        </is>
      </c>
      <c r="B45" s="5" t="inlineStr">
        <is>
          <t>Rich Delia</t>
        </is>
      </c>
      <c r="C45" s="5" t="inlineStr">
        <is>
          <t>CASTINGDIRECTOR</t>
        </is>
      </c>
      <c r="D45" s="5" t="inlineStr"/>
      <c r="E45" s="6" t="n">
        <v>600</v>
      </c>
      <c r="F45" s="5" t="n"/>
      <c r="G45" s="5" t="n"/>
      <c r="H45" s="5" t="n"/>
      <c r="I45" s="5" t="n"/>
      <c r="J45" s="7">
        <f>IF(AND(N(F45)&gt;0,N(I45)&gt;0),I45-F45-IF(N(G45)&gt;0,0.5,0)-IF(N(H45)&gt;0,0.5,0),0)</f>
        <v/>
      </c>
      <c r="K45" s="5" t="n"/>
      <c r="L45" s="7">
        <f>MIN(J45,8.0)</f>
        <v/>
      </c>
      <c r="M45" s="7">
        <f>MAX(0,MIN(J45,12)-8.0)</f>
        <v/>
      </c>
      <c r="N45" s="7">
        <f>MAX(0,J45-12)</f>
        <v/>
      </c>
      <c r="O45" s="5" t="n"/>
      <c r="P45" s="6">
        <f>E45*(L45+M45*1.5+N45*2+O45*3+N(K45))</f>
        <v/>
      </c>
      <c r="Q45" s="5" t="n"/>
      <c r="R45" s="6">
        <f>Q45-P45</f>
        <v/>
      </c>
    </row>
    <row r="46">
      <c r="P46" s="2" t="inlineStr">
        <is>
          <t>CASTINGDIRECTORS LABOR</t>
        </is>
      </c>
      <c r="R46" s="8">
        <f>SUM(R45:R45)</f>
        <v/>
      </c>
    </row>
    <row r="48">
      <c r="B48" s="2" t="inlineStr">
        <is>
          <t>CASTINGASSOCIATES/ASSISTANTS</t>
        </is>
      </c>
    </row>
    <row r="49">
      <c r="A49" s="5" t="inlineStr">
        <is>
          <t>1414</t>
        </is>
      </c>
      <c r="B49" s="5" t="inlineStr">
        <is>
          <t>Adam Richards</t>
        </is>
      </c>
      <c r="C49" s="5" t="inlineStr">
        <is>
          <t>CASTINGASSOCIATE</t>
        </is>
      </c>
      <c r="D49" s="5" t="inlineStr"/>
      <c r="E49" s="6" t="n">
        <v>200</v>
      </c>
      <c r="F49" s="5" t="n"/>
      <c r="G49" s="5" t="n"/>
      <c r="H49" s="5" t="n"/>
      <c r="I49" s="5" t="n"/>
      <c r="J49" s="7">
        <f>IF(AND(N(F49)&gt;0,N(I49)&gt;0),I49-F49-IF(N(G49)&gt;0,0.5,0)-IF(N(H49)&gt;0,0.5,0),0)</f>
        <v/>
      </c>
      <c r="K49" s="5" t="n"/>
      <c r="L49" s="7">
        <f>MIN(J49,8.0)</f>
        <v/>
      </c>
      <c r="M49" s="7">
        <f>MAX(0,MIN(J49,12)-8.0)</f>
        <v/>
      </c>
      <c r="N49" s="7">
        <f>MAX(0,J49-12)</f>
        <v/>
      </c>
      <c r="O49" s="5" t="n"/>
      <c r="P49" s="6">
        <f>E49*(L49+M49*1.5+N49*2+O49*3+N(K49))</f>
        <v/>
      </c>
      <c r="Q49" s="5" t="n"/>
      <c r="R49" s="6">
        <f>Q49-P49</f>
        <v/>
      </c>
    </row>
    <row r="50">
      <c r="P50" s="2" t="inlineStr">
        <is>
          <t>CASTINGASSOCIATES/ASSISTANTS LABOR</t>
        </is>
      </c>
      <c r="R50" s="8">
        <f>SUM(R49:R49)</f>
        <v/>
      </c>
    </row>
    <row r="52">
      <c r="B52" s="2" t="inlineStr">
        <is>
          <t>CASTDRIVERS/VEHICLES</t>
        </is>
      </c>
    </row>
    <row r="53">
      <c r="A53" s="5" t="inlineStr">
        <is>
          <t>1455</t>
        </is>
      </c>
      <c r="B53" s="5" t="inlineStr"/>
      <c r="C53" s="5" t="inlineStr">
        <is>
          <t>CAST 3-RMDRIVER</t>
        </is>
      </c>
      <c r="D53" s="5" t="inlineStr">
        <is>
          <t>Local399</t>
        </is>
      </c>
      <c r="E53" s="6" t="n">
        <v>32.36</v>
      </c>
      <c r="F53" s="5" t="n"/>
      <c r="G53" s="5" t="n"/>
      <c r="H53" s="5" t="n"/>
      <c r="I53" s="5" t="n"/>
      <c r="J53" s="7">
        <f>IF(AND(N(F53)&gt;0,N(I53)&gt;0),I53-F53-IF(N(G53)&gt;0,0.5,0)-IF(N(H53)&gt;0,0.5,0),0)</f>
        <v/>
      </c>
      <c r="K53" s="5" t="n"/>
      <c r="L53" s="7">
        <f>MIN(J53,8.0)</f>
        <v/>
      </c>
      <c r="M53" s="7">
        <f>MAX(0,MIN(J53,12)-8.0)</f>
        <v/>
      </c>
      <c r="N53" s="7">
        <f>MAX(0,J53-12)</f>
        <v/>
      </c>
      <c r="O53" s="5" t="n"/>
      <c r="P53" s="6">
        <f>E53*(L53+M53*1.5+N53*2+O53*3+N(K53))</f>
        <v/>
      </c>
      <c r="Q53" s="6" t="n">
        <v>501.58</v>
      </c>
      <c r="R53" s="6">
        <f>Q53-P53</f>
        <v/>
      </c>
    </row>
    <row r="54">
      <c r="A54" s="5" t="inlineStr">
        <is>
          <t>1455</t>
        </is>
      </c>
      <c r="B54" s="5" t="inlineStr"/>
      <c r="C54" s="5" t="inlineStr">
        <is>
          <t>CASTMINIVANDRIVER</t>
        </is>
      </c>
      <c r="D54" s="5" t="inlineStr">
        <is>
          <t>Local399</t>
        </is>
      </c>
      <c r="E54" s="6" t="n">
        <v>32.36</v>
      </c>
      <c r="F54" s="5" t="n"/>
      <c r="G54" s="5" t="n"/>
      <c r="H54" s="5" t="n"/>
      <c r="I54" s="5" t="n"/>
      <c r="J54" s="7">
        <f>IF(AND(N(F54)&gt;0,N(I54)&gt;0),I54-F54-IF(N(G54)&gt;0,0.5,0)-IF(N(H54)&gt;0,0.5,0),0)</f>
        <v/>
      </c>
      <c r="K54" s="5" t="n"/>
      <c r="L54" s="7">
        <f>MIN(J54,8.0)</f>
        <v/>
      </c>
      <c r="M54" s="7">
        <f>MAX(0,MIN(J54,12)-8.0)</f>
        <v/>
      </c>
      <c r="N54" s="7">
        <f>MAX(0,J54-12)</f>
        <v/>
      </c>
      <c r="O54" s="5" t="n"/>
      <c r="P54" s="6">
        <f>E54*(L54+M54*1.5+N54*2+O54*3+N(K54))</f>
        <v/>
      </c>
      <c r="Q54" s="6" t="n">
        <v>501.58</v>
      </c>
      <c r="R54" s="6">
        <f>Q54-P54</f>
        <v/>
      </c>
    </row>
    <row r="55">
      <c r="P55" s="2" t="inlineStr">
        <is>
          <t>CASTDRIVERS/VEHICLES LABOR</t>
        </is>
      </c>
      <c r="R55" s="8">
        <f>SUM(R53:R54)</f>
        <v/>
      </c>
    </row>
    <row r="57">
      <c r="B57" s="2" t="inlineStr">
        <is>
          <t>PRODUCTIONMANAGER</t>
        </is>
      </c>
    </row>
    <row r="58">
      <c r="A58" s="5" t="inlineStr">
        <is>
          <t>2001</t>
        </is>
      </c>
      <c r="B58" s="5" t="inlineStr">
        <is>
          <t>Carrie Morrow</t>
        </is>
      </c>
      <c r="C58" s="5" t="inlineStr">
        <is>
          <t>UPM</t>
        </is>
      </c>
      <c r="D58" s="5" t="inlineStr">
        <is>
          <t>DGA</t>
        </is>
      </c>
      <c r="E58" s="6" t="n">
        <v>1063.6</v>
      </c>
      <c r="F58" s="5" t="n"/>
      <c r="G58" s="5" t="n"/>
      <c r="H58" s="5" t="n"/>
      <c r="I58" s="5" t="n"/>
      <c r="J58" s="7">
        <f>IF(AND(N(F58)&gt;0,N(I58)&gt;0),I58-F58-IF(N(G58)&gt;0,0.5,0)-IF(N(H58)&gt;0,0.5,0),0)</f>
        <v/>
      </c>
      <c r="K58" s="5" t="n"/>
      <c r="L58" s="7">
        <f>MIN(J58,8.0)</f>
        <v/>
      </c>
      <c r="M58" s="7">
        <f>MAX(0,MIN(J58,12)-8.0)</f>
        <v/>
      </c>
      <c r="N58" s="7">
        <f>MAX(0,J58-12)</f>
        <v/>
      </c>
      <c r="O58" s="5" t="n"/>
      <c r="P58" s="6">
        <f>E58*(L58+M58*1.5+N58*2+O58*3+N(K58))</f>
        <v/>
      </c>
      <c r="Q58" s="6" t="n">
        <v>1063.6</v>
      </c>
      <c r="R58" s="6">
        <f>Q58-P58</f>
        <v/>
      </c>
    </row>
    <row r="59">
      <c r="P59" s="2" t="inlineStr">
        <is>
          <t>PRODUCTIONMANAGER LABOR</t>
        </is>
      </c>
      <c r="R59" s="8">
        <f>SUM(R58:R58)</f>
        <v/>
      </c>
    </row>
    <row r="61">
      <c r="B61" s="2" t="inlineStr">
        <is>
          <t>1STASSTDIRECTOR</t>
        </is>
      </c>
    </row>
    <row r="62">
      <c r="A62" s="5" t="inlineStr">
        <is>
          <t>2002</t>
        </is>
      </c>
      <c r="B62" s="5" t="inlineStr">
        <is>
          <t>James Moran</t>
        </is>
      </c>
      <c r="C62" s="5" t="inlineStr">
        <is>
          <t>1STASSTDIRECTOR</t>
        </is>
      </c>
      <c r="D62" s="5" t="inlineStr">
        <is>
          <t>DGA</t>
        </is>
      </c>
      <c r="E62" s="6" t="n">
        <v>985.6</v>
      </c>
      <c r="F62" s="5" t="n"/>
      <c r="G62" s="5" t="n"/>
      <c r="H62" s="5" t="n"/>
      <c r="I62" s="5" t="n"/>
      <c r="J62" s="7">
        <f>IF(AND(N(F62)&gt;0,N(I62)&gt;0),I62-F62-IF(N(G62)&gt;0,0.5,0)-IF(N(H62)&gt;0,0.5,0),0)</f>
        <v/>
      </c>
      <c r="K62" s="5" t="n"/>
      <c r="L62" s="7">
        <f>MIN(J62,8.0)</f>
        <v/>
      </c>
      <c r="M62" s="7">
        <f>MAX(0,MIN(J62,12)-8.0)</f>
        <v/>
      </c>
      <c r="N62" s="7">
        <f>MAX(0,J62-12)</f>
        <v/>
      </c>
      <c r="O62" s="5" t="n"/>
      <c r="P62" s="6">
        <f>E62*(L62+M62*1.5+N62*2+O62*3+N(K62))</f>
        <v/>
      </c>
      <c r="Q62" s="6" t="n">
        <v>985.6</v>
      </c>
      <c r="R62" s="6">
        <f>Q62-P62</f>
        <v/>
      </c>
    </row>
    <row r="63">
      <c r="P63" s="2" t="inlineStr">
        <is>
          <t>1STASSTDIRECTOR LABOR</t>
        </is>
      </c>
      <c r="R63" s="8">
        <f>SUM(R62:R62)</f>
        <v/>
      </c>
    </row>
    <row r="65">
      <c r="B65" s="2" t="inlineStr">
        <is>
          <t>2NDASSTDIRECTORS</t>
        </is>
      </c>
    </row>
    <row r="66">
      <c r="A66" s="5" t="inlineStr">
        <is>
          <t>2003</t>
        </is>
      </c>
      <c r="B66" s="5" t="inlineStr">
        <is>
          <t>Mark Newland</t>
        </is>
      </c>
      <c r="C66" s="5" t="inlineStr">
        <is>
          <t>KEY 2NDA. D.</t>
        </is>
      </c>
      <c r="D66" s="5" t="inlineStr">
        <is>
          <t>DGA</t>
        </is>
      </c>
      <c r="E66" s="6" t="n">
        <v>674.6</v>
      </c>
      <c r="F66" s="5" t="n"/>
      <c r="G66" s="5" t="n"/>
      <c r="H66" s="5" t="n"/>
      <c r="I66" s="5" t="n"/>
      <c r="J66" s="7">
        <f>IF(AND(N(F66)&gt;0,N(I66)&gt;0),I66-F66-IF(N(G66)&gt;0,0.5,0)-IF(N(H66)&gt;0,0.5,0),0)</f>
        <v/>
      </c>
      <c r="K66" s="5" t="n"/>
      <c r="L66" s="7">
        <f>MIN(J66,8.0)</f>
        <v/>
      </c>
      <c r="M66" s="7">
        <f>MAX(0,MIN(J66,12)-8.0)</f>
        <v/>
      </c>
      <c r="N66" s="7">
        <f>MAX(0,J66-12)</f>
        <v/>
      </c>
      <c r="O66" s="5" t="n"/>
      <c r="P66" s="6">
        <f>E66*(L66+M66*1.5+N66*2+O66*3+N(K66))</f>
        <v/>
      </c>
      <c r="Q66" s="6" t="n">
        <v>674.6</v>
      </c>
      <c r="R66" s="6">
        <f>Q66-P66</f>
        <v/>
      </c>
    </row>
    <row r="67">
      <c r="A67" s="5" t="inlineStr">
        <is>
          <t>2003</t>
        </is>
      </c>
      <c r="B67" s="5" t="inlineStr"/>
      <c r="C67" s="5" t="inlineStr">
        <is>
          <t>2ND 2NDA. D.</t>
        </is>
      </c>
      <c r="D67" s="5" t="inlineStr">
        <is>
          <t>DGA</t>
        </is>
      </c>
      <c r="E67" s="6" t="n">
        <v>526</v>
      </c>
      <c r="F67" s="5" t="n"/>
      <c r="G67" s="5" t="n"/>
      <c r="H67" s="5" t="n"/>
      <c r="I67" s="5" t="n"/>
      <c r="J67" s="7">
        <f>IF(AND(N(F67)&gt;0,N(I67)&gt;0),I67-F67-IF(N(G67)&gt;0,0.5,0)-IF(N(H67)&gt;0,0.5,0),0)</f>
        <v/>
      </c>
      <c r="K67" s="5" t="n"/>
      <c r="L67" s="7">
        <f>MIN(J67,8.0)</f>
        <v/>
      </c>
      <c r="M67" s="7">
        <f>MAX(0,MIN(J67,12)-8.0)</f>
        <v/>
      </c>
      <c r="N67" s="7">
        <f>MAX(0,J67-12)</f>
        <v/>
      </c>
      <c r="O67" s="5" t="n"/>
      <c r="P67" s="6">
        <f>E67*(L67+M67*1.5+N67*2+O67*3+N(K67))</f>
        <v/>
      </c>
      <c r="Q67" s="6" t="n">
        <v>526</v>
      </c>
      <c r="R67" s="6">
        <f>Q67-P67</f>
        <v/>
      </c>
    </row>
    <row r="68">
      <c r="P68" s="2" t="inlineStr">
        <is>
          <t>2NDASSTDIRECTORS LABOR</t>
        </is>
      </c>
      <c r="R68" s="8">
        <f>SUM(R66:R67)</f>
        <v/>
      </c>
    </row>
    <row r="70">
      <c r="B70" s="2" t="inlineStr">
        <is>
          <t>SCRIPTSUPERVISOR</t>
        </is>
      </c>
    </row>
    <row r="71">
      <c r="A71" s="5" t="inlineStr">
        <is>
          <t>2005</t>
        </is>
      </c>
      <c r="B71" s="5" t="inlineStr">
        <is>
          <t>Renata Amador</t>
        </is>
      </c>
      <c r="C71" s="5" t="inlineStr">
        <is>
          <t>SCRIPTSUPERVISOR</t>
        </is>
      </c>
      <c r="D71" s="5" t="inlineStr">
        <is>
          <t>Local871</t>
        </is>
      </c>
      <c r="E71" s="6" t="n">
        <v>25.5</v>
      </c>
      <c r="F71" s="5" t="n"/>
      <c r="G71" s="5" t="n"/>
      <c r="H71" s="5" t="n"/>
      <c r="I71" s="5" t="n"/>
      <c r="J71" s="7">
        <f>IF(AND(N(F71)&gt;0,N(I71)&gt;0),I71-F71-IF(N(G71)&gt;0,0.5,0)-IF(N(H71)&gt;0,0.5,0),0)</f>
        <v/>
      </c>
      <c r="K71" s="5" t="n"/>
      <c r="L71" s="7">
        <f>MIN(J71,10.0)</f>
        <v/>
      </c>
      <c r="M71" s="7">
        <f>MAX(0,MIN(J71,12)-10.0)</f>
        <v/>
      </c>
      <c r="N71" s="7">
        <f>MAX(0,J71-12)</f>
        <v/>
      </c>
      <c r="O71" s="5" t="n"/>
      <c r="P71" s="6">
        <f>E71*(L71+M71*1.5+N71*2+O71*3+N(K71))</f>
        <v/>
      </c>
      <c r="Q71" s="6" t="n">
        <v>439.87</v>
      </c>
      <c r="R71" s="6">
        <f>Q71-P71</f>
        <v/>
      </c>
    </row>
    <row r="72">
      <c r="P72" s="2" t="inlineStr">
        <is>
          <t>SCRIPTSUPERVISOR LABOR</t>
        </is>
      </c>
      <c r="R72" s="8">
        <f>SUM(R71:R71)</f>
        <v/>
      </c>
    </row>
    <row r="74">
      <c r="B74" s="2" t="inlineStr">
        <is>
          <t>LOCATIONMANAGERS</t>
        </is>
      </c>
    </row>
    <row r="75">
      <c r="A75" s="5" t="inlineStr">
        <is>
          <t>2007</t>
        </is>
      </c>
      <c r="B75" s="5" t="inlineStr">
        <is>
          <t>Stacey Brashear-Rodriquez</t>
        </is>
      </c>
      <c r="C75" s="5" t="inlineStr">
        <is>
          <t>LOCATIONMANAGER</t>
        </is>
      </c>
      <c r="D75" s="5" t="inlineStr">
        <is>
          <t>Local399</t>
        </is>
      </c>
      <c r="E75" s="6" t="n">
        <v>557.6</v>
      </c>
      <c r="F75" s="5" t="n"/>
      <c r="G75" s="5" t="n"/>
      <c r="H75" s="5" t="n"/>
      <c r="I75" s="5" t="n"/>
      <c r="J75" s="7">
        <f>IF(AND(N(F75)&gt;0,N(I75)&gt;0),I75-F75-IF(N(G75)&gt;0,0.5,0)-IF(N(H75)&gt;0,0.5,0),0)</f>
        <v/>
      </c>
      <c r="K75" s="5" t="n"/>
      <c r="L75" s="7">
        <f>MIN(J75,8.0)</f>
        <v/>
      </c>
      <c r="M75" s="7">
        <f>MAX(0,MIN(J75,12)-8.0)</f>
        <v/>
      </c>
      <c r="N75" s="7">
        <f>MAX(0,J75-12)</f>
        <v/>
      </c>
      <c r="O75" s="5" t="n"/>
      <c r="P75" s="6">
        <f>E75*(L75+M75*1.5+N75*2+O75*3+N(K75))</f>
        <v/>
      </c>
      <c r="Q75" s="6" t="n">
        <v>557.6</v>
      </c>
      <c r="R75" s="6">
        <f>Q75-P75</f>
        <v/>
      </c>
    </row>
    <row r="76">
      <c r="P76" s="2" t="inlineStr">
        <is>
          <t>LOCATIONMANAGERS LABOR</t>
        </is>
      </c>
      <c r="R76" s="8">
        <f>SUM(R75:R75)</f>
        <v/>
      </c>
    </row>
    <row r="78">
      <c r="B78" s="2" t="inlineStr">
        <is>
          <t>ASSISTANTLOCATIONMANAGERS</t>
        </is>
      </c>
    </row>
    <row r="79">
      <c r="A79" s="5" t="inlineStr">
        <is>
          <t>2008</t>
        </is>
      </c>
      <c r="B79" s="5" t="inlineStr">
        <is>
          <t>Rich Heichel</t>
        </is>
      </c>
      <c r="C79" s="5" t="inlineStr">
        <is>
          <t>KEYASSTLOCATIONMGR#1</t>
        </is>
      </c>
      <c r="D79" s="5" t="inlineStr">
        <is>
          <t>Local399</t>
        </is>
      </c>
      <c r="E79" s="6" t="n">
        <v>334.2</v>
      </c>
      <c r="F79" s="5" t="n"/>
      <c r="G79" s="5" t="n"/>
      <c r="H79" s="5" t="n"/>
      <c r="I79" s="5" t="n"/>
      <c r="J79" s="7">
        <f>IF(AND(N(F79)&gt;0,N(I79)&gt;0),I79-F79-IF(N(G79)&gt;0,0.5,0)-IF(N(H79)&gt;0,0.5,0),0)</f>
        <v/>
      </c>
      <c r="K79" s="5" t="n"/>
      <c r="L79" s="7">
        <f>MIN(J79,8.0)</f>
        <v/>
      </c>
      <c r="M79" s="7">
        <f>MAX(0,MIN(J79,12)-8.0)</f>
        <v/>
      </c>
      <c r="N79" s="7">
        <f>MAX(0,J79-12)</f>
        <v/>
      </c>
      <c r="O79" s="5" t="n"/>
      <c r="P79" s="6">
        <f>E79*(L79+M79*1.5+N79*2+O79*3+N(K79))</f>
        <v/>
      </c>
      <c r="Q79" s="6" t="n">
        <v>334.2</v>
      </c>
      <c r="R79" s="6">
        <f>Q79-P79</f>
        <v/>
      </c>
    </row>
    <row r="80">
      <c r="A80" s="5" t="inlineStr">
        <is>
          <t>2008</t>
        </is>
      </c>
      <c r="B80" s="5" t="inlineStr">
        <is>
          <t>Jason Mc Cauley</t>
        </is>
      </c>
      <c r="C80" s="5" t="inlineStr">
        <is>
          <t>LOCATIONASST</t>
        </is>
      </c>
      <c r="D80" s="5" t="inlineStr">
        <is>
          <t>Local399</t>
        </is>
      </c>
      <c r="E80" s="6" t="n">
        <v>229</v>
      </c>
      <c r="F80" s="5" t="n"/>
      <c r="G80" s="5" t="n"/>
      <c r="H80" s="5" t="n"/>
      <c r="I80" s="5" t="n"/>
      <c r="J80" s="7">
        <f>IF(AND(N(F80)&gt;0,N(I80)&gt;0),I80-F80-IF(N(G80)&gt;0,0.5,0)-IF(N(H80)&gt;0,0.5,0),0)</f>
        <v/>
      </c>
      <c r="K80" s="5" t="n"/>
      <c r="L80" s="7">
        <f>MIN(J80,8.0)</f>
        <v/>
      </c>
      <c r="M80" s="7">
        <f>MAX(0,MIN(J80,12)-8.0)</f>
        <v/>
      </c>
      <c r="N80" s="7">
        <f>MAX(0,J80-12)</f>
        <v/>
      </c>
      <c r="O80" s="5" t="n"/>
      <c r="P80" s="6">
        <f>E80*(L80+M80*1.5+N80*2+O80*3+N(K80))</f>
        <v/>
      </c>
      <c r="Q80" s="6" t="n">
        <v>229</v>
      </c>
      <c r="R80" s="6">
        <f>Q80-P80</f>
        <v/>
      </c>
    </row>
    <row r="81">
      <c r="P81" s="2" t="inlineStr">
        <is>
          <t>ASSISTANTLOCATIONMANAGERS LABOR</t>
        </is>
      </c>
      <c r="R81" s="8">
        <f>SUM(R79:R80)</f>
        <v/>
      </c>
    </row>
    <row r="83">
      <c r="B83" s="2" t="inlineStr">
        <is>
          <t>PRODUCTIONCOORDINATOR</t>
        </is>
      </c>
    </row>
    <row r="84">
      <c r="A84" s="5" t="inlineStr">
        <is>
          <t>2009</t>
        </is>
      </c>
      <c r="B84" s="5" t="inlineStr">
        <is>
          <t>Ali Griffith</t>
        </is>
      </c>
      <c r="C84" s="5" t="inlineStr">
        <is>
          <t>PRODUCTIONOFCCOORD</t>
        </is>
      </c>
      <c r="D84" s="5" t="inlineStr"/>
      <c r="E84" s="6" t="n">
        <v>360</v>
      </c>
      <c r="F84" s="5" t="n"/>
      <c r="G84" s="5" t="n"/>
      <c r="H84" s="5" t="n"/>
      <c r="I84" s="5" t="n"/>
      <c r="J84" s="7">
        <f>IF(AND(N(F84)&gt;0,N(I84)&gt;0),I84-F84-IF(N(G84)&gt;0,0.5,0)-IF(N(H84)&gt;0,0.5,0),0)</f>
        <v/>
      </c>
      <c r="K84" s="5" t="n"/>
      <c r="L84" s="7">
        <f>MIN(J84,8.0)</f>
        <v/>
      </c>
      <c r="M84" s="7">
        <f>MAX(0,MIN(J84,12)-8.0)</f>
        <v/>
      </c>
      <c r="N84" s="7">
        <f>MAX(0,J84-12)</f>
        <v/>
      </c>
      <c r="O84" s="5" t="n"/>
      <c r="P84" s="6">
        <f>E84*(L84+M84*1.5+N84*2+O84*3+N(K84))</f>
        <v/>
      </c>
      <c r="Q84" s="6" t="n">
        <v>360</v>
      </c>
      <c r="R84" s="6">
        <f>Q84-P84</f>
        <v/>
      </c>
    </row>
    <row r="85">
      <c r="P85" s="2" t="inlineStr">
        <is>
          <t>PRODUCTIONCOORDINATOR LABOR</t>
        </is>
      </c>
      <c r="R85" s="8">
        <f>SUM(R84:R84)</f>
        <v/>
      </c>
    </row>
    <row r="87">
      <c r="B87" s="2" t="inlineStr">
        <is>
          <t>ASSTPRODUCTIONCOORDINATOR</t>
        </is>
      </c>
    </row>
    <row r="88">
      <c r="A88" s="5" t="inlineStr">
        <is>
          <t>2010</t>
        </is>
      </c>
      <c r="B88" s="5" t="inlineStr">
        <is>
          <t>Holly Dellocono</t>
        </is>
      </c>
      <c r="C88" s="5" t="inlineStr">
        <is>
          <t>APOC</t>
        </is>
      </c>
      <c r="D88" s="5" t="inlineStr">
        <is>
          <t>Local871</t>
        </is>
      </c>
      <c r="E88" s="6" t="n">
        <v>20.57</v>
      </c>
      <c r="F88" s="5" t="n"/>
      <c r="G88" s="5" t="n"/>
      <c r="H88" s="5" t="n"/>
      <c r="I88" s="5" t="n"/>
      <c r="J88" s="7">
        <f>IF(AND(N(F88)&gt;0,N(I88)&gt;0),I88-F88-IF(N(G88)&gt;0,0.5,0)-IF(N(H88)&gt;0,0.5,0),0)</f>
        <v/>
      </c>
      <c r="K88" s="5" t="n"/>
      <c r="L88" s="7">
        <f>MIN(J88,10.0)</f>
        <v/>
      </c>
      <c r="M88" s="7">
        <f>MAX(0,MIN(J88,12)-10.0)</f>
        <v/>
      </c>
      <c r="N88" s="7">
        <f>MAX(0,J88-12)</f>
        <v/>
      </c>
      <c r="O88" s="5" t="n"/>
      <c r="P88" s="6">
        <f>E88*(L88+M88*1.5+N88*2+O88*3+N(K88))</f>
        <v/>
      </c>
      <c r="Q88" s="6" t="n">
        <v>287.98</v>
      </c>
      <c r="R88" s="6">
        <f>Q88-P88</f>
        <v/>
      </c>
    </row>
    <row r="89">
      <c r="P89" s="2" t="inlineStr">
        <is>
          <t>ASSTPRODUCTIONCOORDINATOR LABOR</t>
        </is>
      </c>
      <c r="R89" s="8">
        <f>SUM(R88:R88)</f>
        <v/>
      </c>
    </row>
    <row r="91">
      <c r="B91" s="2" t="inlineStr">
        <is>
          <t>OFFICESTAFFASSISTANTS</t>
        </is>
      </c>
    </row>
    <row r="92">
      <c r="A92" s="5" t="inlineStr">
        <is>
          <t>2011</t>
        </is>
      </c>
      <c r="B92" s="5" t="inlineStr">
        <is>
          <t>John Humber</t>
        </is>
      </c>
      <c r="C92" s="5" t="inlineStr">
        <is>
          <t>OFFICEPA#1</t>
        </is>
      </c>
      <c r="D92" s="5" t="inlineStr"/>
      <c r="E92" s="6" t="n">
        <v>22.5</v>
      </c>
      <c r="F92" s="5" t="n"/>
      <c r="G92" s="5" t="n"/>
      <c r="H92" s="5" t="n"/>
      <c r="I92" s="5" t="n"/>
      <c r="J92" s="7">
        <f>IF(AND(N(F92)&gt;0,N(I92)&gt;0),I92-F92-IF(N(G92)&gt;0,0.5,0)-IF(N(H92)&gt;0,0.5,0),0)</f>
        <v/>
      </c>
      <c r="K92" s="5" t="n"/>
      <c r="L92" s="7">
        <f>MIN(J92,8.0)</f>
        <v/>
      </c>
      <c r="M92" s="7">
        <f>MAX(0,MIN(J92,12)-8.0)</f>
        <v/>
      </c>
      <c r="N92" s="7">
        <f>MAX(0,J92-12)</f>
        <v/>
      </c>
      <c r="O92" s="5" t="n"/>
      <c r="P92" s="6">
        <f>E92*(L92+M92*1.5+N92*2+O92*3+N(K92))</f>
        <v/>
      </c>
      <c r="Q92" s="6" t="n">
        <v>168</v>
      </c>
      <c r="R92" s="6">
        <f>Q92-P92</f>
        <v/>
      </c>
    </row>
    <row r="93">
      <c r="A93" s="5" t="inlineStr">
        <is>
          <t>2011</t>
        </is>
      </c>
      <c r="B93" s="5" t="inlineStr">
        <is>
          <t>Sarah Semenas</t>
        </is>
      </c>
      <c r="C93" s="5" t="inlineStr">
        <is>
          <t>OFFICEPA#2</t>
        </is>
      </c>
      <c r="D93" s="5" t="inlineStr"/>
      <c r="E93" s="6" t="n">
        <v>22.5</v>
      </c>
      <c r="F93" s="5" t="n"/>
      <c r="G93" s="5" t="n"/>
      <c r="H93" s="5" t="n"/>
      <c r="I93" s="5" t="n"/>
      <c r="J93" s="7">
        <f>IF(AND(N(F93)&gt;0,N(I93)&gt;0),I93-F93-IF(N(G93)&gt;0,0.5,0)-IF(N(H93)&gt;0,0.5,0),0)</f>
        <v/>
      </c>
      <c r="K93" s="5" t="n"/>
      <c r="L93" s="7">
        <f>MIN(J93,8.0)</f>
        <v/>
      </c>
      <c r="M93" s="7">
        <f>MAX(0,MIN(J93,12)-8.0)</f>
        <v/>
      </c>
      <c r="N93" s="7">
        <f>MAX(0,J93-12)</f>
        <v/>
      </c>
      <c r="O93" s="5" t="n"/>
      <c r="P93" s="6">
        <f>E93*(L93+M93*1.5+N93*2+O93*3+N(K93))</f>
        <v/>
      </c>
      <c r="Q93" s="6" t="n">
        <v>168</v>
      </c>
      <c r="R93" s="6">
        <f>Q93-P93</f>
        <v/>
      </c>
    </row>
    <row r="94">
      <c r="P94" s="2" t="inlineStr">
        <is>
          <t>OFFICESTAFFASSISTANTS LABOR</t>
        </is>
      </c>
      <c r="R94" s="8">
        <f>SUM(R92:R93)</f>
        <v/>
      </c>
    </row>
    <row r="96">
      <c r="B96" s="2" t="inlineStr">
        <is>
          <t>SETSTAFFASSISTANTS</t>
        </is>
      </c>
    </row>
    <row r="97">
      <c r="A97" s="5" t="inlineStr">
        <is>
          <t>2012</t>
        </is>
      </c>
      <c r="B97" s="5" t="inlineStr">
        <is>
          <t>Paula Henry</t>
        </is>
      </c>
      <c r="C97" s="5" t="inlineStr">
        <is>
          <t>KEYSETPA</t>
        </is>
      </c>
      <c r="D97" s="5" t="inlineStr"/>
      <c r="E97" s="6" t="n">
        <v>12</v>
      </c>
      <c r="F97" s="5" t="n"/>
      <c r="G97" s="5" t="n"/>
      <c r="H97" s="5" t="n"/>
      <c r="I97" s="5" t="n"/>
      <c r="J97" s="7">
        <f>IF(AND(N(F97)&gt;0,N(I97)&gt;0),I97-F97-IF(N(G97)&gt;0,0.5,0)-IF(N(H97)&gt;0,0.5,0),0)</f>
        <v/>
      </c>
      <c r="K97" s="5" t="n"/>
      <c r="L97" s="7">
        <f>MIN(J97,8.0)</f>
        <v/>
      </c>
      <c r="M97" s="7">
        <f>MAX(0,MIN(J97,12)-8.0)</f>
        <v/>
      </c>
      <c r="N97" s="7">
        <f>MAX(0,J97-12)</f>
        <v/>
      </c>
      <c r="O97" s="5" t="n"/>
      <c r="P97" s="6">
        <f>E97*(L97+M97*1.5+N97*2+O97*3+N(K97))</f>
        <v/>
      </c>
      <c r="Q97" s="6" t="n">
        <v>216</v>
      </c>
      <c r="R97" s="6">
        <f>Q97-P97</f>
        <v/>
      </c>
    </row>
    <row r="98">
      <c r="A98" s="5" t="inlineStr">
        <is>
          <t>2012</t>
        </is>
      </c>
      <c r="B98" s="5" t="inlineStr"/>
      <c r="C98" s="5" t="inlineStr">
        <is>
          <t>SETPA#2</t>
        </is>
      </c>
      <c r="D98" s="5" t="inlineStr"/>
      <c r="E98" s="6" t="n">
        <v>12</v>
      </c>
      <c r="F98" s="5" t="n"/>
      <c r="G98" s="5" t="n"/>
      <c r="H98" s="5" t="n"/>
      <c r="I98" s="5" t="n"/>
      <c r="J98" s="7">
        <f>IF(AND(N(F98)&gt;0,N(I98)&gt;0),I98-F98-IF(N(G98)&gt;0,0.5,0)-IF(N(H98)&gt;0,0.5,0),0)</f>
        <v/>
      </c>
      <c r="K98" s="5" t="n"/>
      <c r="L98" s="7">
        <f>MIN(J98,8.0)</f>
        <v/>
      </c>
      <c r="M98" s="7">
        <f>MAX(0,MIN(J98,12)-8.0)</f>
        <v/>
      </c>
      <c r="N98" s="7">
        <f>MAX(0,J98-12)</f>
        <v/>
      </c>
      <c r="O98" s="5" t="n"/>
      <c r="P98" s="6">
        <f>E98*(L98+M98*1.5+N98*2+O98*3+N(K98))</f>
        <v/>
      </c>
      <c r="Q98" s="6" t="n">
        <v>216</v>
      </c>
      <c r="R98" s="6">
        <f>Q98-P98</f>
        <v/>
      </c>
    </row>
    <row r="99">
      <c r="A99" s="5" t="inlineStr">
        <is>
          <t>2012</t>
        </is>
      </c>
      <c r="B99" s="5" t="inlineStr"/>
      <c r="C99" s="5" t="inlineStr">
        <is>
          <t>SETPA#3</t>
        </is>
      </c>
      <c r="D99" s="5" t="inlineStr"/>
      <c r="E99" s="6" t="n">
        <v>12</v>
      </c>
      <c r="F99" s="5" t="n"/>
      <c r="G99" s="5" t="n"/>
      <c r="H99" s="5" t="n"/>
      <c r="I99" s="5" t="n"/>
      <c r="J99" s="7">
        <f>IF(AND(N(F99)&gt;0,N(I99)&gt;0),I99-F99-IF(N(G99)&gt;0,0.5,0)-IF(N(H99)&gt;0,0.5,0),0)</f>
        <v/>
      </c>
      <c r="K99" s="5" t="n"/>
      <c r="L99" s="7">
        <f>MIN(J99,8.0)</f>
        <v/>
      </c>
      <c r="M99" s="7">
        <f>MAX(0,MIN(J99,12)-8.0)</f>
        <v/>
      </c>
      <c r="N99" s="7">
        <f>MAX(0,J99-12)</f>
        <v/>
      </c>
      <c r="O99" s="5" t="n"/>
      <c r="P99" s="6">
        <f>E99*(L99+M99*1.5+N99*2+O99*3+N(K99))</f>
        <v/>
      </c>
      <c r="Q99" s="6" t="n">
        <v>216</v>
      </c>
      <c r="R99" s="6">
        <f>Q99-P99</f>
        <v/>
      </c>
    </row>
    <row r="100">
      <c r="A100" s="5" t="inlineStr">
        <is>
          <t>2012</t>
        </is>
      </c>
      <c r="B100" s="5" t="inlineStr"/>
      <c r="C100" s="5" t="inlineStr">
        <is>
          <t>SETPA#4</t>
        </is>
      </c>
      <c r="D100" s="5" t="inlineStr"/>
      <c r="E100" s="6" t="n">
        <v>12</v>
      </c>
      <c r="F100" s="5" t="n"/>
      <c r="G100" s="5" t="n"/>
      <c r="H100" s="5" t="n"/>
      <c r="I100" s="5" t="n"/>
      <c r="J100" s="7">
        <f>IF(AND(N(F100)&gt;0,N(I100)&gt;0),I100-F100-IF(N(G100)&gt;0,0.5,0)-IF(N(H100)&gt;0,0.5,0),0)</f>
        <v/>
      </c>
      <c r="K100" s="5" t="n"/>
      <c r="L100" s="7">
        <f>MIN(J100,8.0)</f>
        <v/>
      </c>
      <c r="M100" s="7">
        <f>MAX(0,MIN(J100,12)-8.0)</f>
        <v/>
      </c>
      <c r="N100" s="7">
        <f>MAX(0,J100-12)</f>
        <v/>
      </c>
      <c r="O100" s="5" t="n"/>
      <c r="P100" s="6">
        <f>E100*(L100+M100*1.5+N100*2+O100*3+N(K100))</f>
        <v/>
      </c>
      <c r="Q100" s="6" t="n">
        <v>216</v>
      </c>
      <c r="R100" s="6">
        <f>Q100-P100</f>
        <v/>
      </c>
    </row>
    <row r="101">
      <c r="P101" s="2" t="inlineStr">
        <is>
          <t>SETSTAFFASSISTANTS LABOR</t>
        </is>
      </c>
      <c r="R101" s="8">
        <f>SUM(R97:R100)</f>
        <v/>
      </c>
    </row>
    <row r="103">
      <c r="B103" s="2" t="inlineStr">
        <is>
          <t>PRODUCTIONACCOUNTANT</t>
        </is>
      </c>
    </row>
    <row r="104">
      <c r="A104" s="5" t="inlineStr">
        <is>
          <t>2013</t>
        </is>
      </c>
      <c r="B104" s="5" t="inlineStr">
        <is>
          <t>Joel Tokarsky</t>
        </is>
      </c>
      <c r="C104" s="5" t="inlineStr">
        <is>
          <t>PRODUCTIONACCOUNTANT</t>
        </is>
      </c>
      <c r="D104" s="5" t="inlineStr">
        <is>
          <t>Local871</t>
        </is>
      </c>
      <c r="E104" s="6" t="n">
        <v>740</v>
      </c>
      <c r="F104" s="5" t="n"/>
      <c r="G104" s="5" t="n"/>
      <c r="H104" s="5" t="n"/>
      <c r="I104" s="5" t="n"/>
      <c r="J104" s="7">
        <f>IF(AND(N(F104)&gt;0,N(I104)&gt;0),I104-F104-IF(N(G104)&gt;0,0.5,0)-IF(N(H104)&gt;0,0.5,0),0)</f>
        <v/>
      </c>
      <c r="K104" s="5" t="n"/>
      <c r="L104" s="7">
        <f>MIN(J104,10.0)</f>
        <v/>
      </c>
      <c r="M104" s="7">
        <f>MAX(0,MIN(J104,12)-10.0)</f>
        <v/>
      </c>
      <c r="N104" s="7">
        <f>MAX(0,J104-12)</f>
        <v/>
      </c>
      <c r="O104" s="5" t="n"/>
      <c r="P104" s="6">
        <f>E104*(L104+M104*1.5+N104*2+O104*3+N(K104))</f>
        <v/>
      </c>
      <c r="Q104" s="6" t="n">
        <v>740</v>
      </c>
      <c r="R104" s="6">
        <f>Q104-P104</f>
        <v/>
      </c>
    </row>
    <row r="105">
      <c r="P105" s="2" t="inlineStr">
        <is>
          <t>PRODUCTIONACCOUNTANT LABOR</t>
        </is>
      </c>
      <c r="R105" s="8">
        <f>SUM(R104:R104)</f>
        <v/>
      </c>
    </row>
    <row r="107">
      <c r="B107" s="2" t="inlineStr">
        <is>
          <t>ASSTPRODUCTIONACCOUNTANTS</t>
        </is>
      </c>
    </row>
    <row r="108">
      <c r="A108" s="5" t="inlineStr">
        <is>
          <t>2014</t>
        </is>
      </c>
      <c r="B108" s="5" t="inlineStr">
        <is>
          <t>Co-Co Aiello</t>
        </is>
      </c>
      <c r="C108" s="5" t="inlineStr">
        <is>
          <t>1STASSTACCT</t>
        </is>
      </c>
      <c r="D108" s="5" t="inlineStr">
        <is>
          <t>Local871</t>
        </is>
      </c>
      <c r="E108" s="6" t="n">
        <v>480</v>
      </c>
      <c r="F108" s="5" t="n"/>
      <c r="G108" s="5" t="n"/>
      <c r="H108" s="5" t="n"/>
      <c r="I108" s="5" t="n"/>
      <c r="J108" s="7">
        <f>IF(AND(N(F108)&gt;0,N(I108)&gt;0),I108-F108-IF(N(G108)&gt;0,0.5,0)-IF(N(H108)&gt;0,0.5,0),0)</f>
        <v/>
      </c>
      <c r="K108" s="5" t="n"/>
      <c r="L108" s="7">
        <f>MIN(J108,10.0)</f>
        <v/>
      </c>
      <c r="M108" s="7">
        <f>MAX(0,MIN(J108,12)-10.0)</f>
        <v/>
      </c>
      <c r="N108" s="7">
        <f>MAX(0,J108-12)</f>
        <v/>
      </c>
      <c r="O108" s="5" t="n"/>
      <c r="P108" s="6">
        <f>E108*(L108+M108*1.5+N108*2+O108*3+N(K108))</f>
        <v/>
      </c>
      <c r="Q108" s="6" t="n">
        <v>480</v>
      </c>
      <c r="R108" s="6">
        <f>Q108-P108</f>
        <v/>
      </c>
    </row>
    <row r="109">
      <c r="A109" s="5" t="inlineStr">
        <is>
          <t>2014</t>
        </is>
      </c>
      <c r="B109" s="5" t="inlineStr">
        <is>
          <t>Steve Goldstein</t>
        </is>
      </c>
      <c r="C109" s="5" t="inlineStr">
        <is>
          <t>PAYROLLACCT</t>
        </is>
      </c>
      <c r="D109" s="5" t="inlineStr">
        <is>
          <t>Local871</t>
        </is>
      </c>
      <c r="E109" s="6" t="n">
        <v>420</v>
      </c>
      <c r="F109" s="5" t="n"/>
      <c r="G109" s="5" t="n"/>
      <c r="H109" s="5" t="n"/>
      <c r="I109" s="5" t="n"/>
      <c r="J109" s="7">
        <f>IF(AND(N(F109)&gt;0,N(I109)&gt;0),I109-F109-IF(N(G109)&gt;0,0.5,0)-IF(N(H109)&gt;0,0.5,0),0)</f>
        <v/>
      </c>
      <c r="K109" s="5" t="n"/>
      <c r="L109" s="7">
        <f>MIN(J109,10.0)</f>
        <v/>
      </c>
      <c r="M109" s="7">
        <f>MAX(0,MIN(J109,12)-10.0)</f>
        <v/>
      </c>
      <c r="N109" s="7">
        <f>MAX(0,J109-12)</f>
        <v/>
      </c>
      <c r="O109" s="5" t="n"/>
      <c r="P109" s="6">
        <f>E109*(L109+M109*1.5+N109*2+O109*3+N(K109))</f>
        <v/>
      </c>
      <c r="Q109" s="6" t="n">
        <v>420</v>
      </c>
      <c r="R109" s="6">
        <f>Q109-P109</f>
        <v/>
      </c>
    </row>
    <row r="110">
      <c r="P110" s="2" t="inlineStr">
        <is>
          <t>ASSTPRODUCTIONACCOUNTANTS LABOR</t>
        </is>
      </c>
      <c r="R110" s="8">
        <f>SUM(R108:R109)</f>
        <v/>
      </c>
    </row>
    <row r="112">
      <c r="B112" s="2" t="inlineStr">
        <is>
          <t>CONSTRUCTIONCOORDINATOR</t>
        </is>
      </c>
    </row>
    <row r="113">
      <c r="A113" s="5" t="inlineStr">
        <is>
          <t>2302</t>
        </is>
      </c>
      <c r="B113" s="5" t="inlineStr">
        <is>
          <t>Drew Rebelin</t>
        </is>
      </c>
      <c r="C113" s="5" t="inlineStr">
        <is>
          <t>CONSTCOORDINATOR</t>
        </is>
      </c>
      <c r="D113" s="5" t="inlineStr">
        <is>
          <t>Local44</t>
        </is>
      </c>
      <c r="E113" s="6" t="n">
        <v>400</v>
      </c>
      <c r="F113" s="5" t="n"/>
      <c r="G113" s="5" t="n"/>
      <c r="H113" s="5" t="n"/>
      <c r="I113" s="5" t="n"/>
      <c r="J113" s="7">
        <f>IF(AND(N(F113)&gt;0,N(I113)&gt;0),I113-F113-IF(N(G113)&gt;0,0.5,0)-IF(N(H113)&gt;0,0.5,0),0)</f>
        <v/>
      </c>
      <c r="K113" s="5" t="n"/>
      <c r="L113" s="7">
        <f>MIN(J113,10.0)</f>
        <v/>
      </c>
      <c r="M113" s="7">
        <f>MAX(0,MIN(J113,12)-10.0)</f>
        <v/>
      </c>
      <c r="N113" s="7">
        <f>MAX(0,J113-12)</f>
        <v/>
      </c>
      <c r="O113" s="5" t="n"/>
      <c r="P113" s="6">
        <f>E113*(L113+M113*1.5+N113*2+O113*3+N(K113))</f>
        <v/>
      </c>
      <c r="Q113" s="5" t="n"/>
      <c r="R113" s="6">
        <f>Q113-P113</f>
        <v/>
      </c>
    </row>
    <row r="114">
      <c r="P114" s="2" t="inlineStr">
        <is>
          <t>CONSTRUCTIONCOORDINATOR LABOR</t>
        </is>
      </c>
      <c r="R114" s="8">
        <f>SUM(R113:R113)</f>
        <v/>
      </c>
    </row>
    <row r="116">
      <c r="B116" s="2" t="inlineStr">
        <is>
          <t>PAINTFOREMAN</t>
        </is>
      </c>
    </row>
    <row r="117">
      <c r="A117" s="5" t="inlineStr">
        <is>
          <t>2304</t>
        </is>
      </c>
      <c r="B117" s="5" t="inlineStr">
        <is>
          <t>Kristeen Reimnitz</t>
        </is>
      </c>
      <c r="C117" s="5" t="inlineStr">
        <is>
          <t>PAINTER</t>
        </is>
      </c>
      <c r="D117" s="5" t="inlineStr">
        <is>
          <t>Local729</t>
        </is>
      </c>
      <c r="E117" s="6" t="n">
        <v>23.04</v>
      </c>
      <c r="F117" s="5" t="n"/>
      <c r="G117" s="5" t="n"/>
      <c r="H117" s="5" t="n"/>
      <c r="I117" s="5" t="n"/>
      <c r="J117" s="7">
        <f>IF(AND(N(F117)&gt;0,N(I117)&gt;0),I117-F117-IF(N(G117)&gt;0,0.5,0)-IF(N(H117)&gt;0,0.5,0),0)</f>
        <v/>
      </c>
      <c r="K117" s="5" t="n"/>
      <c r="L117" s="7">
        <f>MIN(J117,10.0)</f>
        <v/>
      </c>
      <c r="M117" s="7">
        <f>MAX(0,MIN(J117,12)-10.0)</f>
        <v/>
      </c>
      <c r="N117" s="7">
        <f>MAX(0,J117-12)</f>
        <v/>
      </c>
      <c r="O117" s="5" t="n"/>
      <c r="P117" s="6">
        <f>E117*(L117+M117*1.5+N117*2+O117*3+N(K117))</f>
        <v/>
      </c>
      <c r="Q117" s="5" t="n"/>
      <c r="R117" s="6">
        <f>Q117-P117</f>
        <v/>
      </c>
    </row>
    <row r="118">
      <c r="P118" s="2" t="inlineStr">
        <is>
          <t>PAINTFOREMAN LABOR</t>
        </is>
      </c>
      <c r="R118" s="8">
        <f>SUM(R117:R117)</f>
        <v/>
      </c>
    </row>
    <row r="120">
      <c r="B120" s="2" t="inlineStr">
        <is>
          <t>FIRSTAIDLABOR</t>
        </is>
      </c>
    </row>
    <row r="121">
      <c r="A121" s="5" t="inlineStr">
        <is>
          <t>2310</t>
        </is>
      </c>
      <c r="B121" s="5" t="inlineStr"/>
      <c r="C121" s="5" t="inlineStr">
        <is>
          <t>CONSTRUCTIONMEDIC</t>
        </is>
      </c>
      <c r="D121" s="5" t="inlineStr">
        <is>
          <t>Local80</t>
        </is>
      </c>
      <c r="E121" s="6" t="n">
        <v>23.04</v>
      </c>
      <c r="F121" s="5" t="n"/>
      <c r="G121" s="5" t="n"/>
      <c r="H121" s="5" t="n"/>
      <c r="I121" s="5" t="n"/>
      <c r="J121" s="7">
        <f>IF(AND(N(F121)&gt;0,N(I121)&gt;0),I121-F121-IF(N(G121)&gt;0,0.5,0)-IF(N(H121)&gt;0,0.5,0),0)</f>
        <v/>
      </c>
      <c r="K121" s="5" t="n"/>
      <c r="L121" s="7">
        <f>MIN(J121,10.0)</f>
        <v/>
      </c>
      <c r="M121" s="7">
        <f>MAX(0,MIN(J121,12)-10.0)</f>
        <v/>
      </c>
      <c r="N121" s="7">
        <f>MAX(0,J121-12)</f>
        <v/>
      </c>
      <c r="O121" s="5" t="n"/>
      <c r="P121" s="6">
        <f>E121*(L121+M121*1.5+N121*2+O121*3+N(K121))</f>
        <v/>
      </c>
      <c r="Q121" s="5" t="n"/>
      <c r="R121" s="6">
        <f>Q121-P121</f>
        <v/>
      </c>
    </row>
    <row r="122">
      <c r="P122" s="2" t="inlineStr">
        <is>
          <t>FIRSTAIDLABOR LABOR</t>
        </is>
      </c>
      <c r="R122" s="8">
        <f>SUM(R121:R121)</f>
        <v/>
      </c>
    </row>
    <row r="124">
      <c r="B124" s="2" t="inlineStr">
        <is>
          <t>KEYGRIP</t>
        </is>
      </c>
    </row>
    <row r="125">
      <c r="A125" s="5" t="inlineStr">
        <is>
          <t>2501</t>
        </is>
      </c>
      <c r="B125" s="5" t="inlineStr">
        <is>
          <t>Pat O'Mara</t>
        </is>
      </c>
      <c r="C125" s="5" t="inlineStr">
        <is>
          <t>KEYGRIP</t>
        </is>
      </c>
      <c r="D125" s="5" t="inlineStr">
        <is>
          <t>Local80</t>
        </is>
      </c>
      <c r="E125" s="6" t="n">
        <v>25.5</v>
      </c>
      <c r="F125" s="5" t="n"/>
      <c r="G125" s="5" t="n"/>
      <c r="H125" s="5" t="n"/>
      <c r="I125" s="5" t="n"/>
      <c r="J125" s="7">
        <f>IF(AND(N(F125)&gt;0,N(I125)&gt;0),I125-F125-IF(N(G125)&gt;0,0.5,0)-IF(N(H125)&gt;0,0.5,0),0)</f>
        <v/>
      </c>
      <c r="K125" s="5" t="n"/>
      <c r="L125" s="7">
        <f>MIN(J125,10.0)</f>
        <v/>
      </c>
      <c r="M125" s="7">
        <f>MAX(0,MIN(J125,12)-10.0)</f>
        <v/>
      </c>
      <c r="N125" s="7">
        <f>MAX(0,J125-12)</f>
        <v/>
      </c>
      <c r="O125" s="5" t="n"/>
      <c r="P125" s="6">
        <f>E125*(L125+M125*1.5+N125*2+O125*3+N(K125))</f>
        <v/>
      </c>
      <c r="Q125" s="6" t="n">
        <v>395.25</v>
      </c>
      <c r="R125" s="6">
        <f>Q125-P125</f>
        <v/>
      </c>
    </row>
    <row r="126">
      <c r="P126" s="2" t="inlineStr">
        <is>
          <t>KEYGRIP LABOR</t>
        </is>
      </c>
      <c r="R126" s="8">
        <f>SUM(R125:R125)</f>
        <v/>
      </c>
    </row>
    <row r="128">
      <c r="B128" s="2" t="inlineStr">
        <is>
          <t>BESTBOYGRIP</t>
        </is>
      </c>
    </row>
    <row r="129">
      <c r="A129" s="5" t="inlineStr">
        <is>
          <t>2502</t>
        </is>
      </c>
      <c r="B129" s="5" t="inlineStr">
        <is>
          <t>Aaron Fairley</t>
        </is>
      </c>
      <c r="C129" s="5" t="inlineStr">
        <is>
          <t>BESTBOYGRIP</t>
        </is>
      </c>
      <c r="D129" s="5" t="inlineStr">
        <is>
          <t>Local80</t>
        </is>
      </c>
      <c r="E129" s="6" t="n">
        <v>23.04</v>
      </c>
      <c r="F129" s="5" t="n"/>
      <c r="G129" s="5" t="n"/>
      <c r="H129" s="5" t="n"/>
      <c r="I129" s="5" t="n"/>
      <c r="J129" s="7">
        <f>IF(AND(N(F129)&gt;0,N(I129)&gt;0),I129-F129-IF(N(G129)&gt;0,0.5,0)-IF(N(H129)&gt;0,0.5,0),0)</f>
        <v/>
      </c>
      <c r="K129" s="5" t="n"/>
      <c r="L129" s="7">
        <f>MIN(J129,10.0)</f>
        <v/>
      </c>
      <c r="M129" s="7">
        <f>MAX(0,MIN(J129,12)-10.0)</f>
        <v/>
      </c>
      <c r="N129" s="7">
        <f>MAX(0,J129-12)</f>
        <v/>
      </c>
      <c r="O129" s="5" t="n"/>
      <c r="P129" s="6">
        <f>E129*(L129+M129*1.5+N129*2+O129*3+N(K129))</f>
        <v/>
      </c>
      <c r="Q129" s="6" t="n">
        <v>357.12</v>
      </c>
      <c r="R129" s="6">
        <f>Q129-P129</f>
        <v/>
      </c>
    </row>
    <row r="130">
      <c r="A130" s="5" t="inlineStr">
        <is>
          <t>2502</t>
        </is>
      </c>
      <c r="B130" s="5" t="inlineStr"/>
      <c r="C130" s="5" t="inlineStr">
        <is>
          <t>STUDIOBESTBOYGRIP</t>
        </is>
      </c>
      <c r="D130" s="5" t="inlineStr">
        <is>
          <t>Local80</t>
        </is>
      </c>
      <c r="E130" s="6" t="n">
        <v>43.05</v>
      </c>
      <c r="F130" s="5" t="n"/>
      <c r="G130" s="5" t="n"/>
      <c r="H130" s="5" t="n"/>
      <c r="I130" s="5" t="n"/>
      <c r="J130" s="7">
        <f>IF(AND(N(F130)&gt;0,N(I130)&gt;0),I130-F130-IF(N(G130)&gt;0,0.5,0)-IF(N(H130)&gt;0,0.5,0),0)</f>
        <v/>
      </c>
      <c r="K130" s="5" t="n"/>
      <c r="L130" s="7">
        <f>MIN(J130,10.0)</f>
        <v/>
      </c>
      <c r="M130" s="7">
        <f>MAX(0,MIN(J130,12)-10.0)</f>
        <v/>
      </c>
      <c r="N130" s="7">
        <f>MAX(0,J130-12)</f>
        <v/>
      </c>
      <c r="O130" s="5" t="n"/>
      <c r="P130" s="6">
        <f>E130*(L130+M130*1.5+N130*2+O130*3+N(K130))</f>
        <v/>
      </c>
      <c r="Q130" s="6" t="n">
        <v>667.27</v>
      </c>
      <c r="R130" s="6">
        <f>Q130-P130</f>
        <v/>
      </c>
    </row>
    <row r="131">
      <c r="P131" s="2" t="inlineStr">
        <is>
          <t>BESTBOYGRIP LABOR</t>
        </is>
      </c>
      <c r="R131" s="8">
        <f>SUM(R129:R130)</f>
        <v/>
      </c>
    </row>
    <row r="133">
      <c r="B133" s="2" t="inlineStr">
        <is>
          <t>DOLLYGRIP</t>
        </is>
      </c>
    </row>
    <row r="134">
      <c r="A134" s="5" t="inlineStr">
        <is>
          <t>2503</t>
        </is>
      </c>
      <c r="B134" s="5" t="inlineStr">
        <is>
          <t>Peter Weidenfeller</t>
        </is>
      </c>
      <c r="C134" s="5" t="inlineStr">
        <is>
          <t>"A"DOLLYGRIP</t>
        </is>
      </c>
      <c r="D134" s="5" t="inlineStr">
        <is>
          <t>Local80</t>
        </is>
      </c>
      <c r="E134" s="6" t="n">
        <v>23.04</v>
      </c>
      <c r="F134" s="5" t="n"/>
      <c r="G134" s="5" t="n"/>
      <c r="H134" s="5" t="n"/>
      <c r="I134" s="5" t="n"/>
      <c r="J134" s="7">
        <f>IF(AND(N(F134)&gt;0,N(I134)&gt;0),I134-F134-IF(N(G134)&gt;0,0.5,0)-IF(N(H134)&gt;0,0.5,0),0)</f>
        <v/>
      </c>
      <c r="K134" s="5" t="n"/>
      <c r="L134" s="7">
        <f>MIN(J134,10.0)</f>
        <v/>
      </c>
      <c r="M134" s="7">
        <f>MAX(0,MIN(J134,12)-10.0)</f>
        <v/>
      </c>
      <c r="N134" s="7">
        <f>MAX(0,J134-12)</f>
        <v/>
      </c>
      <c r="O134" s="5" t="n"/>
      <c r="P134" s="6">
        <f>E134*(L134+M134*1.5+N134*2+O134*3+N(K134))</f>
        <v/>
      </c>
      <c r="Q134" s="6" t="n">
        <v>357.12</v>
      </c>
      <c r="R134" s="6">
        <f>Q134-P134</f>
        <v/>
      </c>
    </row>
    <row r="135">
      <c r="P135" s="2" t="inlineStr">
        <is>
          <t>DOLLYGRIP LABOR</t>
        </is>
      </c>
      <c r="R135" s="8">
        <f>SUM(R134:R134)</f>
        <v/>
      </c>
    </row>
    <row r="137">
      <c r="B137" s="2" t="inlineStr">
        <is>
          <t>CRANEGRIPS</t>
        </is>
      </c>
    </row>
    <row r="138">
      <c r="A138" s="5" t="inlineStr">
        <is>
          <t>2504</t>
        </is>
      </c>
      <c r="B138" s="5" t="inlineStr"/>
      <c r="C138" s="5" t="inlineStr">
        <is>
          <t>CRANEOPERATOR</t>
        </is>
      </c>
      <c r="D138" s="5" t="inlineStr">
        <is>
          <t>Local80</t>
        </is>
      </c>
      <c r="E138" s="6" t="n">
        <v>792</v>
      </c>
      <c r="F138" s="5" t="n"/>
      <c r="G138" s="5" t="n"/>
      <c r="H138" s="5" t="n"/>
      <c r="I138" s="5" t="n"/>
      <c r="J138" s="7">
        <f>IF(AND(N(F138)&gt;0,N(I138)&gt;0),I138-F138-IF(N(G138)&gt;0,0.5,0)-IF(N(H138)&gt;0,0.5,0),0)</f>
        <v/>
      </c>
      <c r="K138" s="5" t="n"/>
      <c r="L138" s="7">
        <f>MIN(J138,10.0)</f>
        <v/>
      </c>
      <c r="M138" s="7">
        <f>MAX(0,MIN(J138,12)-10.0)</f>
        <v/>
      </c>
      <c r="N138" s="7">
        <f>MAX(0,J138-12)</f>
        <v/>
      </c>
      <c r="O138" s="5" t="n"/>
      <c r="P138" s="6">
        <f>E138*(L138+M138*1.5+N138*2+O138*3+N(K138))</f>
        <v/>
      </c>
      <c r="Q138" s="6" t="n">
        <v>924</v>
      </c>
      <c r="R138" s="6">
        <f>Q138-P138</f>
        <v/>
      </c>
    </row>
    <row r="139">
      <c r="A139" s="5" t="inlineStr">
        <is>
          <t>2504</t>
        </is>
      </c>
      <c r="B139" s="5" t="inlineStr"/>
      <c r="C139" s="5" t="inlineStr">
        <is>
          <t>CRANEASSISTANT</t>
        </is>
      </c>
      <c r="D139" s="5" t="inlineStr">
        <is>
          <t>Local80</t>
        </is>
      </c>
      <c r="E139" s="6" t="n">
        <v>660</v>
      </c>
      <c r="F139" s="5" t="n"/>
      <c r="G139" s="5" t="n"/>
      <c r="H139" s="5" t="n"/>
      <c r="I139" s="5" t="n"/>
      <c r="J139" s="7">
        <f>IF(AND(N(F139)&gt;0,N(I139)&gt;0),I139-F139-IF(N(G139)&gt;0,0.5,0)-IF(N(H139)&gt;0,0.5,0),0)</f>
        <v/>
      </c>
      <c r="K139" s="5" t="n"/>
      <c r="L139" s="7">
        <f>MIN(J139,10.0)</f>
        <v/>
      </c>
      <c r="M139" s="7">
        <f>MAX(0,MIN(J139,12)-10.0)</f>
        <v/>
      </c>
      <c r="N139" s="7">
        <f>MAX(0,J139-12)</f>
        <v/>
      </c>
      <c r="O139" s="5" t="n"/>
      <c r="P139" s="6">
        <f>E139*(L139+M139*1.5+N139*2+O139*3+N(K139))</f>
        <v/>
      </c>
      <c r="Q139" s="6" t="n">
        <v>770</v>
      </c>
      <c r="R139" s="6">
        <f>Q139-P139</f>
        <v/>
      </c>
    </row>
    <row r="140">
      <c r="P140" s="2" t="inlineStr">
        <is>
          <t>CRANEGRIPS LABOR</t>
        </is>
      </c>
      <c r="R140" s="8">
        <f>SUM(R138:R139)</f>
        <v/>
      </c>
    </row>
    <row r="142">
      <c r="B142" s="2" t="inlineStr">
        <is>
          <t>COMPANYGRIPS</t>
        </is>
      </c>
    </row>
    <row r="143">
      <c r="A143" s="5" t="inlineStr">
        <is>
          <t>2505</t>
        </is>
      </c>
      <c r="B143" s="5" t="inlineStr"/>
      <c r="C143" s="5" t="inlineStr">
        <is>
          <t>GRIP#1</t>
        </is>
      </c>
      <c r="D143" s="5" t="inlineStr">
        <is>
          <t>Local80</t>
        </is>
      </c>
      <c r="E143" s="6" t="n">
        <v>20.57</v>
      </c>
      <c r="F143" s="5" t="n"/>
      <c r="G143" s="5" t="n"/>
      <c r="H143" s="5" t="n"/>
      <c r="I143" s="5" t="n"/>
      <c r="J143" s="7">
        <f>IF(AND(N(F143)&gt;0,N(I143)&gt;0),I143-F143-IF(N(G143)&gt;0,0.5,0)-IF(N(H143)&gt;0,0.5,0),0)</f>
        <v/>
      </c>
      <c r="K143" s="5" t="n"/>
      <c r="L143" s="7">
        <f>MIN(J143,10.0)</f>
        <v/>
      </c>
      <c r="M143" s="7">
        <f>MAX(0,MIN(J143,12)-10.0)</f>
        <v/>
      </c>
      <c r="N143" s="7">
        <f>MAX(0,J143-12)</f>
        <v/>
      </c>
      <c r="O143" s="5" t="n"/>
      <c r="P143" s="6">
        <f>E143*(L143+M143*1.5+N143*2+O143*3+N(K143))</f>
        <v/>
      </c>
      <c r="Q143" s="6" t="n">
        <v>318.83</v>
      </c>
      <c r="R143" s="6">
        <f>Q143-P143</f>
        <v/>
      </c>
    </row>
    <row r="144">
      <c r="A144" s="5" t="inlineStr">
        <is>
          <t>2505</t>
        </is>
      </c>
      <c r="B144" s="5" t="inlineStr"/>
      <c r="C144" s="5" t="inlineStr">
        <is>
          <t>GRIP#2</t>
        </is>
      </c>
      <c r="D144" s="5" t="inlineStr">
        <is>
          <t>Local80</t>
        </is>
      </c>
      <c r="E144" s="6" t="n">
        <v>20.57</v>
      </c>
      <c r="F144" s="5" t="n"/>
      <c r="G144" s="5" t="n"/>
      <c r="H144" s="5" t="n"/>
      <c r="I144" s="5" t="n"/>
      <c r="J144" s="7">
        <f>IF(AND(N(F144)&gt;0,N(I144)&gt;0),I144-F144-IF(N(G144)&gt;0,0.5,0)-IF(N(H144)&gt;0,0.5,0),0)</f>
        <v/>
      </c>
      <c r="K144" s="5" t="n"/>
      <c r="L144" s="7">
        <f>MIN(J144,10.0)</f>
        <v/>
      </c>
      <c r="M144" s="7">
        <f>MAX(0,MIN(J144,12)-10.0)</f>
        <v/>
      </c>
      <c r="N144" s="7">
        <f>MAX(0,J144-12)</f>
        <v/>
      </c>
      <c r="O144" s="5" t="n"/>
      <c r="P144" s="6">
        <f>E144*(L144+M144*1.5+N144*2+O144*3+N(K144))</f>
        <v/>
      </c>
      <c r="Q144" s="6" t="n">
        <v>318.83</v>
      </c>
      <c r="R144" s="6">
        <f>Q144-P144</f>
        <v/>
      </c>
    </row>
    <row r="145">
      <c r="A145" s="5" t="inlineStr">
        <is>
          <t>2505</t>
        </is>
      </c>
      <c r="B145" s="5" t="inlineStr"/>
      <c r="C145" s="5" t="inlineStr">
        <is>
          <t>GRIP#3</t>
        </is>
      </c>
      <c r="D145" s="5" t="inlineStr">
        <is>
          <t>Local80</t>
        </is>
      </c>
      <c r="E145" s="6" t="n">
        <v>20.57</v>
      </c>
      <c r="F145" s="5" t="n"/>
      <c r="G145" s="5" t="n"/>
      <c r="H145" s="5" t="n"/>
      <c r="I145" s="5" t="n"/>
      <c r="J145" s="7">
        <f>IF(AND(N(F145)&gt;0,N(I145)&gt;0),I145-F145-IF(N(G145)&gt;0,0.5,0)-IF(N(H145)&gt;0,0.5,0),0)</f>
        <v/>
      </c>
      <c r="K145" s="5" t="n"/>
      <c r="L145" s="7">
        <f>MIN(J145,10.0)</f>
        <v/>
      </c>
      <c r="M145" s="7">
        <f>MAX(0,MIN(J145,12)-10.0)</f>
        <v/>
      </c>
      <c r="N145" s="7">
        <f>MAX(0,J145-12)</f>
        <v/>
      </c>
      <c r="O145" s="5" t="n"/>
      <c r="P145" s="6">
        <f>E145*(L145+M145*1.5+N145*2+O145*3+N(K145))</f>
        <v/>
      </c>
      <c r="Q145" s="6" t="n">
        <v>318.83</v>
      </c>
      <c r="R145" s="6">
        <f>Q145-P145</f>
        <v/>
      </c>
    </row>
    <row r="146">
      <c r="P146" s="2" t="inlineStr">
        <is>
          <t>COMPANYGRIPS LABOR</t>
        </is>
      </c>
      <c r="R146" s="8">
        <f>SUM(R143:R145)</f>
        <v/>
      </c>
    </row>
    <row r="148">
      <c r="B148" s="2" t="inlineStr">
        <is>
          <t>OTHERLABOR</t>
        </is>
      </c>
    </row>
    <row r="149">
      <c r="A149" s="5" t="inlineStr">
        <is>
          <t>2506</t>
        </is>
      </c>
      <c r="B149" s="5" t="inlineStr"/>
      <c r="C149" s="5" t="inlineStr">
        <is>
          <t>GRIPMANDAYS&amp;RIGGINGMANDAYS</t>
        </is>
      </c>
      <c r="D149" s="5" t="inlineStr">
        <is>
          <t>Local80</t>
        </is>
      </c>
      <c r="E149" s="6" t="n">
        <v>20.57</v>
      </c>
      <c r="F149" s="5" t="n"/>
      <c r="G149" s="5" t="n"/>
      <c r="H149" s="5" t="n"/>
      <c r="I149" s="5" t="n"/>
      <c r="J149" s="7">
        <f>IF(AND(N(F149)&gt;0,N(I149)&gt;0),I149-F149-IF(N(G149)&gt;0,0.5,0)-IF(N(H149)&gt;0,0.5,0),0)</f>
        <v/>
      </c>
      <c r="K149" s="5" t="n"/>
      <c r="L149" s="7">
        <f>MIN(J149,10.0)</f>
        <v/>
      </c>
      <c r="M149" s="7">
        <f>MAX(0,MIN(J149,12)-10.0)</f>
        <v/>
      </c>
      <c r="N149" s="7">
        <f>MAX(0,J149-12)</f>
        <v/>
      </c>
      <c r="O149" s="5" t="n"/>
      <c r="P149" s="6">
        <f>E149*(L149+M149*1.5+N149*2+O149*3+N(K149))</f>
        <v/>
      </c>
      <c r="Q149" s="6" t="n">
        <v>318.83</v>
      </c>
      <c r="R149" s="6">
        <f>Q149-P149</f>
        <v/>
      </c>
    </row>
    <row r="150">
      <c r="P150" s="2" t="inlineStr">
        <is>
          <t>OTHERLABOR LABOR</t>
        </is>
      </c>
      <c r="R150" s="8">
        <f>SUM(R149:R149)</f>
        <v/>
      </c>
    </row>
    <row r="152">
      <c r="B152" s="2" t="inlineStr">
        <is>
          <t>STANDBYLABOR</t>
        </is>
      </c>
    </row>
    <row r="153">
      <c r="A153" s="5" t="inlineStr">
        <is>
          <t>2510</t>
        </is>
      </c>
      <c r="B153" s="5" t="inlineStr"/>
      <c r="C153" s="5" t="inlineStr">
        <is>
          <t>LAYOUTBOARD</t>
        </is>
      </c>
      <c r="D153" s="5" t="inlineStr">
        <is>
          <t>Local729</t>
        </is>
      </c>
      <c r="E153" s="6" t="n">
        <v>25.5</v>
      </c>
      <c r="F153" s="5" t="n"/>
      <c r="G153" s="5" t="n"/>
      <c r="H153" s="5" t="n"/>
      <c r="I153" s="5" t="n"/>
      <c r="J153" s="7">
        <f>IF(AND(N(F153)&gt;0,N(I153)&gt;0),I153-F153-IF(N(G153)&gt;0,0.5,0)-IF(N(H153)&gt;0,0.5,0),0)</f>
        <v/>
      </c>
      <c r="K153" s="5" t="n"/>
      <c r="L153" s="7">
        <f>MIN(J153,10.0)</f>
        <v/>
      </c>
      <c r="M153" s="7">
        <f>MAX(0,MIN(J153,12)-10.0)</f>
        <v/>
      </c>
      <c r="N153" s="7">
        <f>MAX(0,J153-12)</f>
        <v/>
      </c>
      <c r="O153" s="5" t="n"/>
      <c r="P153" s="6">
        <f>E153*(L153+M153*1.5+N153*2+O153*3+N(K153))</f>
        <v/>
      </c>
      <c r="Q153" s="6" t="n">
        <v>395.25</v>
      </c>
      <c r="R153" s="6">
        <f>Q153-P153</f>
        <v/>
      </c>
    </row>
    <row r="154">
      <c r="P154" s="2" t="inlineStr">
        <is>
          <t>STANDBYLABOR LABOR</t>
        </is>
      </c>
      <c r="R154" s="8">
        <f>SUM(R153:R153)</f>
        <v/>
      </c>
    </row>
    <row r="156">
      <c r="B156" s="2" t="inlineStr">
        <is>
          <t>SETCRAFTSERVICELABOR</t>
        </is>
      </c>
    </row>
    <row r="157">
      <c r="A157" s="5" t="inlineStr">
        <is>
          <t>2511</t>
        </is>
      </c>
      <c r="B157" s="5" t="inlineStr">
        <is>
          <t>Maurico Solis</t>
        </is>
      </c>
      <c r="C157" s="5" t="inlineStr">
        <is>
          <t>KEYCRAFTSERVICE</t>
        </is>
      </c>
      <c r="D157" s="5" t="inlineStr">
        <is>
          <t>Local80</t>
        </is>
      </c>
      <c r="E157" s="6" t="n">
        <v>25.5</v>
      </c>
      <c r="F157" s="5" t="n"/>
      <c r="G157" s="5" t="n"/>
      <c r="H157" s="5" t="n"/>
      <c r="I157" s="5" t="n"/>
      <c r="J157" s="7">
        <f>IF(AND(N(F157)&gt;0,N(I157)&gt;0),I157-F157-IF(N(G157)&gt;0,0.5,0)-IF(N(H157)&gt;0,0.5,0),0)</f>
        <v/>
      </c>
      <c r="K157" s="5" t="n"/>
      <c r="L157" s="7">
        <f>MIN(J157,10.0)</f>
        <v/>
      </c>
      <c r="M157" s="7">
        <f>MAX(0,MIN(J157,12)-10.0)</f>
        <v/>
      </c>
      <c r="N157" s="7">
        <f>MAX(0,J157-12)</f>
        <v/>
      </c>
      <c r="O157" s="5" t="n"/>
      <c r="P157" s="6">
        <f>E157*(L157+M157*1.5+N157*2+O157*3+N(K157))</f>
        <v/>
      </c>
      <c r="Q157" s="6" t="n">
        <v>439.87</v>
      </c>
      <c r="R157" s="6">
        <f>Q157-P157</f>
        <v/>
      </c>
    </row>
    <row r="158">
      <c r="A158" s="5" t="inlineStr">
        <is>
          <t>2511</t>
        </is>
      </c>
      <c r="B158" s="5" t="inlineStr"/>
      <c r="C158" s="5" t="inlineStr">
        <is>
          <t>ASSTCRAFTSERVICE</t>
        </is>
      </c>
      <c r="D158" s="5" t="inlineStr">
        <is>
          <t>Local80</t>
        </is>
      </c>
      <c r="E158" s="6" t="n">
        <v>23.04</v>
      </c>
      <c r="F158" s="5" t="n"/>
      <c r="G158" s="5" t="n"/>
      <c r="H158" s="5" t="n"/>
      <c r="I158" s="5" t="n"/>
      <c r="J158" s="7">
        <f>IF(AND(N(F158)&gt;0,N(I158)&gt;0),I158-F158-IF(N(G158)&gt;0,0.5,0)-IF(N(H158)&gt;0,0.5,0),0)</f>
        <v/>
      </c>
      <c r="K158" s="5" t="n"/>
      <c r="L158" s="7">
        <f>MIN(J158,10.0)</f>
        <v/>
      </c>
      <c r="M158" s="7">
        <f>MAX(0,MIN(J158,12)-10.0)</f>
        <v/>
      </c>
      <c r="N158" s="7">
        <f>MAX(0,J158-12)</f>
        <v/>
      </c>
      <c r="O158" s="5" t="n"/>
      <c r="P158" s="6">
        <f>E158*(L158+M158*1.5+N158*2+O158*3+N(K158))</f>
        <v/>
      </c>
      <c r="Q158" s="6" t="n">
        <v>397.43</v>
      </c>
      <c r="R158" s="6">
        <f>Q158-P158</f>
        <v/>
      </c>
    </row>
    <row r="159">
      <c r="P159" s="2" t="inlineStr">
        <is>
          <t>SETCRAFTSERVICELABOR LABOR</t>
        </is>
      </c>
      <c r="R159" s="8">
        <f>SUM(R157:R158)</f>
        <v/>
      </c>
    </row>
    <row r="161">
      <c r="B161" s="2" t="inlineStr">
        <is>
          <t>SETFIRSTAIDLABOR</t>
        </is>
      </c>
    </row>
    <row r="162">
      <c r="A162" s="5" t="inlineStr">
        <is>
          <t>2514</t>
        </is>
      </c>
      <c r="B162" s="5" t="inlineStr">
        <is>
          <t>Robert Hill</t>
        </is>
      </c>
      <c r="C162" s="5" t="inlineStr">
        <is>
          <t>SETMEDIC</t>
        </is>
      </c>
      <c r="D162" s="5" t="inlineStr">
        <is>
          <t>Local80</t>
        </is>
      </c>
      <c r="E162" s="6" t="n">
        <v>23.04</v>
      </c>
      <c r="F162" s="5" t="n"/>
      <c r="G162" s="5" t="n"/>
      <c r="H162" s="5" t="n"/>
      <c r="I162" s="5" t="n"/>
      <c r="J162" s="7">
        <f>IF(AND(N(F162)&gt;0,N(I162)&gt;0),I162-F162-IF(N(G162)&gt;0,0.5,0)-IF(N(H162)&gt;0,0.5,0),0)</f>
        <v/>
      </c>
      <c r="K162" s="5" t="n"/>
      <c r="L162" s="7">
        <f>MIN(J162,10.0)</f>
        <v/>
      </c>
      <c r="M162" s="7">
        <f>MAX(0,MIN(J162,12)-10.0)</f>
        <v/>
      </c>
      <c r="N162" s="7">
        <f>MAX(0,J162-12)</f>
        <v/>
      </c>
      <c r="O162" s="5" t="n"/>
      <c r="P162" s="6">
        <f>E162*(L162+M162*1.5+N162*2+O162*3+N(K162))</f>
        <v/>
      </c>
      <c r="Q162" s="6" t="n">
        <v>397.43</v>
      </c>
      <c r="R162" s="6">
        <f>Q162-P162</f>
        <v/>
      </c>
    </row>
    <row r="163">
      <c r="A163" s="5" t="inlineStr">
        <is>
          <t>2514</t>
        </is>
      </c>
      <c r="B163" s="5" t="inlineStr"/>
      <c r="C163" s="5" t="inlineStr">
        <is>
          <t>RIGGINGMEDICMANDAYS</t>
        </is>
      </c>
      <c r="D163" s="5" t="inlineStr">
        <is>
          <t>Local80</t>
        </is>
      </c>
      <c r="E163" s="6" t="n">
        <v>23.04</v>
      </c>
      <c r="F163" s="5" t="n"/>
      <c r="G163" s="5" t="n"/>
      <c r="H163" s="5" t="n"/>
      <c r="I163" s="5" t="n"/>
      <c r="J163" s="7">
        <f>IF(AND(N(F163)&gt;0,N(I163)&gt;0),I163-F163-IF(N(G163)&gt;0,0.5,0)-IF(N(H163)&gt;0,0.5,0),0)</f>
        <v/>
      </c>
      <c r="K163" s="5" t="n"/>
      <c r="L163" s="7">
        <f>MIN(J163,10.0)</f>
        <v/>
      </c>
      <c r="M163" s="7">
        <f>MAX(0,MIN(J163,12)-10.0)</f>
        <v/>
      </c>
      <c r="N163" s="7">
        <f>MAX(0,J163-12)</f>
        <v/>
      </c>
      <c r="O163" s="5" t="n"/>
      <c r="P163" s="6">
        <f>E163*(L163+M163*1.5+N163*2+O163*3+N(K163))</f>
        <v/>
      </c>
      <c r="Q163" s="5" t="n"/>
      <c r="R163" s="6">
        <f>Q163-P163</f>
        <v/>
      </c>
    </row>
    <row r="164">
      <c r="P164" s="2" t="inlineStr">
        <is>
          <t>SETFIRSTAIDLABOR LABOR</t>
        </is>
      </c>
      <c r="R164" s="8">
        <f>SUM(R162:R163)</f>
        <v/>
      </c>
    </row>
    <row r="166">
      <c r="B166" s="2" t="inlineStr">
        <is>
          <t>SFXCOORDINATOR</t>
        </is>
      </c>
    </row>
    <row r="167">
      <c r="A167" s="5" t="inlineStr">
        <is>
          <t>2601</t>
        </is>
      </c>
      <c r="B167" s="5" t="inlineStr">
        <is>
          <t>Zak Knight</t>
        </is>
      </c>
      <c r="C167" s="5" t="inlineStr">
        <is>
          <t>SPFXCOORDINATOR</t>
        </is>
      </c>
      <c r="D167" s="5" t="inlineStr">
        <is>
          <t>Local44</t>
        </is>
      </c>
      <c r="E167" s="6" t="n">
        <v>42</v>
      </c>
      <c r="F167" s="5" t="n"/>
      <c r="G167" s="5" t="n"/>
      <c r="H167" s="5" t="n"/>
      <c r="I167" s="5" t="n"/>
      <c r="J167" s="7">
        <f>IF(AND(N(F167)&gt;0,N(I167)&gt;0),I167-F167-IF(N(G167)&gt;0,0.5,0)-IF(N(H167)&gt;0,0.5,0),0)</f>
        <v/>
      </c>
      <c r="K167" s="5" t="n"/>
      <c r="L167" s="7">
        <f>MIN(J167,10.0)</f>
        <v/>
      </c>
      <c r="M167" s="7">
        <f>MAX(0,MIN(J167,12)-10.0)</f>
        <v/>
      </c>
      <c r="N167" s="7">
        <f>MAX(0,J167-12)</f>
        <v/>
      </c>
      <c r="O167" s="5" t="n"/>
      <c r="P167" s="6">
        <f>E167*(L167+M167*1.5+N167*2+O167*3+N(K167))</f>
        <v/>
      </c>
      <c r="Q167" s="6" t="n">
        <v>651</v>
      </c>
      <c r="R167" s="6">
        <f>Q167-P167</f>
        <v/>
      </c>
    </row>
    <row r="168">
      <c r="P168" s="2" t="inlineStr">
        <is>
          <t>SFXCOORDINATOR LABOR</t>
        </is>
      </c>
      <c r="R168" s="8">
        <f>SUM(R167:R167)</f>
        <v/>
      </c>
    </row>
    <row r="170">
      <c r="B170" s="2" t="inlineStr">
        <is>
          <t>SFXTECHMANDAYS</t>
        </is>
      </c>
    </row>
    <row r="171">
      <c r="A171" s="5" t="inlineStr">
        <is>
          <t>2609</t>
        </is>
      </c>
      <c r="B171" s="5" t="inlineStr"/>
      <c r="C171" s="5" t="inlineStr">
        <is>
          <t>SPFXTECHMANDAYS</t>
        </is>
      </c>
      <c r="D171" s="5" t="inlineStr">
        <is>
          <t>Local44</t>
        </is>
      </c>
      <c r="E171" s="6" t="n">
        <v>40</v>
      </c>
      <c r="F171" s="5" t="n"/>
      <c r="G171" s="5" t="n"/>
      <c r="H171" s="5" t="n"/>
      <c r="I171" s="5" t="n"/>
      <c r="J171" s="7">
        <f>IF(AND(N(F171)&gt;0,N(I171)&gt;0),I171-F171-IF(N(G171)&gt;0,0.5,0)-IF(N(H171)&gt;0,0.5,0),0)</f>
        <v/>
      </c>
      <c r="K171" s="5" t="n"/>
      <c r="L171" s="7">
        <f>MIN(J171,10.0)</f>
        <v/>
      </c>
      <c r="M171" s="7">
        <f>MAX(0,MIN(J171,12)-10.0)</f>
        <v/>
      </c>
      <c r="N171" s="7">
        <f>MAX(0,J171-12)</f>
        <v/>
      </c>
      <c r="O171" s="5" t="n"/>
      <c r="P171" s="6">
        <f>E171*(L171+M171*1.5+N171*2+O171*3+N(K171))</f>
        <v/>
      </c>
      <c r="Q171" s="6" t="n">
        <v>620</v>
      </c>
      <c r="R171" s="6">
        <f>Q171-P171</f>
        <v/>
      </c>
    </row>
    <row r="172">
      <c r="A172" s="5" t="inlineStr">
        <is>
          <t>2609</t>
        </is>
      </c>
      <c r="B172" s="5" t="inlineStr"/>
      <c r="C172" s="5" t="inlineStr">
        <is>
          <t>SPFXASSISTANTMANDAYS</t>
        </is>
      </c>
      <c r="D172" s="5" t="inlineStr">
        <is>
          <t>Local44</t>
        </is>
      </c>
      <c r="E172" s="6" t="n">
        <v>25.5</v>
      </c>
      <c r="F172" s="5" t="n"/>
      <c r="G172" s="5" t="n"/>
      <c r="H172" s="5" t="n"/>
      <c r="I172" s="5" t="n"/>
      <c r="J172" s="7">
        <f>IF(AND(N(F172)&gt;0,N(I172)&gt;0),I172-F172-IF(N(G172)&gt;0,0.5,0)-IF(N(H172)&gt;0,0.5,0),0)</f>
        <v/>
      </c>
      <c r="K172" s="5" t="n"/>
      <c r="L172" s="7">
        <f>MIN(J172,10.0)</f>
        <v/>
      </c>
      <c r="M172" s="7">
        <f>MAX(0,MIN(J172,12)-10.0)</f>
        <v/>
      </c>
      <c r="N172" s="7">
        <f>MAX(0,J172-12)</f>
        <v/>
      </c>
      <c r="O172" s="5" t="n"/>
      <c r="P172" s="6">
        <f>E172*(L172+M172*1.5+N172*2+O172*3+N(K172))</f>
        <v/>
      </c>
      <c r="Q172" s="6" t="n">
        <v>395.25</v>
      </c>
      <c r="R172" s="6">
        <f>Q172-P172</f>
        <v/>
      </c>
    </row>
    <row r="173">
      <c r="A173" s="5" t="inlineStr">
        <is>
          <t>2609</t>
        </is>
      </c>
      <c r="B173" s="5" t="inlineStr"/>
      <c r="C173" s="5" t="inlineStr">
        <is>
          <t>PYROMANDAYS</t>
        </is>
      </c>
      <c r="D173" s="5" t="inlineStr">
        <is>
          <t>Local44</t>
        </is>
      </c>
      <c r="E173" s="6" t="n">
        <v>68.18000000000001</v>
      </c>
      <c r="F173" s="5" t="n"/>
      <c r="G173" s="5" t="n"/>
      <c r="H173" s="5" t="n"/>
      <c r="I173" s="5" t="n"/>
      <c r="J173" s="7">
        <f>IF(AND(N(F173)&gt;0,N(I173)&gt;0),I173-F173-IF(N(G173)&gt;0,0.5,0)-IF(N(H173)&gt;0,0.5,0),0)</f>
        <v/>
      </c>
      <c r="K173" s="5" t="n"/>
      <c r="L173" s="7">
        <f>MIN(J173,10.0)</f>
        <v/>
      </c>
      <c r="M173" s="7">
        <f>MAX(0,MIN(J173,12)-10.0)</f>
        <v/>
      </c>
      <c r="N173" s="7">
        <f>MAX(0,J173-12)</f>
        <v/>
      </c>
      <c r="O173" s="5" t="n"/>
      <c r="P173" s="6">
        <f>E173*(L173+M173*1.5+N173*2+O173*3+N(K173))</f>
        <v/>
      </c>
      <c r="Q173" s="6" t="n">
        <v>749.98</v>
      </c>
      <c r="R173" s="6">
        <f>Q173-P173</f>
        <v/>
      </c>
    </row>
    <row r="174">
      <c r="P174" s="2" t="inlineStr">
        <is>
          <t>SFXTECHMANDAYS LABOR</t>
        </is>
      </c>
      <c r="R174" s="8">
        <f>SUM(R171:R173)</f>
        <v/>
      </c>
    </row>
    <row r="176">
      <c r="B176" s="2" t="inlineStr">
        <is>
          <t>SETDECORATOR</t>
        </is>
      </c>
    </row>
    <row r="177">
      <c r="A177" s="5" t="inlineStr">
        <is>
          <t>2701</t>
        </is>
      </c>
      <c r="B177" s="5" t="inlineStr">
        <is>
          <t>Sandy Skora</t>
        </is>
      </c>
      <c r="C177" s="5" t="inlineStr">
        <is>
          <t>SETDECORATOR</t>
        </is>
      </c>
      <c r="D177" s="5" t="inlineStr">
        <is>
          <t>Local44</t>
        </is>
      </c>
      <c r="E177" s="6" t="n">
        <v>400</v>
      </c>
      <c r="F177" s="5" t="n"/>
      <c r="G177" s="5" t="n"/>
      <c r="H177" s="5" t="n"/>
      <c r="I177" s="5" t="n"/>
      <c r="J177" s="7">
        <f>IF(AND(N(F177)&gt;0,N(I177)&gt;0),I177-F177-IF(N(G177)&gt;0,0.5,0)-IF(N(H177)&gt;0,0.5,0),0)</f>
        <v/>
      </c>
      <c r="K177" s="5" t="n"/>
      <c r="L177" s="7">
        <f>MIN(J177,10.0)</f>
        <v/>
      </c>
      <c r="M177" s="7">
        <f>MAX(0,MIN(J177,12)-10.0)</f>
        <v/>
      </c>
      <c r="N177" s="7">
        <f>MAX(0,J177-12)</f>
        <v/>
      </c>
      <c r="O177" s="5" t="n"/>
      <c r="P177" s="6">
        <f>E177*(L177+M177*1.5+N177*2+O177*3+N(K177))</f>
        <v/>
      </c>
      <c r="Q177" s="6" t="n">
        <v>400</v>
      </c>
      <c r="R177" s="6">
        <f>Q177-P177</f>
        <v/>
      </c>
    </row>
    <row r="178">
      <c r="P178" s="2" t="inlineStr">
        <is>
          <t>SETDECORATOR LABOR</t>
        </is>
      </c>
      <c r="R178" s="8">
        <f>SUM(R177:R177)</f>
        <v/>
      </c>
    </row>
    <row r="180">
      <c r="B180" s="2" t="inlineStr">
        <is>
          <t>LEADPERSON</t>
        </is>
      </c>
    </row>
    <row r="181">
      <c r="A181" s="5" t="inlineStr">
        <is>
          <t>2702</t>
        </is>
      </c>
      <c r="B181" s="5" t="inlineStr">
        <is>
          <t>Josh Richmond</t>
        </is>
      </c>
      <c r="C181" s="5" t="inlineStr">
        <is>
          <t>LEADPERSON</t>
        </is>
      </c>
      <c r="D181" s="5" t="inlineStr">
        <is>
          <t>Local44</t>
        </is>
      </c>
      <c r="E181" s="6" t="n">
        <v>23.04</v>
      </c>
      <c r="F181" s="5" t="n"/>
      <c r="G181" s="5" t="n"/>
      <c r="H181" s="5" t="n"/>
      <c r="I181" s="5" t="n"/>
      <c r="J181" s="7">
        <f>IF(AND(N(F181)&gt;0,N(I181)&gt;0),I181-F181-IF(N(G181)&gt;0,0.5,0)-IF(N(H181)&gt;0,0.5,0),0)</f>
        <v/>
      </c>
      <c r="K181" s="5" t="n"/>
      <c r="L181" s="7">
        <f>MIN(J181,10.0)</f>
        <v/>
      </c>
      <c r="M181" s="7">
        <f>MAX(0,MIN(J181,12)-10.0)</f>
        <v/>
      </c>
      <c r="N181" s="7">
        <f>MAX(0,J181-12)</f>
        <v/>
      </c>
      <c r="O181" s="5" t="n"/>
      <c r="P181" s="6">
        <f>E181*(L181+M181*1.5+N181*2+O181*3+N(K181))</f>
        <v/>
      </c>
      <c r="Q181" s="6" t="n">
        <v>322.56</v>
      </c>
      <c r="R181" s="6">
        <f>Q181-P181</f>
        <v/>
      </c>
    </row>
    <row r="182">
      <c r="P182" s="2" t="inlineStr">
        <is>
          <t>LEADPERSON LABOR</t>
        </is>
      </c>
      <c r="R182" s="8">
        <f>SUM(R181:R181)</f>
        <v/>
      </c>
    </row>
    <row r="184">
      <c r="B184" s="2" t="inlineStr">
        <is>
          <t>SWINGLABOR</t>
        </is>
      </c>
    </row>
    <row r="185">
      <c r="A185" s="5" t="inlineStr">
        <is>
          <t>2703</t>
        </is>
      </c>
      <c r="B185" s="5" t="inlineStr">
        <is>
          <t>Tim Dodge</t>
        </is>
      </c>
      <c r="C185" s="5" t="inlineStr">
        <is>
          <t>SWING#1</t>
        </is>
      </c>
      <c r="D185" s="5" t="inlineStr">
        <is>
          <t>Local44</t>
        </is>
      </c>
      <c r="E185" s="6" t="n">
        <v>20.57</v>
      </c>
      <c r="F185" s="5" t="n"/>
      <c r="G185" s="5" t="n"/>
      <c r="H185" s="5" t="n"/>
      <c r="I185" s="5" t="n"/>
      <c r="J185" s="7">
        <f>IF(AND(N(F185)&gt;0,N(I185)&gt;0),I185-F185-IF(N(G185)&gt;0,0.5,0)-IF(N(H185)&gt;0,0.5,0),0)</f>
        <v/>
      </c>
      <c r="K185" s="5" t="n"/>
      <c r="L185" s="7">
        <f>MIN(J185,10.0)</f>
        <v/>
      </c>
      <c r="M185" s="7">
        <f>MAX(0,MIN(J185,12)-10.0)</f>
        <v/>
      </c>
      <c r="N185" s="7">
        <f>MAX(0,J185-12)</f>
        <v/>
      </c>
      <c r="O185" s="5" t="n"/>
      <c r="P185" s="6">
        <f>E185*(L185+M185*1.5+N185*2+O185*3+N(K185))</f>
        <v/>
      </c>
      <c r="Q185" s="6" t="n">
        <v>287.98</v>
      </c>
      <c r="R185" s="6">
        <f>Q185-P185</f>
        <v/>
      </c>
    </row>
    <row r="186">
      <c r="A186" s="5" t="inlineStr">
        <is>
          <t>2703</t>
        </is>
      </c>
      <c r="B186" s="5" t="inlineStr"/>
      <c r="C186" s="5" t="inlineStr">
        <is>
          <t>SWING#2</t>
        </is>
      </c>
      <c r="D186" s="5" t="inlineStr">
        <is>
          <t>Local44</t>
        </is>
      </c>
      <c r="E186" s="6" t="n">
        <v>20.57</v>
      </c>
      <c r="F186" s="5" t="n"/>
      <c r="G186" s="5" t="n"/>
      <c r="H186" s="5" t="n"/>
      <c r="I186" s="5" t="n"/>
      <c r="J186" s="7">
        <f>IF(AND(N(F186)&gt;0,N(I186)&gt;0),I186-F186-IF(N(G186)&gt;0,0.5,0)-IF(N(H186)&gt;0,0.5,0),0)</f>
        <v/>
      </c>
      <c r="K186" s="5" t="n"/>
      <c r="L186" s="7">
        <f>MIN(J186,10.0)</f>
        <v/>
      </c>
      <c r="M186" s="7">
        <f>MAX(0,MIN(J186,12)-10.0)</f>
        <v/>
      </c>
      <c r="N186" s="7">
        <f>MAX(0,J186-12)</f>
        <v/>
      </c>
      <c r="O186" s="5" t="n"/>
      <c r="P186" s="6">
        <f>E186*(L186+M186*1.5+N186*2+O186*3+N(K186))</f>
        <v/>
      </c>
      <c r="Q186" s="6" t="n">
        <v>287.98</v>
      </c>
      <c r="R186" s="6">
        <f>Q186-P186</f>
        <v/>
      </c>
    </row>
    <row r="187">
      <c r="A187" s="5" t="inlineStr">
        <is>
          <t>2703</t>
        </is>
      </c>
      <c r="B187" s="5" t="inlineStr"/>
      <c r="C187" s="5" t="inlineStr">
        <is>
          <t>ADDITIONALSWINGMANDAYS</t>
        </is>
      </c>
      <c r="D187" s="5" t="inlineStr">
        <is>
          <t>Local44</t>
        </is>
      </c>
      <c r="E187" s="6" t="n">
        <v>20.57</v>
      </c>
      <c r="F187" s="5" t="n"/>
      <c r="G187" s="5" t="n"/>
      <c r="H187" s="5" t="n"/>
      <c r="I187" s="5" t="n"/>
      <c r="J187" s="7">
        <f>IF(AND(N(F187)&gt;0,N(I187)&gt;0),I187-F187-IF(N(G187)&gt;0,0.5,0)-IF(N(H187)&gt;0,0.5,0),0)</f>
        <v/>
      </c>
      <c r="K187" s="5" t="n"/>
      <c r="L187" s="7">
        <f>MIN(J187,10.0)</f>
        <v/>
      </c>
      <c r="M187" s="7">
        <f>MAX(0,MIN(J187,12)-10.0)</f>
        <v/>
      </c>
      <c r="N187" s="7">
        <f>MAX(0,J187-12)</f>
        <v/>
      </c>
      <c r="O187" s="5" t="n"/>
      <c r="P187" s="6">
        <f>E187*(L187+M187*1.5+N187*2+O187*3+N(K187))</f>
        <v/>
      </c>
      <c r="Q187" s="6" t="n">
        <v>287.98</v>
      </c>
      <c r="R187" s="6">
        <f>Q187-P187</f>
        <v/>
      </c>
    </row>
    <row r="188">
      <c r="P188" s="2" t="inlineStr">
        <is>
          <t>SWINGLABOR LABOR</t>
        </is>
      </c>
      <c r="R188" s="8">
        <f>SUM(R185:R187)</f>
        <v/>
      </c>
    </row>
    <row r="190">
      <c r="B190" s="2" t="inlineStr">
        <is>
          <t>ON-SETDRESSER</t>
        </is>
      </c>
    </row>
    <row r="191">
      <c r="A191" s="5" t="inlineStr">
        <is>
          <t>2705</t>
        </is>
      </c>
      <c r="B191" s="5" t="inlineStr">
        <is>
          <t>Khamisi Thurman</t>
        </is>
      </c>
      <c r="C191" s="5" t="inlineStr">
        <is>
          <t>ON-SETDRESSER</t>
        </is>
      </c>
      <c r="D191" s="5" t="inlineStr">
        <is>
          <t>Local44</t>
        </is>
      </c>
      <c r="E191" s="6" t="n">
        <v>20.57</v>
      </c>
      <c r="F191" s="5" t="n"/>
      <c r="G191" s="5" t="n"/>
      <c r="H191" s="5" t="n"/>
      <c r="I191" s="5" t="n"/>
      <c r="J191" s="7">
        <f>IF(AND(N(F191)&gt;0,N(I191)&gt;0),I191-F191-IF(N(G191)&gt;0,0.5,0)-IF(N(H191)&gt;0,0.5,0),0)</f>
        <v/>
      </c>
      <c r="K191" s="5" t="n"/>
      <c r="L191" s="7">
        <f>MIN(J191,10.0)</f>
        <v/>
      </c>
      <c r="M191" s="7">
        <f>MAX(0,MIN(J191,12)-10.0)</f>
        <v/>
      </c>
      <c r="N191" s="7">
        <f>MAX(0,J191-12)</f>
        <v/>
      </c>
      <c r="O191" s="5" t="n"/>
      <c r="P191" s="6">
        <f>E191*(L191+M191*1.5+N191*2+O191*3+N(K191))</f>
        <v/>
      </c>
      <c r="Q191" s="6" t="n">
        <v>318.83</v>
      </c>
      <c r="R191" s="6">
        <f>Q191-P191</f>
        <v/>
      </c>
    </row>
    <row r="192">
      <c r="P192" s="2" t="inlineStr">
        <is>
          <t>ON-SETDRESSER LABOR</t>
        </is>
      </c>
      <c r="R192" s="8">
        <f>SUM(R191:R191)</f>
        <v/>
      </c>
    </row>
    <row r="194">
      <c r="B194" s="2" t="inlineStr">
        <is>
          <t>BUYERS</t>
        </is>
      </c>
    </row>
    <row r="195">
      <c r="A195" s="5" t="inlineStr">
        <is>
          <t>2706</t>
        </is>
      </c>
      <c r="B195" s="5" t="inlineStr">
        <is>
          <t>Sarah Hickman</t>
        </is>
      </c>
      <c r="C195" s="5" t="inlineStr">
        <is>
          <t>BUYER</t>
        </is>
      </c>
      <c r="D195" s="5" t="inlineStr">
        <is>
          <t>Local44</t>
        </is>
      </c>
      <c r="E195" s="6" t="n">
        <v>23.04</v>
      </c>
      <c r="F195" s="5" t="n"/>
      <c r="G195" s="5" t="n"/>
      <c r="H195" s="5" t="n"/>
      <c r="I195" s="5" t="n"/>
      <c r="J195" s="7">
        <f>IF(AND(N(F195)&gt;0,N(I195)&gt;0),I195-F195-IF(N(G195)&gt;0,0.5,0)-IF(N(H195)&gt;0,0.5,0),0)</f>
        <v/>
      </c>
      <c r="K195" s="5" t="n"/>
      <c r="L195" s="7">
        <f>MIN(J195,10.0)</f>
        <v/>
      </c>
      <c r="M195" s="7">
        <f>MAX(0,MIN(J195,12)-10.0)</f>
        <v/>
      </c>
      <c r="N195" s="7">
        <f>MAX(0,J195-12)</f>
        <v/>
      </c>
      <c r="O195" s="5" t="n"/>
      <c r="P195" s="6">
        <f>E195*(L195+M195*1.5+N195*2+O195*3+N(K195))</f>
        <v/>
      </c>
      <c r="Q195" s="5" t="n"/>
      <c r="R195" s="6">
        <f>Q195-P195</f>
        <v/>
      </c>
    </row>
    <row r="196">
      <c r="P196" s="2" t="inlineStr">
        <is>
          <t>BUYERS LABOR</t>
        </is>
      </c>
      <c r="R196" s="8">
        <f>SUM(R195:R195)</f>
        <v/>
      </c>
    </row>
    <row r="198">
      <c r="B198" s="2" t="inlineStr">
        <is>
          <t>PROPMASTER</t>
        </is>
      </c>
    </row>
    <row r="199">
      <c r="A199" s="5" t="inlineStr">
        <is>
          <t>2801</t>
        </is>
      </c>
      <c r="B199" s="5" t="inlineStr">
        <is>
          <t>Annie Brandt</t>
        </is>
      </c>
      <c r="C199" s="5" t="inlineStr">
        <is>
          <t>PROPMASTER</t>
        </is>
      </c>
      <c r="D199" s="5" t="inlineStr">
        <is>
          <t>Local44</t>
        </is>
      </c>
      <c r="E199" s="6" t="n">
        <v>25.5</v>
      </c>
      <c r="F199" s="5" t="n"/>
      <c r="G199" s="5" t="n"/>
      <c r="H199" s="5" t="n"/>
      <c r="I199" s="5" t="n"/>
      <c r="J199" s="7">
        <f>IF(AND(N(F199)&gt;0,N(I199)&gt;0),I199-F199-IF(N(G199)&gt;0,0.5,0)-IF(N(H199)&gt;0,0.5,0),0)</f>
        <v/>
      </c>
      <c r="K199" s="5" t="n"/>
      <c r="L199" s="7">
        <f>MIN(J199,10.0)</f>
        <v/>
      </c>
      <c r="M199" s="7">
        <f>MAX(0,MIN(J199,12)-10.0)</f>
        <v/>
      </c>
      <c r="N199" s="7">
        <f>MAX(0,J199-12)</f>
        <v/>
      </c>
      <c r="O199" s="5" t="n"/>
      <c r="P199" s="6">
        <f>E199*(L199+M199*1.5+N199*2+O199*3+N(K199))</f>
        <v/>
      </c>
      <c r="Q199" s="6" t="n">
        <v>395.25</v>
      </c>
      <c r="R199" s="6">
        <f>Q199-P199</f>
        <v/>
      </c>
    </row>
    <row r="200">
      <c r="P200" s="2" t="inlineStr">
        <is>
          <t>PROPMASTER LABOR</t>
        </is>
      </c>
      <c r="R200" s="8">
        <f>SUM(R199:R199)</f>
        <v/>
      </c>
    </row>
    <row r="202">
      <c r="B202" s="2" t="inlineStr">
        <is>
          <t>ASSTPROPMASTER</t>
        </is>
      </c>
    </row>
    <row r="203">
      <c r="A203" s="5" t="inlineStr">
        <is>
          <t>2802</t>
        </is>
      </c>
      <c r="B203" s="5" t="inlineStr">
        <is>
          <t>Nate Bakes</t>
        </is>
      </c>
      <c r="C203" s="5" t="inlineStr">
        <is>
          <t>ASSTPROPMASTER</t>
        </is>
      </c>
      <c r="D203" s="5" t="inlineStr">
        <is>
          <t>Local44</t>
        </is>
      </c>
      <c r="E203" s="6" t="n">
        <v>23.04</v>
      </c>
      <c r="F203" s="5" t="n"/>
      <c r="G203" s="5" t="n"/>
      <c r="H203" s="5" t="n"/>
      <c r="I203" s="5" t="n"/>
      <c r="J203" s="7">
        <f>IF(AND(N(F203)&gt;0,N(I203)&gt;0),I203-F203-IF(N(G203)&gt;0,0.5,0)-IF(N(H203)&gt;0,0.5,0),0)</f>
        <v/>
      </c>
      <c r="K203" s="5" t="n"/>
      <c r="L203" s="7">
        <f>MIN(J203,10.0)</f>
        <v/>
      </c>
      <c r="M203" s="7">
        <f>MAX(0,MIN(J203,12)-10.0)</f>
        <v/>
      </c>
      <c r="N203" s="7">
        <f>MAX(0,J203-12)</f>
        <v/>
      </c>
      <c r="O203" s="5" t="n"/>
      <c r="P203" s="6">
        <f>E203*(L203+M203*1.5+N203*2+O203*3+N(K203))</f>
        <v/>
      </c>
      <c r="Q203" s="6" t="n">
        <v>357.12</v>
      </c>
      <c r="R203" s="6">
        <f>Q203-P203</f>
        <v/>
      </c>
    </row>
    <row r="204">
      <c r="P204" s="2" t="inlineStr">
        <is>
          <t>ASSTPROPMASTER LABOR</t>
        </is>
      </c>
      <c r="R204" s="8">
        <f>SUM(R203:R203)</f>
        <v/>
      </c>
    </row>
    <row r="206">
      <c r="B206" s="2" t="inlineStr">
        <is>
          <t>COSTUMEDESIGNER</t>
        </is>
      </c>
    </row>
    <row r="207">
      <c r="A207" s="5" t="inlineStr">
        <is>
          <t>2901</t>
        </is>
      </c>
      <c r="B207" s="5" t="inlineStr">
        <is>
          <t>Megan Spatz</t>
        </is>
      </c>
      <c r="C207" s="5" t="inlineStr">
        <is>
          <t>COSTUMEDESIGNER</t>
        </is>
      </c>
      <c r="D207" s="5" t="inlineStr">
        <is>
          <t>Local892</t>
        </is>
      </c>
      <c r="E207" s="6" t="n">
        <v>540</v>
      </c>
      <c r="F207" s="5" t="n"/>
      <c r="G207" s="5" t="n"/>
      <c r="H207" s="5" t="n"/>
      <c r="I207" s="5" t="n"/>
      <c r="J207" s="7">
        <f>IF(AND(N(F207)&gt;0,N(I207)&gt;0),I207-F207-IF(N(G207)&gt;0,0.5,0)-IF(N(H207)&gt;0,0.5,0),0)</f>
        <v/>
      </c>
      <c r="K207" s="5" t="n"/>
      <c r="L207" s="7">
        <f>MIN(J207,8.0)</f>
        <v/>
      </c>
      <c r="M207" s="7">
        <f>MAX(0,MIN(J207,12)-8.0)</f>
        <v/>
      </c>
      <c r="N207" s="7">
        <f>MAX(0,J207-12)</f>
        <v/>
      </c>
      <c r="O207" s="5" t="n"/>
      <c r="P207" s="6">
        <f>E207*(L207+M207*1.5+N207*2+O207*3+N(K207))</f>
        <v/>
      </c>
      <c r="Q207" s="6" t="n">
        <v>540</v>
      </c>
      <c r="R207" s="6">
        <f>Q207-P207</f>
        <v/>
      </c>
    </row>
    <row r="208">
      <c r="P208" s="2" t="inlineStr">
        <is>
          <t>COSTUMEDESIGNER LABOR</t>
        </is>
      </c>
      <c r="R208" s="8">
        <f>SUM(R207:R207)</f>
        <v/>
      </c>
    </row>
    <row r="210">
      <c r="B210" s="2" t="inlineStr">
        <is>
          <t>COSTUMESUPERVISOR</t>
        </is>
      </c>
    </row>
    <row r="211">
      <c r="A211" s="5" t="inlineStr">
        <is>
          <t>2903</t>
        </is>
      </c>
      <c r="B211" s="5" t="inlineStr">
        <is>
          <t>Danielle Schuck</t>
        </is>
      </c>
      <c r="C211" s="5" t="inlineStr">
        <is>
          <t>COSTUMESUPERVISOR</t>
        </is>
      </c>
      <c r="D211" s="5" t="inlineStr">
        <is>
          <t>Local705</t>
        </is>
      </c>
      <c r="E211" s="6" t="n">
        <v>25.5</v>
      </c>
      <c r="F211" s="5" t="n"/>
      <c r="G211" s="5" t="n"/>
      <c r="H211" s="5" t="n"/>
      <c r="I211" s="5" t="n"/>
      <c r="J211" s="7">
        <f>IF(AND(N(F211)&gt;0,N(I211)&gt;0),I211-F211-IF(N(G211)&gt;0,0.5,0)-IF(N(H211)&gt;0,0.5,0),0)</f>
        <v/>
      </c>
      <c r="K211" s="5" t="n"/>
      <c r="L211" s="7">
        <f>MIN(J211,8.0)</f>
        <v/>
      </c>
      <c r="M211" s="7">
        <f>MAX(0,MIN(J211,12)-8.0)</f>
        <v/>
      </c>
      <c r="N211" s="7">
        <f>MAX(0,J211-12)</f>
        <v/>
      </c>
      <c r="O211" s="5" t="n"/>
      <c r="P211" s="6">
        <f>E211*(L211+M211*1.5+N211*2+O211*3+N(K211))</f>
        <v/>
      </c>
      <c r="Q211" s="6" t="n">
        <v>395.25</v>
      </c>
      <c r="R211" s="6">
        <f>Q211-P211</f>
        <v/>
      </c>
    </row>
    <row r="212">
      <c r="P212" s="2" t="inlineStr">
        <is>
          <t>COSTUMESUPERVISOR LABOR</t>
        </is>
      </c>
      <c r="R212" s="8">
        <f>SUM(R211:R211)</f>
        <v/>
      </c>
    </row>
    <row r="214">
      <c r="B214" s="2" t="inlineStr">
        <is>
          <t>SETCOSTUMERS</t>
        </is>
      </c>
    </row>
    <row r="215">
      <c r="A215" s="5" t="inlineStr">
        <is>
          <t>2905</t>
        </is>
      </c>
      <c r="B215" s="5" t="inlineStr">
        <is>
          <t>Monavie Tutop</t>
        </is>
      </c>
      <c r="C215" s="5" t="inlineStr">
        <is>
          <t>COSTUMER#1</t>
        </is>
      </c>
      <c r="D215" s="5" t="inlineStr">
        <is>
          <t>Local705</t>
        </is>
      </c>
      <c r="E215" s="6" t="n">
        <v>23.04</v>
      </c>
      <c r="F215" s="5" t="n"/>
      <c r="G215" s="5" t="n"/>
      <c r="H215" s="5" t="n"/>
      <c r="I215" s="5" t="n"/>
      <c r="J215" s="7">
        <f>IF(AND(N(F215)&gt;0,N(I215)&gt;0),I215-F215-IF(N(G215)&gt;0,0.5,0)-IF(N(H215)&gt;0,0.5,0),0)</f>
        <v/>
      </c>
      <c r="K215" s="5" t="n"/>
      <c r="L215" s="7">
        <f>MIN(J215,8.0)</f>
        <v/>
      </c>
      <c r="M215" s="7">
        <f>MAX(0,MIN(J215,12)-8.0)</f>
        <v/>
      </c>
      <c r="N215" s="7">
        <f>MAX(0,J215-12)</f>
        <v/>
      </c>
      <c r="O215" s="5" t="n"/>
      <c r="P215" s="6">
        <f>E215*(L215+M215*1.5+N215*2+O215*3+N(K215))</f>
        <v/>
      </c>
      <c r="Q215" s="6" t="n">
        <v>397.43</v>
      </c>
      <c r="R215" s="6">
        <f>Q215-P215</f>
        <v/>
      </c>
    </row>
    <row r="216">
      <c r="A216" s="5" t="inlineStr">
        <is>
          <t>2905</t>
        </is>
      </c>
      <c r="B216" s="5" t="inlineStr"/>
      <c r="C216" s="5" t="inlineStr">
        <is>
          <t>COSTUMER#2</t>
        </is>
      </c>
      <c r="D216" s="5" t="inlineStr">
        <is>
          <t>Local705</t>
        </is>
      </c>
      <c r="E216" s="6" t="n">
        <v>20.57</v>
      </c>
      <c r="F216" s="5" t="n"/>
      <c r="G216" s="5" t="n"/>
      <c r="H216" s="5" t="n"/>
      <c r="I216" s="5" t="n"/>
      <c r="J216" s="7">
        <f>IF(AND(N(F216)&gt;0,N(I216)&gt;0),I216-F216-IF(N(G216)&gt;0,0.5,0)-IF(N(H216)&gt;0,0.5,0),0)</f>
        <v/>
      </c>
      <c r="K216" s="5" t="n"/>
      <c r="L216" s="7">
        <f>MIN(J216,8.0)</f>
        <v/>
      </c>
      <c r="M216" s="7">
        <f>MAX(0,MIN(J216,12)-8.0)</f>
        <v/>
      </c>
      <c r="N216" s="7">
        <f>MAX(0,J216-12)</f>
        <v/>
      </c>
      <c r="O216" s="5" t="n"/>
      <c r="P216" s="6">
        <f>E216*(L216+M216*1.5+N216*2+O216*3+N(K216))</f>
        <v/>
      </c>
      <c r="Q216" s="6" t="n">
        <v>354.83</v>
      </c>
      <c r="R216" s="6">
        <f>Q216-P216</f>
        <v/>
      </c>
    </row>
    <row r="217">
      <c r="P217" s="2" t="inlineStr">
        <is>
          <t>SETCOSTUMERS LABOR</t>
        </is>
      </c>
      <c r="R217" s="8">
        <f>SUM(R215:R216)</f>
        <v/>
      </c>
    </row>
    <row r="219">
      <c r="B219" s="2" t="inlineStr">
        <is>
          <t>KEYMAKE-UP</t>
        </is>
      </c>
    </row>
    <row r="220">
      <c r="A220" s="5" t="inlineStr">
        <is>
          <t>3101</t>
        </is>
      </c>
      <c r="B220" s="5" t="inlineStr">
        <is>
          <t>Eleanor Sabaduquia</t>
        </is>
      </c>
      <c r="C220" s="5" t="inlineStr">
        <is>
          <t>KEYMAKEUPARTIST</t>
        </is>
      </c>
      <c r="D220" s="5" t="inlineStr">
        <is>
          <t>Local706</t>
        </is>
      </c>
      <c r="E220" s="6" t="n">
        <v>25.5</v>
      </c>
      <c r="F220" s="5" t="n"/>
      <c r="G220" s="5" t="n"/>
      <c r="H220" s="5" t="n"/>
      <c r="I220" s="5" t="n"/>
      <c r="J220" s="7">
        <f>IF(AND(N(F220)&gt;0,N(I220)&gt;0),I220-F220-IF(N(G220)&gt;0,0.5,0)-IF(N(H220)&gt;0,0.5,0),0)</f>
        <v/>
      </c>
      <c r="K220" s="5" t="n"/>
      <c r="L220" s="7">
        <f>MIN(J220,10.0)</f>
        <v/>
      </c>
      <c r="M220" s="7">
        <f>MAX(0,MIN(J220,12)-10.0)</f>
        <v/>
      </c>
      <c r="N220" s="7">
        <f>MAX(0,J220-12)</f>
        <v/>
      </c>
      <c r="O220" s="5" t="n"/>
      <c r="P220" s="6">
        <f>E220*(L220+M220*1.5+N220*2+O220*3+N(K220))</f>
        <v/>
      </c>
      <c r="Q220" s="6" t="n">
        <v>439.87</v>
      </c>
      <c r="R220" s="6">
        <f>Q220-P220</f>
        <v/>
      </c>
    </row>
    <row r="221">
      <c r="P221" s="2" t="inlineStr">
        <is>
          <t>KEYMAKE-UP LABOR</t>
        </is>
      </c>
      <c r="R221" s="8">
        <f>SUM(R220:R220)</f>
        <v/>
      </c>
    </row>
    <row r="223">
      <c r="B223" s="2" t="inlineStr">
        <is>
          <t>ASSTMAKE-UP</t>
        </is>
      </c>
    </row>
    <row r="224">
      <c r="A224" s="5" t="inlineStr">
        <is>
          <t>3102</t>
        </is>
      </c>
      <c r="B224" s="5" t="inlineStr">
        <is>
          <t>Yoko Nobushi</t>
        </is>
      </c>
      <c r="C224" s="5" t="inlineStr">
        <is>
          <t>ASSTMAKEUPARTIST#1</t>
        </is>
      </c>
      <c r="D224" s="5" t="inlineStr">
        <is>
          <t>Local706</t>
        </is>
      </c>
      <c r="E224" s="6" t="n">
        <v>23.04</v>
      </c>
      <c r="F224" s="5" t="n"/>
      <c r="G224" s="5" t="n"/>
      <c r="H224" s="5" t="n"/>
      <c r="I224" s="5" t="n"/>
      <c r="J224" s="7">
        <f>IF(AND(N(F224)&gt;0,N(I224)&gt;0),I224-F224-IF(N(G224)&gt;0,0.5,0)-IF(N(H224)&gt;0,0.5,0),0)</f>
        <v/>
      </c>
      <c r="K224" s="5" t="n"/>
      <c r="L224" s="7">
        <f>MIN(J224,10.0)</f>
        <v/>
      </c>
      <c r="M224" s="7">
        <f>MAX(0,MIN(J224,12)-10.0)</f>
        <v/>
      </c>
      <c r="N224" s="7">
        <f>MAX(0,J224-12)</f>
        <v/>
      </c>
      <c r="O224" s="5" t="n"/>
      <c r="P224" s="6">
        <f>E224*(L224+M224*1.5+N224*2+O224*3+N(K224))</f>
        <v/>
      </c>
      <c r="Q224" s="6" t="n">
        <v>397.43</v>
      </c>
      <c r="R224" s="6">
        <f>Q224-P224</f>
        <v/>
      </c>
    </row>
    <row r="225">
      <c r="P225" s="2" t="inlineStr">
        <is>
          <t>ASSTMAKE-UP LABOR</t>
        </is>
      </c>
      <c r="R225" s="8">
        <f>SUM(R224:R224)</f>
        <v/>
      </c>
    </row>
    <row r="227">
      <c r="B227" s="2" t="inlineStr">
        <is>
          <t>ADDITIONALMAKE-UPLABOR</t>
        </is>
      </c>
    </row>
    <row r="228">
      <c r="A228" s="5" t="inlineStr">
        <is>
          <t>3103</t>
        </is>
      </c>
      <c r="B228" s="5" t="inlineStr"/>
      <c r="C228" s="5" t="inlineStr">
        <is>
          <t>ADDLMAKEUPARTISTDAYS</t>
        </is>
      </c>
      <c r="D228" s="5" t="inlineStr">
        <is>
          <t>Local706</t>
        </is>
      </c>
      <c r="E228" s="6" t="n">
        <v>23.04</v>
      </c>
      <c r="F228" s="5" t="n"/>
      <c r="G228" s="5" t="n"/>
      <c r="H228" s="5" t="n"/>
      <c r="I228" s="5" t="n"/>
      <c r="J228" s="7">
        <f>IF(AND(N(F228)&gt;0,N(I228)&gt;0),I228-F228-IF(N(G228)&gt;0,0.5,0)-IF(N(H228)&gt;0,0.5,0),0)</f>
        <v/>
      </c>
      <c r="K228" s="5" t="n"/>
      <c r="L228" s="7">
        <f>MIN(J228,10.0)</f>
        <v/>
      </c>
      <c r="M228" s="7">
        <f>MAX(0,MIN(J228,12)-10.0)</f>
        <v/>
      </c>
      <c r="N228" s="7">
        <f>MAX(0,J228-12)</f>
        <v/>
      </c>
      <c r="O228" s="5" t="n"/>
      <c r="P228" s="6">
        <f>E228*(L228+M228*1.5+N228*2+O228*3+N(K228))</f>
        <v/>
      </c>
      <c r="Q228" s="6" t="n">
        <v>397.43</v>
      </c>
      <c r="R228" s="6">
        <f>Q228-P228</f>
        <v/>
      </c>
    </row>
    <row r="229">
      <c r="P229" s="2" t="inlineStr">
        <is>
          <t>ADDITIONALMAKE-UPLABOR LABOR</t>
        </is>
      </c>
      <c r="R229" s="8">
        <f>SUM(R228:R228)</f>
        <v/>
      </c>
    </row>
    <row r="231">
      <c r="B231" s="2" t="inlineStr">
        <is>
          <t>PROSTHETICS</t>
        </is>
      </c>
    </row>
    <row r="232">
      <c r="A232" s="5" t="inlineStr">
        <is>
          <t>3105</t>
        </is>
      </c>
      <c r="B232" s="5" t="inlineStr"/>
      <c r="C232" s="5" t="inlineStr">
        <is>
          <t>PROSTHETICMAKEUPARTIST</t>
        </is>
      </c>
      <c r="D232" s="5" t="inlineStr">
        <is>
          <t>Local706</t>
        </is>
      </c>
      <c r="E232" s="6" t="n">
        <v>25.5</v>
      </c>
      <c r="F232" s="5" t="n"/>
      <c r="G232" s="5" t="n"/>
      <c r="H232" s="5" t="n"/>
      <c r="I232" s="5" t="n"/>
      <c r="J232" s="7">
        <f>IF(AND(N(F232)&gt;0,N(I232)&gt;0),I232-F232-IF(N(G232)&gt;0,0.5,0)-IF(N(H232)&gt;0,0.5,0),0)</f>
        <v/>
      </c>
      <c r="K232" s="5" t="n"/>
      <c r="L232" s="7">
        <f>MIN(J232,10.0)</f>
        <v/>
      </c>
      <c r="M232" s="7">
        <f>MAX(0,MIN(J232,12)-10.0)</f>
        <v/>
      </c>
      <c r="N232" s="7">
        <f>MAX(0,J232-12)</f>
        <v/>
      </c>
      <c r="O232" s="5" t="n"/>
      <c r="P232" s="6">
        <f>E232*(L232+M232*1.5+N232*2+O232*3+N(K232))</f>
        <v/>
      </c>
      <c r="Q232" s="6" t="n">
        <v>439.87</v>
      </c>
      <c r="R232" s="6">
        <f>Q232-P232</f>
        <v/>
      </c>
    </row>
    <row r="233">
      <c r="A233" s="5" t="inlineStr">
        <is>
          <t>3105</t>
        </is>
      </c>
      <c r="B233" s="5" t="inlineStr"/>
      <c r="C233" s="5" t="inlineStr">
        <is>
          <t>LENSCONSULTANT</t>
        </is>
      </c>
      <c r="D233" s="5" t="inlineStr"/>
      <c r="E233" s="6" t="n">
        <v>50</v>
      </c>
      <c r="F233" s="5" t="n"/>
      <c r="G233" s="5" t="n"/>
      <c r="H233" s="5" t="n"/>
      <c r="I233" s="5" t="n"/>
      <c r="J233" s="7">
        <f>IF(AND(N(F233)&gt;0,N(I233)&gt;0),I233-F233-IF(N(G233)&gt;0,0.5,0)-IF(N(H233)&gt;0,0.5,0),0)</f>
        <v/>
      </c>
      <c r="K233" s="5" t="n"/>
      <c r="L233" s="7">
        <f>MIN(J233,8.0)</f>
        <v/>
      </c>
      <c r="M233" s="7">
        <f>MAX(0,MIN(J233,12)-8.0)</f>
        <v/>
      </c>
      <c r="N233" s="7">
        <f>MAX(0,J233-12)</f>
        <v/>
      </c>
      <c r="O233" s="5" t="n"/>
      <c r="P233" s="6">
        <f>E233*(L233+M233*1.5+N233*2+O233*3+N(K233))</f>
        <v/>
      </c>
      <c r="Q233" s="6" t="n">
        <v>862.53</v>
      </c>
      <c r="R233" s="6">
        <f>Q233-P233</f>
        <v/>
      </c>
    </row>
    <row r="234">
      <c r="P234" s="2" t="inlineStr">
        <is>
          <t>PROSTHETICS LABOR</t>
        </is>
      </c>
      <c r="R234" s="8">
        <f>SUM(R232:R233)</f>
        <v/>
      </c>
    </row>
    <row r="236">
      <c r="B236" s="2" t="inlineStr">
        <is>
          <t>KEYHAIR</t>
        </is>
      </c>
    </row>
    <row r="237">
      <c r="A237" s="5" t="inlineStr">
        <is>
          <t>3111</t>
        </is>
      </c>
      <c r="B237" s="5" t="inlineStr">
        <is>
          <t>Traci Smithe</t>
        </is>
      </c>
      <c r="C237" s="5" t="inlineStr">
        <is>
          <t>KEYHAIR</t>
        </is>
      </c>
      <c r="D237" s="5" t="inlineStr">
        <is>
          <t>Local706</t>
        </is>
      </c>
      <c r="E237" s="6" t="n">
        <v>25.5</v>
      </c>
      <c r="F237" s="5" t="n"/>
      <c r="G237" s="5" t="n"/>
      <c r="H237" s="5" t="n"/>
      <c r="I237" s="5" t="n"/>
      <c r="J237" s="7">
        <f>IF(AND(N(F237)&gt;0,N(I237)&gt;0),I237-F237-IF(N(G237)&gt;0,0.5,0)-IF(N(H237)&gt;0,0.5,0),0)</f>
        <v/>
      </c>
      <c r="K237" s="5" t="n"/>
      <c r="L237" s="7">
        <f>MIN(J237,10.0)</f>
        <v/>
      </c>
      <c r="M237" s="7">
        <f>MAX(0,MIN(J237,12)-10.0)</f>
        <v/>
      </c>
      <c r="N237" s="7">
        <f>MAX(0,J237-12)</f>
        <v/>
      </c>
      <c r="O237" s="5" t="n"/>
      <c r="P237" s="6">
        <f>E237*(L237+M237*1.5+N237*2+O237*3+N(K237))</f>
        <v/>
      </c>
      <c r="Q237" s="6" t="n">
        <v>439.87</v>
      </c>
      <c r="R237" s="6">
        <f>Q237-P237</f>
        <v/>
      </c>
    </row>
    <row r="238">
      <c r="P238" s="2" t="inlineStr">
        <is>
          <t>KEYHAIR LABOR</t>
        </is>
      </c>
      <c r="R238" s="8">
        <f>SUM(R237:R237)</f>
        <v/>
      </c>
    </row>
    <row r="240">
      <c r="B240" s="2" t="inlineStr">
        <is>
          <t>ASSTHAIR</t>
        </is>
      </c>
    </row>
    <row r="241">
      <c r="A241" s="5" t="inlineStr">
        <is>
          <t>3112</t>
        </is>
      </c>
      <c r="B241" s="5" t="inlineStr">
        <is>
          <t>Yunea Cruz</t>
        </is>
      </c>
      <c r="C241" s="5" t="inlineStr">
        <is>
          <t>ASSTHAIRSTYLIST#1</t>
        </is>
      </c>
      <c r="D241" s="5" t="inlineStr">
        <is>
          <t>Local706</t>
        </is>
      </c>
      <c r="E241" s="6" t="n">
        <v>23.04</v>
      </c>
      <c r="F241" s="5" t="n"/>
      <c r="G241" s="5" t="n"/>
      <c r="H241" s="5" t="n"/>
      <c r="I241" s="5" t="n"/>
      <c r="J241" s="7">
        <f>IF(AND(N(F241)&gt;0,N(I241)&gt;0),I241-F241-IF(N(G241)&gt;0,0.5,0)-IF(N(H241)&gt;0,0.5,0),0)</f>
        <v/>
      </c>
      <c r="K241" s="5" t="n"/>
      <c r="L241" s="7">
        <f>MIN(J241,10.0)</f>
        <v/>
      </c>
      <c r="M241" s="7">
        <f>MAX(0,MIN(J241,12)-10.0)</f>
        <v/>
      </c>
      <c r="N241" s="7">
        <f>MAX(0,J241-12)</f>
        <v/>
      </c>
      <c r="O241" s="5" t="n"/>
      <c r="P241" s="6">
        <f>E241*(L241+M241*1.5+N241*2+O241*3+N(K241))</f>
        <v/>
      </c>
      <c r="Q241" s="6" t="n">
        <v>397.43</v>
      </c>
      <c r="R241" s="6">
        <f>Q241-P241</f>
        <v/>
      </c>
    </row>
    <row r="242">
      <c r="P242" s="2" t="inlineStr">
        <is>
          <t>ASSTHAIR LABOR</t>
        </is>
      </c>
      <c r="R242" s="8">
        <f>SUM(R241:R241)</f>
        <v/>
      </c>
    </row>
    <row r="244">
      <c r="B244" s="2" t="inlineStr">
        <is>
          <t>ADDITIONALHAIRLABOR</t>
        </is>
      </c>
    </row>
    <row r="245">
      <c r="A245" s="5" t="inlineStr">
        <is>
          <t>3113</t>
        </is>
      </c>
      <c r="B245" s="5" t="inlineStr"/>
      <c r="C245" s="5" t="inlineStr">
        <is>
          <t>ADDLHAIRSTYLISTDAYS</t>
        </is>
      </c>
      <c r="D245" s="5" t="inlineStr">
        <is>
          <t>Local706</t>
        </is>
      </c>
      <c r="E245" s="6" t="n">
        <v>23.04</v>
      </c>
      <c r="F245" s="5" t="n"/>
      <c r="G245" s="5" t="n"/>
      <c r="H245" s="5" t="n"/>
      <c r="I245" s="5" t="n"/>
      <c r="J245" s="7">
        <f>IF(AND(N(F245)&gt;0,N(I245)&gt;0),I245-F245-IF(N(G245)&gt;0,0.5,0)-IF(N(H245)&gt;0,0.5,0),0)</f>
        <v/>
      </c>
      <c r="K245" s="5" t="n"/>
      <c r="L245" s="7">
        <f>MIN(J245,10.0)</f>
        <v/>
      </c>
      <c r="M245" s="7">
        <f>MAX(0,MIN(J245,12)-10.0)</f>
        <v/>
      </c>
      <c r="N245" s="7">
        <f>MAX(0,J245-12)</f>
        <v/>
      </c>
      <c r="O245" s="5" t="n"/>
      <c r="P245" s="6">
        <f>E245*(L245+M245*1.5+N245*2+O245*3+N(K245))</f>
        <v/>
      </c>
      <c r="Q245" s="6" t="n">
        <v>397.43</v>
      </c>
      <c r="R245" s="6">
        <f>Q245-P245</f>
        <v/>
      </c>
    </row>
    <row r="246">
      <c r="P246" s="2" t="inlineStr">
        <is>
          <t>ADDITIONALHAIRLABOR LABOR</t>
        </is>
      </c>
      <c r="R246" s="8">
        <f>SUM(R245:R245)</f>
        <v/>
      </c>
    </row>
    <row r="248">
      <c r="B248" s="2" t="inlineStr">
        <is>
          <t>GAFFER</t>
        </is>
      </c>
    </row>
    <row r="249">
      <c r="A249" s="5" t="inlineStr">
        <is>
          <t>3201</t>
        </is>
      </c>
      <c r="B249" s="5" t="inlineStr">
        <is>
          <t>Nicholas Kaat</t>
        </is>
      </c>
      <c r="C249" s="5" t="inlineStr">
        <is>
          <t>GAFFER</t>
        </is>
      </c>
      <c r="D249" s="5" t="inlineStr">
        <is>
          <t>Local728</t>
        </is>
      </c>
      <c r="E249" s="6" t="n">
        <v>25.5</v>
      </c>
      <c r="F249" s="5" t="n"/>
      <c r="G249" s="5" t="n"/>
      <c r="H249" s="5" t="n"/>
      <c r="I249" s="5" t="n"/>
      <c r="J249" s="7">
        <f>IF(AND(N(F249)&gt;0,N(I249)&gt;0),I249-F249-IF(N(G249)&gt;0,0.5,0)-IF(N(H249)&gt;0,0.5,0),0)</f>
        <v/>
      </c>
      <c r="K249" s="5" t="n"/>
      <c r="L249" s="7">
        <f>MIN(J249,10.0)</f>
        <v/>
      </c>
      <c r="M249" s="7">
        <f>MAX(0,MIN(J249,12)-10.0)</f>
        <v/>
      </c>
      <c r="N249" s="7">
        <f>MAX(0,J249-12)</f>
        <v/>
      </c>
      <c r="O249" s="5" t="n"/>
      <c r="P249" s="6">
        <f>E249*(L249+M249*1.5+N249*2+O249*3+N(K249))</f>
        <v/>
      </c>
      <c r="Q249" s="6" t="n">
        <v>395.25</v>
      </c>
      <c r="R249" s="6">
        <f>Q249-P249</f>
        <v/>
      </c>
    </row>
    <row r="250">
      <c r="P250" s="2" t="inlineStr">
        <is>
          <t>GAFFER LABOR</t>
        </is>
      </c>
      <c r="R250" s="8">
        <f>SUM(R249:R249)</f>
        <v/>
      </c>
    </row>
    <row r="252">
      <c r="B252" s="2" t="inlineStr">
        <is>
          <t>BESTBOYELECTRIC</t>
        </is>
      </c>
    </row>
    <row r="253">
      <c r="A253" s="5" t="inlineStr">
        <is>
          <t>3202</t>
        </is>
      </c>
      <c r="B253" s="5" t="inlineStr">
        <is>
          <t>Nathan Fetzer</t>
        </is>
      </c>
      <c r="C253" s="5" t="inlineStr">
        <is>
          <t>BESTBOYELECTRIC</t>
        </is>
      </c>
      <c r="D253" s="5" t="inlineStr">
        <is>
          <t>Local728</t>
        </is>
      </c>
      <c r="E253" s="6" t="n">
        <v>23.04</v>
      </c>
      <c r="F253" s="5" t="n"/>
      <c r="G253" s="5" t="n"/>
      <c r="H253" s="5" t="n"/>
      <c r="I253" s="5" t="n"/>
      <c r="J253" s="7">
        <f>IF(AND(N(F253)&gt;0,N(I253)&gt;0),I253-F253-IF(N(G253)&gt;0,0.5,0)-IF(N(H253)&gt;0,0.5,0),0)</f>
        <v/>
      </c>
      <c r="K253" s="5" t="n"/>
      <c r="L253" s="7">
        <f>MIN(J253,10.0)</f>
        <v/>
      </c>
      <c r="M253" s="7">
        <f>MAX(0,MIN(J253,12)-10.0)</f>
        <v/>
      </c>
      <c r="N253" s="7">
        <f>MAX(0,J253-12)</f>
        <v/>
      </c>
      <c r="O253" s="5" t="n"/>
      <c r="P253" s="6">
        <f>E253*(L253+M253*1.5+N253*2+O253*3+N(K253))</f>
        <v/>
      </c>
      <c r="Q253" s="6" t="n">
        <v>357.12</v>
      </c>
      <c r="R253" s="6">
        <f>Q253-P253</f>
        <v/>
      </c>
    </row>
    <row r="254">
      <c r="A254" s="5" t="inlineStr">
        <is>
          <t>3202</t>
        </is>
      </c>
      <c r="B254" s="5" t="inlineStr"/>
      <c r="C254" s="5" t="inlineStr">
        <is>
          <t>STUDIOBESTBOYELECTRIC</t>
        </is>
      </c>
      <c r="D254" s="5" t="inlineStr">
        <is>
          <t>Local728</t>
        </is>
      </c>
      <c r="E254" s="6" t="n">
        <v>43.05</v>
      </c>
      <c r="F254" s="5" t="n"/>
      <c r="G254" s="5" t="n"/>
      <c r="H254" s="5" t="n"/>
      <c r="I254" s="5" t="n"/>
      <c r="J254" s="7">
        <f>IF(AND(N(F254)&gt;0,N(I254)&gt;0),I254-F254-IF(N(G254)&gt;0,0.5,0)-IF(N(H254)&gt;0,0.5,0),0)</f>
        <v/>
      </c>
      <c r="K254" s="5" t="n"/>
      <c r="L254" s="7">
        <f>MIN(J254,10.0)</f>
        <v/>
      </c>
      <c r="M254" s="7">
        <f>MAX(0,MIN(J254,12)-10.0)</f>
        <v/>
      </c>
      <c r="N254" s="7">
        <f>MAX(0,J254-12)</f>
        <v/>
      </c>
      <c r="O254" s="5" t="n"/>
      <c r="P254" s="6">
        <f>E254*(L254+M254*1.5+N254*2+O254*3+N(K254))</f>
        <v/>
      </c>
      <c r="Q254" s="6" t="n">
        <v>667.27</v>
      </c>
      <c r="R254" s="6">
        <f>Q254-P254</f>
        <v/>
      </c>
    </row>
    <row r="255">
      <c r="P255" s="2" t="inlineStr">
        <is>
          <t>BESTBOYELECTRIC LABOR</t>
        </is>
      </c>
      <c r="R255" s="8">
        <f>SUM(R253:R254)</f>
        <v/>
      </c>
    </row>
    <row r="257">
      <c r="B257" s="2" t="inlineStr">
        <is>
          <t>ELECTRICIANS</t>
        </is>
      </c>
    </row>
    <row r="258">
      <c r="A258" s="5" t="inlineStr">
        <is>
          <t>3204</t>
        </is>
      </c>
      <c r="B258" s="5" t="inlineStr"/>
      <c r="C258" s="5" t="inlineStr">
        <is>
          <t>ELECTRICIAN#1</t>
        </is>
      </c>
      <c r="D258" s="5" t="inlineStr">
        <is>
          <t>Local728</t>
        </is>
      </c>
      <c r="E258" s="6" t="n">
        <v>20.57</v>
      </c>
      <c r="F258" s="5" t="n"/>
      <c r="G258" s="5" t="n"/>
      <c r="H258" s="5" t="n"/>
      <c r="I258" s="5" t="n"/>
      <c r="J258" s="7">
        <f>IF(AND(N(F258)&gt;0,N(I258)&gt;0),I258-F258-IF(N(G258)&gt;0,0.5,0)-IF(N(H258)&gt;0,0.5,0),0)</f>
        <v/>
      </c>
      <c r="K258" s="5" t="n"/>
      <c r="L258" s="7">
        <f>MIN(J258,10.0)</f>
        <v/>
      </c>
      <c r="M258" s="7">
        <f>MAX(0,MIN(J258,12)-10.0)</f>
        <v/>
      </c>
      <c r="N258" s="7">
        <f>MAX(0,J258-12)</f>
        <v/>
      </c>
      <c r="O258" s="5" t="n"/>
      <c r="P258" s="6">
        <f>E258*(L258+M258*1.5+N258*2+O258*3+N(K258))</f>
        <v/>
      </c>
      <c r="Q258" s="6" t="n">
        <v>318.83</v>
      </c>
      <c r="R258" s="6">
        <f>Q258-P258</f>
        <v/>
      </c>
    </row>
    <row r="259">
      <c r="A259" s="5" t="inlineStr">
        <is>
          <t>3204</t>
        </is>
      </c>
      <c r="B259" s="5" t="inlineStr"/>
      <c r="C259" s="5" t="inlineStr">
        <is>
          <t>ELECTRICIAN#2</t>
        </is>
      </c>
      <c r="D259" s="5" t="inlineStr">
        <is>
          <t>Local728</t>
        </is>
      </c>
      <c r="E259" s="6" t="n">
        <v>20.57</v>
      </c>
      <c r="F259" s="5" t="n"/>
      <c r="G259" s="5" t="n"/>
      <c r="H259" s="5" t="n"/>
      <c r="I259" s="5" t="n"/>
      <c r="J259" s="7">
        <f>IF(AND(N(F259)&gt;0,N(I259)&gt;0),I259-F259-IF(N(G259)&gt;0,0.5,0)-IF(N(H259)&gt;0,0.5,0),0)</f>
        <v/>
      </c>
      <c r="K259" s="5" t="n"/>
      <c r="L259" s="7">
        <f>MIN(J259,10.0)</f>
        <v/>
      </c>
      <c r="M259" s="7">
        <f>MAX(0,MIN(J259,12)-10.0)</f>
        <v/>
      </c>
      <c r="N259" s="7">
        <f>MAX(0,J259-12)</f>
        <v/>
      </c>
      <c r="O259" s="5" t="n"/>
      <c r="P259" s="6">
        <f>E259*(L259+M259*1.5+N259*2+O259*3+N(K259))</f>
        <v/>
      </c>
      <c r="Q259" s="6" t="n">
        <v>318.83</v>
      </c>
      <c r="R259" s="6">
        <f>Q259-P259</f>
        <v/>
      </c>
    </row>
    <row r="260">
      <c r="A260" s="5" t="inlineStr">
        <is>
          <t>3204</t>
        </is>
      </c>
      <c r="B260" s="5" t="inlineStr"/>
      <c r="C260" s="5" t="inlineStr">
        <is>
          <t>ELECTRICIAN#3</t>
        </is>
      </c>
      <c r="D260" s="5" t="inlineStr">
        <is>
          <t>Local728</t>
        </is>
      </c>
      <c r="E260" s="6" t="n">
        <v>20.57</v>
      </c>
      <c r="F260" s="5" t="n"/>
      <c r="G260" s="5" t="n"/>
      <c r="H260" s="5" t="n"/>
      <c r="I260" s="5" t="n"/>
      <c r="J260" s="7">
        <f>IF(AND(N(F260)&gt;0,N(I260)&gt;0),I260-F260-IF(N(G260)&gt;0,0.5,0)-IF(N(H260)&gt;0,0.5,0),0)</f>
        <v/>
      </c>
      <c r="K260" s="5" t="n"/>
      <c r="L260" s="7">
        <f>MIN(J260,10.0)</f>
        <v/>
      </c>
      <c r="M260" s="7">
        <f>MAX(0,MIN(J260,12)-10.0)</f>
        <v/>
      </c>
      <c r="N260" s="7">
        <f>MAX(0,J260-12)</f>
        <v/>
      </c>
      <c r="O260" s="5" t="n"/>
      <c r="P260" s="6">
        <f>E260*(L260+M260*1.5+N260*2+O260*3+N(K260))</f>
        <v/>
      </c>
      <c r="Q260" s="6" t="n">
        <v>318.83</v>
      </c>
      <c r="R260" s="6">
        <f>Q260-P260</f>
        <v/>
      </c>
    </row>
    <row r="261">
      <c r="P261" s="2" t="inlineStr">
        <is>
          <t>ELECTRICIANS LABOR</t>
        </is>
      </c>
      <c r="R261" s="8">
        <f>SUM(R258:R260)</f>
        <v/>
      </c>
    </row>
    <row r="263">
      <c r="B263" s="2" t="inlineStr">
        <is>
          <t>ADDITIONALELECTRICLABOR</t>
        </is>
      </c>
    </row>
    <row r="264">
      <c r="A264" s="5" t="inlineStr">
        <is>
          <t>3206</t>
        </is>
      </c>
      <c r="B264" s="5" t="inlineStr"/>
      <c r="C264" s="5" t="inlineStr">
        <is>
          <t>ELECTRICMANDAYS&amp;RIGGINGMANDAYS</t>
        </is>
      </c>
      <c r="D264" s="5" t="inlineStr">
        <is>
          <t>Local728</t>
        </is>
      </c>
      <c r="E264" s="6" t="n">
        <v>20.57</v>
      </c>
      <c r="F264" s="5" t="n"/>
      <c r="G264" s="5" t="n"/>
      <c r="H264" s="5" t="n"/>
      <c r="I264" s="5" t="n"/>
      <c r="J264" s="7">
        <f>IF(AND(N(F264)&gt;0,N(I264)&gt;0),I264-F264-IF(N(G264)&gt;0,0.5,0)-IF(N(H264)&gt;0,0.5,0),0)</f>
        <v/>
      </c>
      <c r="K264" s="5" t="n"/>
      <c r="L264" s="7">
        <f>MIN(J264,10.0)</f>
        <v/>
      </c>
      <c r="M264" s="7">
        <f>MAX(0,MIN(J264,12)-10.0)</f>
        <v/>
      </c>
      <c r="N264" s="7">
        <f>MAX(0,J264-12)</f>
        <v/>
      </c>
      <c r="O264" s="5" t="n"/>
      <c r="P264" s="6">
        <f>E264*(L264+M264*1.5+N264*2+O264*3+N(K264))</f>
        <v/>
      </c>
      <c r="Q264" s="6" t="n">
        <v>318.83</v>
      </c>
      <c r="R264" s="6">
        <f>Q264-P264</f>
        <v/>
      </c>
    </row>
    <row r="265">
      <c r="P265" s="2" t="inlineStr">
        <is>
          <t>ADDITIONALELECTRICLABOR LABOR</t>
        </is>
      </c>
      <c r="R265" s="8">
        <f>SUM(R264:R264)</f>
        <v/>
      </c>
    </row>
    <row r="267">
      <c r="B267" s="2" t="inlineStr">
        <is>
          <t>DIRECTOROFPHOTOGRAPHY</t>
        </is>
      </c>
    </row>
    <row r="268">
      <c r="A268" s="5" t="inlineStr">
        <is>
          <t>3301</t>
        </is>
      </c>
      <c r="B268" s="5" t="inlineStr">
        <is>
          <t>Michael Burgess</t>
        </is>
      </c>
      <c r="C268" s="5" t="inlineStr">
        <is>
          <t>DIRECTOROFPHOTOGRAPHY</t>
        </is>
      </c>
      <c r="D268" s="5" t="inlineStr">
        <is>
          <t>Local600</t>
        </is>
      </c>
      <c r="E268" s="6" t="n">
        <v>700</v>
      </c>
      <c r="F268" s="5" t="n"/>
      <c r="G268" s="5" t="n"/>
      <c r="H268" s="5" t="n"/>
      <c r="I268" s="5" t="n"/>
      <c r="J268" s="7">
        <f>IF(AND(N(F268)&gt;0,N(I268)&gt;0),I268-F268-IF(N(G268)&gt;0,0.5,0)-IF(N(H268)&gt;0,0.5,0),0)</f>
        <v/>
      </c>
      <c r="K268" s="5" t="n"/>
      <c r="L268" s="7">
        <f>MIN(J268,8.0)</f>
        <v/>
      </c>
      <c r="M268" s="7">
        <f>MAX(0,MIN(J268,12)-8.0)</f>
        <v/>
      </c>
      <c r="N268" s="7">
        <f>MAX(0,J268-12)</f>
        <v/>
      </c>
      <c r="O268" s="5" t="n"/>
      <c r="P268" s="6">
        <f>E268*(L268+M268*1.5+N268*2+O268*3+N(K268))</f>
        <v/>
      </c>
      <c r="Q268" s="6" t="n">
        <v>700</v>
      </c>
      <c r="R268" s="6">
        <f>Q268-P268</f>
        <v/>
      </c>
    </row>
    <row r="269">
      <c r="P269" s="2" t="inlineStr">
        <is>
          <t>DIRECTOROFPHOTOGRAPHY LABOR</t>
        </is>
      </c>
      <c r="R269" s="8">
        <f>SUM(R268:R268)</f>
        <v/>
      </c>
    </row>
    <row r="271">
      <c r="B271" s="2" t="inlineStr">
        <is>
          <t>CAMERAOPERATORS</t>
        </is>
      </c>
    </row>
    <row r="272">
      <c r="A272" s="5" t="inlineStr">
        <is>
          <t>3302</t>
        </is>
      </c>
      <c r="B272" s="5" t="inlineStr">
        <is>
          <t>Craig Bauer</t>
        </is>
      </c>
      <c r="C272" s="5" t="inlineStr">
        <is>
          <t>"B"CAMERAOP</t>
        </is>
      </c>
      <c r="D272" s="5" t="inlineStr">
        <is>
          <t>Local600</t>
        </is>
      </c>
      <c r="E272" s="6" t="n">
        <v>45</v>
      </c>
      <c r="F272" s="5" t="n"/>
      <c r="G272" s="5" t="n"/>
      <c r="H272" s="5" t="n"/>
      <c r="I272" s="5" t="n"/>
      <c r="J272" s="7">
        <f>IF(AND(N(F272)&gt;0,N(I272)&gt;0),I272-F272-IF(N(G272)&gt;0,0.5,0)-IF(N(H272)&gt;0,0.5,0),0)</f>
        <v/>
      </c>
      <c r="K272" s="5" t="n"/>
      <c r="L272" s="7">
        <f>MIN(J272,8.0)</f>
        <v/>
      </c>
      <c r="M272" s="7">
        <f>MAX(0,MIN(J272,12)-8.0)</f>
        <v/>
      </c>
      <c r="N272" s="7">
        <f>MAX(0,J272-12)</f>
        <v/>
      </c>
      <c r="O272" s="5" t="n"/>
      <c r="P272" s="6">
        <f>E272*(L272+M272*1.5+N272*2+O272*3+N(K272))</f>
        <v/>
      </c>
      <c r="Q272" s="6" t="n">
        <v>630</v>
      </c>
      <c r="R272" s="6">
        <f>Q272-P272</f>
        <v/>
      </c>
    </row>
    <row r="273">
      <c r="P273" s="2" t="inlineStr">
        <is>
          <t>CAMERAOPERATORS LABOR</t>
        </is>
      </c>
      <c r="R273" s="8">
        <f>SUM(R272:R272)</f>
        <v/>
      </c>
    </row>
    <row r="275">
      <c r="B275" s="2" t="inlineStr">
        <is>
          <t>DIGITALIMAGINGTECHS</t>
        </is>
      </c>
    </row>
    <row r="276">
      <c r="A276" s="5" t="inlineStr">
        <is>
          <t>3304</t>
        </is>
      </c>
      <c r="B276" s="5" t="inlineStr">
        <is>
          <t>Oliver Mancebo</t>
        </is>
      </c>
      <c r="C276" s="5" t="inlineStr">
        <is>
          <t>DIT</t>
        </is>
      </c>
      <c r="D276" s="5" t="inlineStr">
        <is>
          <t>Local600</t>
        </is>
      </c>
      <c r="E276" s="6" t="n">
        <v>35</v>
      </c>
      <c r="F276" s="5" t="n"/>
      <c r="G276" s="5" t="n"/>
      <c r="H276" s="5" t="n"/>
      <c r="I276" s="5" t="n"/>
      <c r="J276" s="7">
        <f>IF(AND(N(F276)&gt;0,N(I276)&gt;0),I276-F276-IF(N(G276)&gt;0,0.5,0)-IF(N(H276)&gt;0,0.5,0),0)</f>
        <v/>
      </c>
      <c r="K276" s="5" t="n"/>
      <c r="L276" s="7">
        <f>MIN(J276,8.0)</f>
        <v/>
      </c>
      <c r="M276" s="7">
        <f>MAX(0,MIN(J276,12)-8.0)</f>
        <v/>
      </c>
      <c r="N276" s="7">
        <f>MAX(0,J276-12)</f>
        <v/>
      </c>
      <c r="O276" s="5" t="n"/>
      <c r="P276" s="6">
        <f>E276*(L276+M276*1.5+N276*2+O276*3+N(K276))</f>
        <v/>
      </c>
      <c r="Q276" s="6" t="n">
        <v>542.5</v>
      </c>
      <c r="R276" s="6">
        <f>Q276-P276</f>
        <v/>
      </c>
    </row>
    <row r="277">
      <c r="P277" s="2" t="inlineStr">
        <is>
          <t>DIGITALIMAGINGTECHS LABOR</t>
        </is>
      </c>
      <c r="R277" s="8">
        <f>SUM(R276:R276)</f>
        <v/>
      </c>
    </row>
    <row r="279">
      <c r="B279" s="2" t="inlineStr">
        <is>
          <t>1STASSTCAMERA</t>
        </is>
      </c>
    </row>
    <row r="280">
      <c r="A280" s="5" t="inlineStr">
        <is>
          <t>3305</t>
        </is>
      </c>
      <c r="B280" s="5" t="inlineStr">
        <is>
          <t>Steve Cueva</t>
        </is>
      </c>
      <c r="C280" s="5" t="inlineStr">
        <is>
          <t>"A"CAMERA 1STAC</t>
        </is>
      </c>
      <c r="D280" s="5" t="inlineStr">
        <is>
          <t>Local600</t>
        </is>
      </c>
      <c r="E280" s="6" t="n">
        <v>25.5</v>
      </c>
      <c r="F280" s="5" t="n"/>
      <c r="G280" s="5" t="n"/>
      <c r="H280" s="5" t="n"/>
      <c r="I280" s="5" t="n"/>
      <c r="J280" s="7">
        <f>IF(AND(N(F280)&gt;0,N(I280)&gt;0),I280-F280-IF(N(G280)&gt;0,0.5,0)-IF(N(H280)&gt;0,0.5,0),0)</f>
        <v/>
      </c>
      <c r="K280" s="5" t="n"/>
      <c r="L280" s="7">
        <f>MIN(J280,8.0)</f>
        <v/>
      </c>
      <c r="M280" s="7">
        <f>MAX(0,MIN(J280,12)-8.0)</f>
        <v/>
      </c>
      <c r="N280" s="7">
        <f>MAX(0,J280-12)</f>
        <v/>
      </c>
      <c r="O280" s="5" t="n"/>
      <c r="P280" s="6">
        <f>E280*(L280+M280*1.5+N280*2+O280*3+N(K280))</f>
        <v/>
      </c>
      <c r="Q280" s="6" t="n">
        <v>395.25</v>
      </c>
      <c r="R280" s="6">
        <f>Q280-P280</f>
        <v/>
      </c>
    </row>
    <row r="281">
      <c r="A281" s="5" t="inlineStr">
        <is>
          <t>3305</t>
        </is>
      </c>
      <c r="B281" s="5" t="inlineStr">
        <is>
          <t>Chris Garcia</t>
        </is>
      </c>
      <c r="C281" s="5" t="inlineStr">
        <is>
          <t>"B"CAMERA 1STAC</t>
        </is>
      </c>
      <c r="D281" s="5" t="inlineStr">
        <is>
          <t>Local600</t>
        </is>
      </c>
      <c r="E281" s="6" t="n">
        <v>25.5</v>
      </c>
      <c r="F281" s="5" t="n"/>
      <c r="G281" s="5" t="n"/>
      <c r="H281" s="5" t="n"/>
      <c r="I281" s="5" t="n"/>
      <c r="J281" s="7">
        <f>IF(AND(N(F281)&gt;0,N(I281)&gt;0),I281-F281-IF(N(G281)&gt;0,0.5,0)-IF(N(H281)&gt;0,0.5,0),0)</f>
        <v/>
      </c>
      <c r="K281" s="5" t="n"/>
      <c r="L281" s="7">
        <f>MIN(J281,8.0)</f>
        <v/>
      </c>
      <c r="M281" s="7">
        <f>MAX(0,MIN(J281,12)-8.0)</f>
        <v/>
      </c>
      <c r="N281" s="7">
        <f>MAX(0,J281-12)</f>
        <v/>
      </c>
      <c r="O281" s="5" t="n"/>
      <c r="P281" s="6">
        <f>E281*(L281+M281*1.5+N281*2+O281*3+N(K281))</f>
        <v/>
      </c>
      <c r="Q281" s="6" t="n">
        <v>395.25</v>
      </c>
      <c r="R281" s="6">
        <f>Q281-P281</f>
        <v/>
      </c>
    </row>
    <row r="282">
      <c r="P282" s="2" t="inlineStr">
        <is>
          <t>1STASSTCAMERA LABOR</t>
        </is>
      </c>
      <c r="R282" s="8">
        <f>SUM(R280:R281)</f>
        <v/>
      </c>
    </row>
    <row r="284">
      <c r="B284" s="2" t="inlineStr">
        <is>
          <t>2NDASSTCAMERA</t>
        </is>
      </c>
    </row>
    <row r="285">
      <c r="A285" s="5" t="inlineStr">
        <is>
          <t>3306</t>
        </is>
      </c>
      <c r="B285" s="5" t="inlineStr">
        <is>
          <t>Manny Serrano</t>
        </is>
      </c>
      <c r="C285" s="5" t="inlineStr">
        <is>
          <t>"A"CAMERA 2NDAC</t>
        </is>
      </c>
      <c r="D285" s="5" t="inlineStr">
        <is>
          <t>Local600</t>
        </is>
      </c>
      <c r="E285" s="6" t="n">
        <v>23.04</v>
      </c>
      <c r="F285" s="5" t="n"/>
      <c r="G285" s="5" t="n"/>
      <c r="H285" s="5" t="n"/>
      <c r="I285" s="5" t="n"/>
      <c r="J285" s="7">
        <f>IF(AND(N(F285)&gt;0,N(I285)&gt;0),I285-F285-IF(N(G285)&gt;0,0.5,0)-IF(N(H285)&gt;0,0.5,0),0)</f>
        <v/>
      </c>
      <c r="K285" s="5" t="n"/>
      <c r="L285" s="7">
        <f>MIN(J285,8.0)</f>
        <v/>
      </c>
      <c r="M285" s="7">
        <f>MAX(0,MIN(J285,12)-8.0)</f>
        <v/>
      </c>
      <c r="N285" s="7">
        <f>MAX(0,J285-12)</f>
        <v/>
      </c>
      <c r="O285" s="5" t="n"/>
      <c r="P285" s="6">
        <f>E285*(L285+M285*1.5+N285*2+O285*3+N(K285))</f>
        <v/>
      </c>
      <c r="Q285" s="6" t="n">
        <v>357.12</v>
      </c>
      <c r="R285" s="6">
        <f>Q285-P285</f>
        <v/>
      </c>
    </row>
    <row r="286">
      <c r="A286" s="5" t="inlineStr">
        <is>
          <t>3306</t>
        </is>
      </c>
      <c r="B286" s="5" t="inlineStr"/>
      <c r="C286" s="5" t="inlineStr">
        <is>
          <t>"B"CAMERA 2NDAC</t>
        </is>
      </c>
      <c r="D286" s="5" t="inlineStr">
        <is>
          <t>Local600</t>
        </is>
      </c>
      <c r="E286" s="6" t="n">
        <v>23.04</v>
      </c>
      <c r="F286" s="5" t="n"/>
      <c r="G286" s="5" t="n"/>
      <c r="H286" s="5" t="n"/>
      <c r="I286" s="5" t="n"/>
      <c r="J286" s="7">
        <f>IF(AND(N(F286)&gt;0,N(I286)&gt;0),I286-F286-IF(N(G286)&gt;0,0.5,0)-IF(N(H286)&gt;0,0.5,0),0)</f>
        <v/>
      </c>
      <c r="K286" s="5" t="n"/>
      <c r="L286" s="7">
        <f>MIN(J286,8.0)</f>
        <v/>
      </c>
      <c r="M286" s="7">
        <f>MAX(0,MIN(J286,12)-8.0)</f>
        <v/>
      </c>
      <c r="N286" s="7">
        <f>MAX(0,J286-12)</f>
        <v/>
      </c>
      <c r="O286" s="5" t="n"/>
      <c r="P286" s="6">
        <f>E286*(L286+M286*1.5+N286*2+O286*3+N(K286))</f>
        <v/>
      </c>
      <c r="Q286" s="6" t="n">
        <v>357.12</v>
      </c>
      <c r="R286" s="6">
        <f>Q286-P286</f>
        <v/>
      </c>
    </row>
    <row r="287">
      <c r="P287" s="2" t="inlineStr">
        <is>
          <t>2NDASSTCAMERA LABOR</t>
        </is>
      </c>
      <c r="R287" s="8">
        <f>SUM(R285:R286)</f>
        <v/>
      </c>
    </row>
    <row r="289">
      <c r="B289" s="2" t="inlineStr">
        <is>
          <t>STILLPHOTOGRAPHER</t>
        </is>
      </c>
    </row>
    <row r="290">
      <c r="A290" s="5" t="inlineStr">
        <is>
          <t>3308</t>
        </is>
      </c>
      <c r="B290" s="5" t="inlineStr">
        <is>
          <t>Scott Patrick Green</t>
        </is>
      </c>
      <c r="C290" s="5" t="inlineStr">
        <is>
          <t>STILLPHOTOGRAPHER</t>
        </is>
      </c>
      <c r="D290" s="5" t="inlineStr">
        <is>
          <t>Local600</t>
        </is>
      </c>
      <c r="E290" s="6" t="n">
        <v>26.5</v>
      </c>
      <c r="F290" s="5" t="n"/>
      <c r="G290" s="5" t="n"/>
      <c r="H290" s="5" t="n"/>
      <c r="I290" s="5" t="n"/>
      <c r="J290" s="7">
        <f>IF(AND(N(F290)&gt;0,N(I290)&gt;0),I290-F290-IF(N(G290)&gt;0,0.5,0)-IF(N(H290)&gt;0,0.5,0),0)</f>
        <v/>
      </c>
      <c r="K290" s="5" t="n"/>
      <c r="L290" s="7">
        <f>MIN(J290,8.0)</f>
        <v/>
      </c>
      <c r="M290" s="7">
        <f>MAX(0,MIN(J290,12)-8.0)</f>
        <v/>
      </c>
      <c r="N290" s="7">
        <f>MAX(0,J290-12)</f>
        <v/>
      </c>
      <c r="O290" s="5" t="n"/>
      <c r="P290" s="6">
        <f>E290*(L290+M290*1.5+N290*2+O290*3+N(K290))</f>
        <v/>
      </c>
      <c r="Q290" s="6" t="n">
        <v>291.5</v>
      </c>
      <c r="R290" s="6">
        <f>Q290-P290</f>
        <v/>
      </c>
    </row>
    <row r="291">
      <c r="P291" s="2" t="inlineStr">
        <is>
          <t>STILLPHOTOGRAPHER LABOR</t>
        </is>
      </c>
      <c r="R291" s="8">
        <f>SUM(R290:R290)</f>
        <v/>
      </c>
    </row>
    <row r="293">
      <c r="B293" s="2" t="inlineStr">
        <is>
          <t>AERIAL/UNDERWATERPHOTOGRAPHY</t>
        </is>
      </c>
    </row>
    <row r="294">
      <c r="A294" s="5" t="inlineStr">
        <is>
          <t>3385</t>
        </is>
      </c>
      <c r="B294" s="5" t="inlineStr"/>
      <c r="C294" s="5" t="inlineStr">
        <is>
          <t>UNDERWATEROPERATOR</t>
        </is>
      </c>
      <c r="D294" s="5" t="inlineStr">
        <is>
          <t>Local600</t>
        </is>
      </c>
      <c r="E294" s="6" t="n">
        <v>65</v>
      </c>
      <c r="F294" s="5" t="n"/>
      <c r="G294" s="5" t="n"/>
      <c r="H294" s="5" t="n"/>
      <c r="I294" s="5" t="n"/>
      <c r="J294" s="7">
        <f>IF(AND(N(F294)&gt;0,N(I294)&gt;0),I294-F294-IF(N(G294)&gt;0,0.5,0)-IF(N(H294)&gt;0,0.5,0),0)</f>
        <v/>
      </c>
      <c r="K294" s="5" t="n"/>
      <c r="L294" s="7">
        <f>MIN(J294,8.0)</f>
        <v/>
      </c>
      <c r="M294" s="7">
        <f>MAX(0,MIN(J294,12)-8.0)</f>
        <v/>
      </c>
      <c r="N294" s="7">
        <f>MAX(0,J294-12)</f>
        <v/>
      </c>
      <c r="O294" s="5" t="n"/>
      <c r="P294" s="6">
        <f>E294*(L294+M294*1.5+N294*2+O294*3+N(K294))</f>
        <v/>
      </c>
      <c r="Q294" s="6" t="n">
        <v>910</v>
      </c>
      <c r="R294" s="6">
        <f>Q294-P294</f>
        <v/>
      </c>
    </row>
    <row r="295">
      <c r="P295" s="2" t="inlineStr">
        <is>
          <t>AERIAL/UNDERWATERPHOTOGRAPHY LABOR</t>
        </is>
      </c>
      <c r="R295" s="8">
        <f>SUM(R294:R294)</f>
        <v/>
      </c>
    </row>
    <row r="297">
      <c r="B297" s="2" t="inlineStr">
        <is>
          <t>SOUNDMIXER</t>
        </is>
      </c>
    </row>
    <row r="298">
      <c r="A298" s="5" t="inlineStr">
        <is>
          <t>3401</t>
        </is>
      </c>
      <c r="B298" s="5" t="inlineStr">
        <is>
          <t>Julian Howarth</t>
        </is>
      </c>
      <c r="C298" s="5" t="inlineStr">
        <is>
          <t>SOUNDMIXER</t>
        </is>
      </c>
      <c r="D298" s="5" t="inlineStr">
        <is>
          <t>Local695</t>
        </is>
      </c>
      <c r="E298" s="6" t="n">
        <v>26.5</v>
      </c>
      <c r="F298" s="5" t="n"/>
      <c r="G298" s="5" t="n"/>
      <c r="H298" s="5" t="n"/>
      <c r="I298" s="5" t="n"/>
      <c r="J298" s="7">
        <f>IF(AND(N(F298)&gt;0,N(I298)&gt;0),I298-F298-IF(N(G298)&gt;0,0.5,0)-IF(N(H298)&gt;0,0.5,0),0)</f>
        <v/>
      </c>
      <c r="K298" s="5" t="n"/>
      <c r="L298" s="7">
        <f>MIN(J298,10.0)</f>
        <v/>
      </c>
      <c r="M298" s="7">
        <f>MAX(0,MIN(J298,12)-10.0)</f>
        <v/>
      </c>
      <c r="N298" s="7">
        <f>MAX(0,J298-12)</f>
        <v/>
      </c>
      <c r="O298" s="5" t="n"/>
      <c r="P298" s="6">
        <f>E298*(L298+M298*1.5+N298*2+O298*3+N(K298))</f>
        <v/>
      </c>
      <c r="Q298" s="6" t="n">
        <v>410.75</v>
      </c>
      <c r="R298" s="6">
        <f>Q298-P298</f>
        <v/>
      </c>
    </row>
    <row r="299">
      <c r="P299" s="2" t="inlineStr">
        <is>
          <t>SOUNDMIXER LABOR</t>
        </is>
      </c>
      <c r="R299" s="8">
        <f>SUM(R298:R298)</f>
        <v/>
      </c>
    </row>
    <row r="301">
      <c r="B301" s="2" t="inlineStr">
        <is>
          <t>BOOMOPERATOR</t>
        </is>
      </c>
    </row>
    <row r="302">
      <c r="A302" s="5" t="inlineStr">
        <is>
          <t>3402</t>
        </is>
      </c>
      <c r="B302" s="5" t="inlineStr">
        <is>
          <t>Tim Song Jones</t>
        </is>
      </c>
      <c r="C302" s="5" t="inlineStr">
        <is>
          <t>BOOMOPERATOR</t>
        </is>
      </c>
      <c r="D302" s="5" t="inlineStr">
        <is>
          <t>Local695</t>
        </is>
      </c>
      <c r="E302" s="6" t="n">
        <v>23.04</v>
      </c>
      <c r="F302" s="5" t="n"/>
      <c r="G302" s="5" t="n"/>
      <c r="H302" s="5" t="n"/>
      <c r="I302" s="5" t="n"/>
      <c r="J302" s="7">
        <f>IF(AND(N(F302)&gt;0,N(I302)&gt;0),I302-F302-IF(N(G302)&gt;0,0.5,0)-IF(N(H302)&gt;0,0.5,0),0)</f>
        <v/>
      </c>
      <c r="K302" s="5" t="n"/>
      <c r="L302" s="7">
        <f>MIN(J302,10.0)</f>
        <v/>
      </c>
      <c r="M302" s="7">
        <f>MAX(0,MIN(J302,12)-10.0)</f>
        <v/>
      </c>
      <c r="N302" s="7">
        <f>MAX(0,J302-12)</f>
        <v/>
      </c>
      <c r="O302" s="5" t="n"/>
      <c r="P302" s="6">
        <f>E302*(L302+M302*1.5+N302*2+O302*3+N(K302))</f>
        <v/>
      </c>
      <c r="Q302" s="6" t="n">
        <v>357.12</v>
      </c>
      <c r="R302" s="6">
        <f>Q302-P302</f>
        <v/>
      </c>
    </row>
    <row r="303">
      <c r="P303" s="2" t="inlineStr">
        <is>
          <t>BOOMOPERATOR LABOR</t>
        </is>
      </c>
      <c r="R303" s="8">
        <f>SUM(R302:R302)</f>
        <v/>
      </c>
    </row>
    <row r="305">
      <c r="B305" s="2" t="inlineStr">
        <is>
          <t>CABLEPERSON</t>
        </is>
      </c>
    </row>
    <row r="306">
      <c r="A306" s="5" t="inlineStr">
        <is>
          <t>3403</t>
        </is>
      </c>
      <c r="B306" s="5" t="inlineStr"/>
      <c r="C306" s="5" t="inlineStr">
        <is>
          <t>UTILITYSOUND</t>
        </is>
      </c>
      <c r="D306" s="5" t="inlineStr">
        <is>
          <t>Local695</t>
        </is>
      </c>
      <c r="E306" s="6" t="n">
        <v>20.57</v>
      </c>
      <c r="F306" s="5" t="n"/>
      <c r="G306" s="5" t="n"/>
      <c r="H306" s="5" t="n"/>
      <c r="I306" s="5" t="n"/>
      <c r="J306" s="7">
        <f>IF(AND(N(F306)&gt;0,N(I306)&gt;0),I306-F306-IF(N(G306)&gt;0,0.5,0)-IF(N(H306)&gt;0,0.5,0),0)</f>
        <v/>
      </c>
      <c r="K306" s="5" t="n"/>
      <c r="L306" s="7">
        <f>MIN(J306,10.0)</f>
        <v/>
      </c>
      <c r="M306" s="7">
        <f>MAX(0,MIN(J306,12)-10.0)</f>
        <v/>
      </c>
      <c r="N306" s="7">
        <f>MAX(0,J306-12)</f>
        <v/>
      </c>
      <c r="O306" s="5" t="n"/>
      <c r="P306" s="6">
        <f>E306*(L306+M306*1.5+N306*2+O306*3+N(K306))</f>
        <v/>
      </c>
      <c r="Q306" s="6" t="n">
        <v>318.83</v>
      </c>
      <c r="R306" s="6">
        <f>Q306-P306</f>
        <v/>
      </c>
    </row>
    <row r="307">
      <c r="P307" s="2" t="inlineStr">
        <is>
          <t>CABLEPERSON LABOR</t>
        </is>
      </c>
      <c r="R307" s="8">
        <f>SUM(R306:R306)</f>
        <v/>
      </c>
    </row>
    <row r="309">
      <c r="B309" s="2" t="inlineStr">
        <is>
          <t>VIDEOASSIST</t>
        </is>
      </c>
    </row>
    <row r="310">
      <c r="A310" s="5" t="inlineStr">
        <is>
          <t>3404</t>
        </is>
      </c>
      <c r="B310" s="5" t="inlineStr">
        <is>
          <t>Jeff Snyder</t>
        </is>
      </c>
      <c r="C310" s="5" t="inlineStr">
        <is>
          <t>VIDEOASSISTOPERATOR</t>
        </is>
      </c>
      <c r="D310" s="5" t="inlineStr">
        <is>
          <t>Local695</t>
        </is>
      </c>
      <c r="E310" s="6" t="n">
        <v>23.04</v>
      </c>
      <c r="F310" s="5" t="n"/>
      <c r="G310" s="5" t="n"/>
      <c r="H310" s="5" t="n"/>
      <c r="I310" s="5" t="n"/>
      <c r="J310" s="7">
        <f>IF(AND(N(F310)&gt;0,N(I310)&gt;0),I310-F310-IF(N(G310)&gt;0,0.5,0)-IF(N(H310)&gt;0,0.5,0),0)</f>
        <v/>
      </c>
      <c r="K310" s="5" t="n"/>
      <c r="L310" s="7">
        <f>MIN(J310,10.0)</f>
        <v/>
      </c>
      <c r="M310" s="7">
        <f>MAX(0,MIN(J310,12)-10.0)</f>
        <v/>
      </c>
      <c r="N310" s="7">
        <f>MAX(0,J310-12)</f>
        <v/>
      </c>
      <c r="O310" s="5" t="n"/>
      <c r="P310" s="6">
        <f>E310*(L310+M310*1.5+N310*2+O310*3+N(K310))</f>
        <v/>
      </c>
      <c r="Q310" s="6" t="n">
        <v>357.12</v>
      </c>
      <c r="R310" s="6">
        <f>Q310-P310</f>
        <v/>
      </c>
    </row>
    <row r="311">
      <c r="P311" s="2" t="inlineStr">
        <is>
          <t>VIDEOASSIST LABOR</t>
        </is>
      </c>
      <c r="R311" s="8">
        <f>SUM(R310:R310)</f>
        <v/>
      </c>
    </row>
    <row r="313">
      <c r="B313" s="2" t="inlineStr">
        <is>
          <t>CAPTAIN</t>
        </is>
      </c>
    </row>
    <row r="314">
      <c r="A314" s="5" t="inlineStr">
        <is>
          <t>3502</t>
        </is>
      </c>
      <c r="B314" s="5" t="inlineStr">
        <is>
          <t>Kevin Caira</t>
        </is>
      </c>
      <c r="C314" s="5" t="inlineStr">
        <is>
          <t>TRANSPOCAPTAIN(LA)</t>
        </is>
      </c>
      <c r="D314" s="5" t="inlineStr">
        <is>
          <t>Local399</t>
        </is>
      </c>
      <c r="E314" s="6" t="n">
        <v>37.21</v>
      </c>
      <c r="F314" s="5" t="n"/>
      <c r="G314" s="5" t="n"/>
      <c r="H314" s="5" t="n"/>
      <c r="I314" s="5" t="n"/>
      <c r="J314" s="7">
        <f>IF(AND(N(F314)&gt;0,N(I314)&gt;0),I314-F314-IF(N(G314)&gt;0,0.5,0)-IF(N(H314)&gt;0,0.5,0),0)</f>
        <v/>
      </c>
      <c r="K314" s="5" t="n"/>
      <c r="L314" s="7">
        <f>MIN(J314,8.0)</f>
        <v/>
      </c>
      <c r="M314" s="7">
        <f>MAX(0,MIN(J314,12)-8.0)</f>
        <v/>
      </c>
      <c r="N314" s="7">
        <f>MAX(0,J314-12)</f>
        <v/>
      </c>
      <c r="O314" s="5" t="n"/>
      <c r="P314" s="6">
        <f>E314*(L314+M314*1.5+N314*2+O314*3+N(K314))</f>
        <v/>
      </c>
      <c r="Q314" s="6" t="n">
        <v>651.17</v>
      </c>
      <c r="R314" s="6">
        <f>Q314-P314</f>
        <v/>
      </c>
    </row>
    <row r="315">
      <c r="A315" s="5" t="inlineStr">
        <is>
          <t>3502</t>
        </is>
      </c>
      <c r="B315" s="5" t="inlineStr">
        <is>
          <t>Tina Peterson</t>
        </is>
      </c>
      <c r="C315" s="5" t="inlineStr">
        <is>
          <t>CO-CAPTAIN</t>
        </is>
      </c>
      <c r="D315" s="5" t="inlineStr">
        <is>
          <t>Local399</t>
        </is>
      </c>
      <c r="E315" s="6" t="n">
        <v>37.21</v>
      </c>
      <c r="F315" s="5" t="n"/>
      <c r="G315" s="5" t="n"/>
      <c r="H315" s="5" t="n"/>
      <c r="I315" s="5" t="n"/>
      <c r="J315" s="7">
        <f>IF(AND(N(F315)&gt;0,N(I315)&gt;0),I315-F315-IF(N(G315)&gt;0,0.5,0)-IF(N(H315)&gt;0,0.5,0),0)</f>
        <v/>
      </c>
      <c r="K315" s="5" t="n"/>
      <c r="L315" s="7">
        <f>MIN(J315,8.0)</f>
        <v/>
      </c>
      <c r="M315" s="7">
        <f>MAX(0,MIN(J315,12)-8.0)</f>
        <v/>
      </c>
      <c r="N315" s="7">
        <f>MAX(0,J315-12)</f>
        <v/>
      </c>
      <c r="O315" s="5" t="n"/>
      <c r="P315" s="6">
        <f>E315*(L315+M315*1.5+N315*2+O315*3+N(K315))</f>
        <v/>
      </c>
      <c r="Q315" s="6" t="n">
        <v>576.75</v>
      </c>
      <c r="R315" s="6">
        <f>Q315-P315</f>
        <v/>
      </c>
    </row>
    <row r="316">
      <c r="P316" s="2" t="inlineStr">
        <is>
          <t>CAPTAIN LABOR</t>
        </is>
      </c>
      <c r="R316" s="8">
        <f>SUM(R314:R315)</f>
        <v/>
      </c>
    </row>
    <row r="318">
      <c r="B318" s="2" t="inlineStr">
        <is>
          <t>DRIVERS</t>
        </is>
      </c>
    </row>
    <row r="319">
      <c r="A319" s="5" t="inlineStr">
        <is>
          <t>3503</t>
        </is>
      </c>
      <c r="B319" s="5" t="inlineStr"/>
      <c r="C319" s="5" t="inlineStr">
        <is>
          <t>GRIPTRUCK 48'TRACTORTRAILERDRIVER</t>
        </is>
      </c>
      <c r="D319" s="5" t="inlineStr"/>
      <c r="E319" s="6" t="n">
        <v>32.36</v>
      </c>
      <c r="F319" s="5" t="n"/>
      <c r="G319" s="5" t="n"/>
      <c r="H319" s="5" t="n"/>
      <c r="I319" s="5" t="n"/>
      <c r="J319" s="7">
        <f>IF(AND(N(F319)&gt;0,N(I319)&gt;0),I319-F319-IF(N(G319)&gt;0,0.5,0)-IF(N(H319)&gt;0,0.5,0),0)</f>
        <v/>
      </c>
      <c r="K319" s="5" t="n"/>
      <c r="L319" s="7">
        <f>MIN(J319,8.0)</f>
        <v/>
      </c>
      <c r="M319" s="7">
        <f>MAX(0,MIN(J319,12)-8.0)</f>
        <v/>
      </c>
      <c r="N319" s="7">
        <f>MAX(0,J319-12)</f>
        <v/>
      </c>
      <c r="O319" s="5" t="n"/>
      <c r="P319" s="6">
        <f>E319*(L319+M319*1.5+N319*2+O319*3+N(K319))</f>
        <v/>
      </c>
      <c r="Q319" s="6" t="n">
        <v>501.58</v>
      </c>
      <c r="R319" s="6">
        <f>Q319-P319</f>
        <v/>
      </c>
    </row>
    <row r="320">
      <c r="A320" s="5" t="inlineStr">
        <is>
          <t>3503</t>
        </is>
      </c>
      <c r="B320" s="5" t="inlineStr">
        <is>
          <t>Donald Wilson</t>
        </is>
      </c>
      <c r="C320" s="5" t="inlineStr">
        <is>
          <t>PROP 5-TON(ENCLOSED)</t>
        </is>
      </c>
      <c r="D320" s="5" t="inlineStr"/>
      <c r="E320" s="6" t="n">
        <v>32.36</v>
      </c>
      <c r="F320" s="5" t="n"/>
      <c r="G320" s="5" t="n"/>
      <c r="H320" s="5" t="n"/>
      <c r="I320" s="5" t="n"/>
      <c r="J320" s="7">
        <f>IF(AND(N(F320)&gt;0,N(I320)&gt;0),I320-F320-IF(N(G320)&gt;0,0.5,0)-IF(N(H320)&gt;0,0.5,0),0)</f>
        <v/>
      </c>
      <c r="K320" s="5" t="n"/>
      <c r="L320" s="7">
        <f>MIN(J320,8.0)</f>
        <v/>
      </c>
      <c r="M320" s="7">
        <f>MAX(0,MIN(J320,12)-8.0)</f>
        <v/>
      </c>
      <c r="N320" s="7">
        <f>MAX(0,J320-12)</f>
        <v/>
      </c>
      <c r="O320" s="5" t="n"/>
      <c r="P320" s="6">
        <f>E320*(L320+M320*1.5+N320*2+O320*3+N(K320))</f>
        <v/>
      </c>
      <c r="Q320" s="6" t="n">
        <v>501.58</v>
      </c>
      <c r="R320" s="6">
        <f>Q320-P320</f>
        <v/>
      </c>
    </row>
    <row r="321">
      <c r="A321" s="5" t="inlineStr">
        <is>
          <t>3503</t>
        </is>
      </c>
      <c r="B321" s="5" t="inlineStr"/>
      <c r="C321" s="5" t="inlineStr">
        <is>
          <t>WARDROBESTAKEBEDDRIVER#1</t>
        </is>
      </c>
      <c r="D321" s="5" t="inlineStr"/>
      <c r="E321" s="6" t="n">
        <v>37.99</v>
      </c>
      <c r="F321" s="5" t="n"/>
      <c r="G321" s="5" t="n"/>
      <c r="H321" s="5" t="n"/>
      <c r="I321" s="5" t="n"/>
      <c r="J321" s="7">
        <f>IF(AND(N(F321)&gt;0,N(I321)&gt;0),I321-F321-IF(N(G321)&gt;0,0.5,0)-IF(N(H321)&gt;0,0.5,0),0)</f>
        <v/>
      </c>
      <c r="K321" s="5" t="n"/>
      <c r="L321" s="7">
        <f>MIN(J321,8.0)</f>
        <v/>
      </c>
      <c r="M321" s="7">
        <f>MAX(0,MIN(J321,12)-8.0)</f>
        <v/>
      </c>
      <c r="N321" s="7">
        <f>MAX(0,J321-12)</f>
        <v/>
      </c>
      <c r="O321" s="5" t="n"/>
      <c r="P321" s="6">
        <f>E321*(L321+M321*1.5+N321*2+O321*3+N(K321))</f>
        <v/>
      </c>
      <c r="Q321" s="6" t="n">
        <v>588.85</v>
      </c>
      <c r="R321" s="6">
        <f>Q321-P321</f>
        <v/>
      </c>
    </row>
    <row r="322">
      <c r="A322" s="5" t="inlineStr">
        <is>
          <t>3503</t>
        </is>
      </c>
      <c r="B322" s="5" t="inlineStr"/>
      <c r="C322" s="5" t="inlineStr">
        <is>
          <t>MAKEUPHAIRTRAILERDRIVER</t>
        </is>
      </c>
      <c r="D322" s="5" t="inlineStr"/>
      <c r="E322" s="6" t="n">
        <v>32.36</v>
      </c>
      <c r="F322" s="5" t="n"/>
      <c r="G322" s="5" t="n"/>
      <c r="H322" s="5" t="n"/>
      <c r="I322" s="5" t="n"/>
      <c r="J322" s="7">
        <f>IF(AND(N(F322)&gt;0,N(I322)&gt;0),I322-F322-IF(N(G322)&gt;0,0.5,0)-IF(N(H322)&gt;0,0.5,0),0)</f>
        <v/>
      </c>
      <c r="K322" s="5" t="n"/>
      <c r="L322" s="7">
        <f>MIN(J322,8.0)</f>
        <v/>
      </c>
      <c r="M322" s="7">
        <f>MAX(0,MIN(J322,12)-8.0)</f>
        <v/>
      </c>
      <c r="N322" s="7">
        <f>MAX(0,J322-12)</f>
        <v/>
      </c>
      <c r="O322" s="5" t="n"/>
      <c r="P322" s="6">
        <f>E322*(L322+M322*1.5+N322*2+O322*3+N(K322))</f>
        <v/>
      </c>
      <c r="Q322" s="6" t="n">
        <v>501.58</v>
      </c>
      <c r="R322" s="6">
        <f>Q322-P322</f>
        <v/>
      </c>
    </row>
    <row r="323">
      <c r="A323" s="5" t="inlineStr">
        <is>
          <t>3503</t>
        </is>
      </c>
      <c r="B323" s="5" t="inlineStr"/>
      <c r="C323" s="5" t="inlineStr">
        <is>
          <t>ELECTRIC 10TONDRIVER(GENIEOPERATOR)</t>
        </is>
      </c>
      <c r="D323" s="5" t="inlineStr"/>
      <c r="E323" s="6" t="n">
        <v>37.99</v>
      </c>
      <c r="F323" s="5" t="n"/>
      <c r="G323" s="5" t="n"/>
      <c r="H323" s="5" t="n"/>
      <c r="I323" s="5" t="n"/>
      <c r="J323" s="7">
        <f>IF(AND(N(F323)&gt;0,N(I323)&gt;0),I323-F323-IF(N(G323)&gt;0,0.5,0)-IF(N(H323)&gt;0,0.5,0),0)</f>
        <v/>
      </c>
      <c r="K323" s="5" t="n"/>
      <c r="L323" s="7">
        <f>MIN(J323,8.0)</f>
        <v/>
      </c>
      <c r="M323" s="7">
        <f>MAX(0,MIN(J323,12)-8.0)</f>
        <v/>
      </c>
      <c r="N323" s="7">
        <f>MAX(0,J323-12)</f>
        <v/>
      </c>
      <c r="O323" s="5" t="n"/>
      <c r="P323" s="6">
        <f>E323*(L323+M323*1.5+N323*2+O323*3+N(K323))</f>
        <v/>
      </c>
      <c r="Q323" s="6" t="n">
        <v>588.85</v>
      </c>
      <c r="R323" s="6">
        <f>Q323-P323</f>
        <v/>
      </c>
    </row>
    <row r="324">
      <c r="A324" s="5" t="inlineStr">
        <is>
          <t>3503</t>
        </is>
      </c>
      <c r="B324" s="5" t="inlineStr"/>
      <c r="C324" s="5" t="inlineStr">
        <is>
          <t>SOUNDCCSTAKEBEDFUELTRUCKDRIVER</t>
        </is>
      </c>
      <c r="D324" s="5" t="inlineStr"/>
      <c r="E324" s="6" t="n">
        <v>32.36</v>
      </c>
      <c r="F324" s="5" t="n"/>
      <c r="G324" s="5" t="n"/>
      <c r="H324" s="5" t="n"/>
      <c r="I324" s="5" t="n"/>
      <c r="J324" s="7">
        <f>IF(AND(N(F324)&gt;0,N(I324)&gt;0),I324-F324-IF(N(G324)&gt;0,0.5,0)-IF(N(H324)&gt;0,0.5,0),0)</f>
        <v/>
      </c>
      <c r="K324" s="5" t="n"/>
      <c r="L324" s="7">
        <f>MIN(J324,8.0)</f>
        <v/>
      </c>
      <c r="M324" s="7">
        <f>MAX(0,MIN(J324,12)-8.0)</f>
        <v/>
      </c>
      <c r="N324" s="7">
        <f>MAX(0,J324-12)</f>
        <v/>
      </c>
      <c r="O324" s="5" t="n"/>
      <c r="P324" s="6">
        <f>E324*(L324+M324*1.5+N324*2+O324*3+N(K324))</f>
        <v/>
      </c>
      <c r="Q324" s="6" t="n">
        <v>501.58</v>
      </c>
      <c r="R324" s="6">
        <f>Q324-P324</f>
        <v/>
      </c>
    </row>
    <row r="325">
      <c r="A325" s="5" t="inlineStr">
        <is>
          <t>3503</t>
        </is>
      </c>
      <c r="B325" s="5" t="inlineStr"/>
      <c r="C325" s="5" t="inlineStr">
        <is>
          <t>9-ROOMHONEYWAGONTRACTORDRIVER</t>
        </is>
      </c>
      <c r="D325" s="5" t="inlineStr"/>
      <c r="E325" s="6" t="n">
        <v>32.36</v>
      </c>
      <c r="F325" s="5" t="n"/>
      <c r="G325" s="5" t="n"/>
      <c r="H325" s="5" t="n"/>
      <c r="I325" s="5" t="n"/>
      <c r="J325" s="7">
        <f>IF(AND(N(F325)&gt;0,N(I325)&gt;0),I325-F325-IF(N(G325)&gt;0,0.5,0)-IF(N(H325)&gt;0,0.5,0),0)</f>
        <v/>
      </c>
      <c r="K325" s="5" t="n"/>
      <c r="L325" s="7">
        <f>MIN(J325,8.0)</f>
        <v/>
      </c>
      <c r="M325" s="7">
        <f>MAX(0,MIN(J325,12)-8.0)</f>
        <v/>
      </c>
      <c r="N325" s="7">
        <f>MAX(0,J325-12)</f>
        <v/>
      </c>
      <c r="O325" s="5" t="n"/>
      <c r="P325" s="6">
        <f>E325*(L325+M325*1.5+N325*2+O325*3+N(K325))</f>
        <v/>
      </c>
      <c r="Q325" s="6" t="n">
        <v>501.58</v>
      </c>
      <c r="R325" s="6">
        <f>Q325-P325</f>
        <v/>
      </c>
    </row>
    <row r="326">
      <c r="A326" s="5" t="inlineStr">
        <is>
          <t>3503</t>
        </is>
      </c>
      <c r="B326" s="5" t="inlineStr"/>
      <c r="C326" s="5" t="inlineStr">
        <is>
          <t>FORDTRANSITVANDRIVER#1</t>
        </is>
      </c>
      <c r="D326" s="5" t="inlineStr"/>
      <c r="E326" s="6" t="n">
        <v>32.36</v>
      </c>
      <c r="F326" s="5" t="n"/>
      <c r="G326" s="5" t="n"/>
      <c r="H326" s="5" t="n"/>
      <c r="I326" s="5" t="n"/>
      <c r="J326" s="7">
        <f>IF(AND(N(F326)&gt;0,N(I326)&gt;0),I326-F326-IF(N(G326)&gt;0,0.5,0)-IF(N(H326)&gt;0,0.5,0),0)</f>
        <v/>
      </c>
      <c r="K326" s="5" t="n"/>
      <c r="L326" s="7">
        <f>MIN(J326,8.0)</f>
        <v/>
      </c>
      <c r="M326" s="7">
        <f>MAX(0,MIN(J326,12)-8.0)</f>
        <v/>
      </c>
      <c r="N326" s="7">
        <f>MAX(0,J326-12)</f>
        <v/>
      </c>
      <c r="O326" s="5" t="n"/>
      <c r="P326" s="6">
        <f>E326*(L326+M326*1.5+N326*2+O326*3+N(K326))</f>
        <v/>
      </c>
      <c r="Q326" s="6" t="n">
        <v>501.58</v>
      </c>
      <c r="R326" s="6">
        <f>Q326-P326</f>
        <v/>
      </c>
    </row>
    <row r="327">
      <c r="A327" s="5" t="inlineStr">
        <is>
          <t>3503</t>
        </is>
      </c>
      <c r="B327" s="5" t="inlineStr">
        <is>
          <t>Kaiser Clark</t>
        </is>
      </c>
      <c r="C327" s="5" t="inlineStr">
        <is>
          <t>CSETDECTRUCKDRIVER#1</t>
        </is>
      </c>
      <c r="D327" s="5" t="inlineStr"/>
      <c r="E327" s="6" t="n">
        <v>32.36</v>
      </c>
      <c r="F327" s="5" t="n"/>
      <c r="G327" s="5" t="n"/>
      <c r="H327" s="5" t="n"/>
      <c r="I327" s="5" t="n"/>
      <c r="J327" s="7">
        <f>IF(AND(N(F327)&gt;0,N(I327)&gt;0),I327-F327-IF(N(G327)&gt;0,0.5,0)-IF(N(H327)&gt;0,0.5,0),0)</f>
        <v/>
      </c>
      <c r="K327" s="5" t="n"/>
      <c r="L327" s="7">
        <f>MIN(J327,8.0)</f>
        <v/>
      </c>
      <c r="M327" s="7">
        <f>MAX(0,MIN(J327,12)-8.0)</f>
        <v/>
      </c>
      <c r="N327" s="7">
        <f>MAX(0,J327-12)</f>
        <v/>
      </c>
      <c r="O327" s="5" t="n"/>
      <c r="P327" s="6">
        <f>E327*(L327+M327*1.5+N327*2+O327*3+N(K327))</f>
        <v/>
      </c>
      <c r="Q327" s="6" t="n">
        <v>501.58</v>
      </c>
      <c r="R327" s="6">
        <f>Q327-P327</f>
        <v/>
      </c>
    </row>
    <row r="328">
      <c r="A328" s="5" t="inlineStr">
        <is>
          <t>3503</t>
        </is>
      </c>
      <c r="B328" s="5" t="inlineStr"/>
      <c r="C328" s="5" t="inlineStr">
        <is>
          <t>C 5-TONENCLOSEDRIGGINGGRIPDRIVER</t>
        </is>
      </c>
      <c r="D328" s="5" t="inlineStr"/>
      <c r="E328" s="6" t="n">
        <v>32.36</v>
      </c>
      <c r="F328" s="5" t="n"/>
      <c r="G328" s="5" t="n"/>
      <c r="H328" s="5" t="n"/>
      <c r="I328" s="5" t="n"/>
      <c r="J328" s="7">
        <f>IF(AND(N(F328)&gt;0,N(I328)&gt;0),I328-F328-IF(N(G328)&gt;0,0.5,0)-IF(N(H328)&gt;0,0.5,0),0)</f>
        <v/>
      </c>
      <c r="K328" s="5" t="n"/>
      <c r="L328" s="7">
        <f>MIN(J328,8.0)</f>
        <v/>
      </c>
      <c r="M328" s="7">
        <f>MAX(0,MIN(J328,12)-8.0)</f>
        <v/>
      </c>
      <c r="N328" s="7">
        <f>MAX(0,J328-12)</f>
        <v/>
      </c>
      <c r="O328" s="5" t="n"/>
      <c r="P328" s="6">
        <f>E328*(L328+M328*1.5+N328*2+O328*3+N(K328))</f>
        <v/>
      </c>
      <c r="Q328" s="5" t="n"/>
      <c r="R328" s="6">
        <f>Q328-P328</f>
        <v/>
      </c>
    </row>
    <row r="329">
      <c r="A329" s="5" t="inlineStr">
        <is>
          <t>3503</t>
        </is>
      </c>
      <c r="B329" s="5" t="inlineStr"/>
      <c r="C329" s="5" t="inlineStr">
        <is>
          <t>SCOUTBUS</t>
        </is>
      </c>
      <c r="D329" s="5" t="inlineStr"/>
      <c r="E329" s="6" t="n">
        <v>32.36</v>
      </c>
      <c r="F329" s="5" t="n"/>
      <c r="G329" s="5" t="n"/>
      <c r="H329" s="5" t="n"/>
      <c r="I329" s="5" t="n"/>
      <c r="J329" s="7">
        <f>IF(AND(N(F329)&gt;0,N(I329)&gt;0),I329-F329-IF(N(G329)&gt;0,0.5,0)-IF(N(H329)&gt;0,0.5,0),0)</f>
        <v/>
      </c>
      <c r="K329" s="5" t="n"/>
      <c r="L329" s="7">
        <f>MIN(J329,8.0)</f>
        <v/>
      </c>
      <c r="M329" s="7">
        <f>MAX(0,MIN(J329,12)-8.0)</f>
        <v/>
      </c>
      <c r="N329" s="7">
        <f>MAX(0,J329-12)</f>
        <v/>
      </c>
      <c r="O329" s="5" t="n"/>
      <c r="P329" s="6">
        <f>E329*(L329+M329*1.5+N329*2+O329*3+N(K329))</f>
        <v/>
      </c>
      <c r="Q329" s="5" t="n"/>
      <c r="R329" s="6">
        <f>Q329-P329</f>
        <v/>
      </c>
    </row>
    <row r="330">
      <c r="A330" s="5" t="inlineStr">
        <is>
          <t>3503</t>
        </is>
      </c>
      <c r="B330" s="5" t="inlineStr"/>
      <c r="C330" s="5" t="inlineStr">
        <is>
          <t>DRIVERMANDAYS</t>
        </is>
      </c>
      <c r="D330" s="5" t="inlineStr"/>
      <c r="E330" s="6" t="n">
        <v>32.36</v>
      </c>
      <c r="F330" s="5" t="n"/>
      <c r="G330" s="5" t="n"/>
      <c r="H330" s="5" t="n"/>
      <c r="I330" s="5" t="n"/>
      <c r="J330" s="7">
        <f>IF(AND(N(F330)&gt;0,N(I330)&gt;0),I330-F330-IF(N(G330)&gt;0,0.5,0)-IF(N(H330)&gt;0,0.5,0),0)</f>
        <v/>
      </c>
      <c r="K330" s="5" t="n"/>
      <c r="L330" s="7">
        <f>MIN(J330,8.0)</f>
        <v/>
      </c>
      <c r="M330" s="7">
        <f>MAX(0,MIN(J330,12)-8.0)</f>
        <v/>
      </c>
      <c r="N330" s="7">
        <f>MAX(0,J330-12)</f>
        <v/>
      </c>
      <c r="O330" s="5" t="n"/>
      <c r="P330" s="6">
        <f>E330*(L330+M330*1.5+N330*2+O330*3+N(K330))</f>
        <v/>
      </c>
      <c r="Q330" s="5" t="n"/>
      <c r="R330" s="6">
        <f>Q330-P330</f>
        <v/>
      </c>
    </row>
    <row r="331">
      <c r="P331" s="2" t="inlineStr">
        <is>
          <t>DRIVERS LABOR</t>
        </is>
      </c>
      <c r="R331" s="8">
        <f>SUM(R319:R330)</f>
        <v/>
      </c>
    </row>
    <row r="333">
      <c r="B333" s="2" t="inlineStr">
        <is>
          <t>LOCATIONSITEFEES</t>
        </is>
      </c>
    </row>
    <row r="334">
      <c r="A334" s="5" t="inlineStr">
        <is>
          <t>3607</t>
        </is>
      </c>
      <c r="B334" s="5" t="inlineStr"/>
      <c r="C334" s="5" t="inlineStr">
        <is>
          <t>Location#1(Hospital ER, LACountry Childrens Shelter, Shelter Dorm, Dept...</t>
        </is>
      </c>
      <c r="D334" s="5" t="inlineStr">
        <is>
          <t>Local400</t>
        </is>
      </c>
      <c r="E334" s="6" t="n">
        <v>50000</v>
      </c>
      <c r="F334" s="5" t="n"/>
      <c r="G334" s="5" t="n"/>
      <c r="H334" s="5" t="n"/>
      <c r="I334" s="5" t="n"/>
      <c r="J334" s="7">
        <f>IF(AND(N(F334)&gt;0,N(I334)&gt;0),I334-F334-IF(N(G334)&gt;0,0.5,0)-IF(N(H334)&gt;0,0.5,0),0)</f>
        <v/>
      </c>
      <c r="K334" s="5" t="n"/>
      <c r="L334" s="7">
        <f>MIN(J334,8.0)</f>
        <v/>
      </c>
      <c r="M334" s="7">
        <f>MAX(0,MIN(J334,12)-8.0)</f>
        <v/>
      </c>
      <c r="N334" s="7">
        <f>MAX(0,J334-12)</f>
        <v/>
      </c>
      <c r="O334" s="5" t="n"/>
      <c r="P334" s="6">
        <f>E334*(L334+M334*1.5+N334*2+O334*3+N(K334))</f>
        <v/>
      </c>
      <c r="Q334" s="6" t="n">
        <v>50000</v>
      </c>
      <c r="R334" s="6">
        <f>Q334-P334</f>
        <v/>
      </c>
    </row>
    <row r="335">
      <c r="P335" s="2" t="inlineStr">
        <is>
          <t>LOCATIONSITEFEES LABOR</t>
        </is>
      </c>
      <c r="R335" s="8">
        <f>SUM(R334:R334)</f>
        <v/>
      </c>
    </row>
    <row r="337">
      <c r="B337" s="2" t="inlineStr">
        <is>
          <t>CATERINGLABOR</t>
        </is>
      </c>
    </row>
    <row r="338">
      <c r="A338" s="5" t="inlineStr">
        <is>
          <t>3621</t>
        </is>
      </c>
      <c r="B338" s="5" t="inlineStr"/>
      <c r="C338" s="5" t="inlineStr">
        <is>
          <t>COOKDRIVER#1</t>
        </is>
      </c>
      <c r="D338" s="5" t="inlineStr">
        <is>
          <t>Local399</t>
        </is>
      </c>
      <c r="E338" s="6" t="n">
        <v>32.36</v>
      </c>
      <c r="F338" s="5" t="n"/>
      <c r="G338" s="5" t="n"/>
      <c r="H338" s="5" t="n"/>
      <c r="I338" s="5" t="n"/>
      <c r="J338" s="7">
        <f>IF(AND(N(F338)&gt;0,N(I338)&gt;0),I338-F338-IF(N(G338)&gt;0,0.5,0)-IF(N(H338)&gt;0,0.5,0),0)</f>
        <v/>
      </c>
      <c r="K338" s="5" t="n"/>
      <c r="L338" s="7">
        <f>MIN(J338,8.0)</f>
        <v/>
      </c>
      <c r="M338" s="7">
        <f>MAX(0,MIN(J338,12)-8.0)</f>
        <v/>
      </c>
      <c r="N338" s="7">
        <f>MAX(0,J338-12)</f>
        <v/>
      </c>
      <c r="O338" s="5" t="n"/>
      <c r="P338" s="6">
        <f>E338*(L338+M338*1.5+N338*2+O338*3+N(K338))</f>
        <v/>
      </c>
      <c r="Q338" s="6" t="n">
        <v>647.2</v>
      </c>
      <c r="R338" s="6">
        <f>Q338-P338</f>
        <v/>
      </c>
    </row>
    <row r="339">
      <c r="A339" s="5" t="inlineStr">
        <is>
          <t>3621</t>
        </is>
      </c>
      <c r="B339" s="5" t="inlineStr"/>
      <c r="C339" s="5" t="inlineStr">
        <is>
          <t>1STASSTCATERER#1</t>
        </is>
      </c>
      <c r="D339" s="5" t="inlineStr"/>
      <c r="E339" s="6" t="n">
        <v>17</v>
      </c>
      <c r="F339" s="5" t="n"/>
      <c r="G339" s="5" t="n"/>
      <c r="H339" s="5" t="n"/>
      <c r="I339" s="5" t="n"/>
      <c r="J339" s="7">
        <f>IF(AND(N(F339)&gt;0,N(I339)&gt;0),I339-F339-IF(N(G339)&gt;0,0.5,0)-IF(N(H339)&gt;0,0.5,0),0)</f>
        <v/>
      </c>
      <c r="K339" s="5" t="n"/>
      <c r="L339" s="7">
        <f>MIN(J339,8.0)</f>
        <v/>
      </c>
      <c r="M339" s="7">
        <f>MAX(0,MIN(J339,12)-8.0)</f>
        <v/>
      </c>
      <c r="N339" s="7">
        <f>MAX(0,J339-12)</f>
        <v/>
      </c>
      <c r="O339" s="5" t="n"/>
      <c r="P339" s="6">
        <f>E339*(L339+M339*1.5+N339*2+O339*3+N(K339))</f>
        <v/>
      </c>
      <c r="Q339" s="6" t="n">
        <v>340</v>
      </c>
      <c r="R339" s="6">
        <f>Q339-P339</f>
        <v/>
      </c>
    </row>
    <row r="340">
      <c r="A340" s="5" t="inlineStr">
        <is>
          <t>3621</t>
        </is>
      </c>
      <c r="B340" s="5" t="inlineStr"/>
      <c r="C340" s="5" t="inlineStr">
        <is>
          <t>1STASSTCATERER#2</t>
        </is>
      </c>
      <c r="D340" s="5" t="inlineStr"/>
      <c r="E340" s="6" t="n">
        <v>16</v>
      </c>
      <c r="F340" s="5" t="n"/>
      <c r="G340" s="5" t="n"/>
      <c r="H340" s="5" t="n"/>
      <c r="I340" s="5" t="n"/>
      <c r="J340" s="7">
        <f>IF(AND(N(F340)&gt;0,N(I340)&gt;0),I340-F340-IF(N(G340)&gt;0,0.5,0)-IF(N(H340)&gt;0,0.5,0),0)</f>
        <v/>
      </c>
      <c r="K340" s="5" t="n"/>
      <c r="L340" s="7">
        <f>MIN(J340,8.0)</f>
        <v/>
      </c>
      <c r="M340" s="7">
        <f>MAX(0,MIN(J340,12)-8.0)</f>
        <v/>
      </c>
      <c r="N340" s="7">
        <f>MAX(0,J340-12)</f>
        <v/>
      </c>
      <c r="O340" s="5" t="n"/>
      <c r="P340" s="6">
        <f>E340*(L340+M340*1.5+N340*2+O340*3+N(K340))</f>
        <v/>
      </c>
      <c r="Q340" s="6" t="n">
        <v>320</v>
      </c>
      <c r="R340" s="6">
        <f>Q340-P340</f>
        <v/>
      </c>
    </row>
    <row r="341">
      <c r="P341" s="2" t="inlineStr">
        <is>
          <t>CATERINGLABOR LABOR</t>
        </is>
      </c>
      <c r="R341" s="8">
        <f>SUM(R338:R340)</f>
        <v/>
      </c>
    </row>
    <row r="343">
      <c r="K343" s="9" t="inlineStr">
        <is>
          <t>TOTAL</t>
        </is>
      </c>
      <c r="P343" s="9" t="inlineStr">
        <is>
          <t>ACTUAL</t>
        </is>
      </c>
      <c r="Q343" s="9" t="inlineStr">
        <is>
          <t>BUDGET</t>
        </is>
      </c>
      <c r="R343" s="9" t="inlineStr">
        <is>
          <t>TOTAL VAR</t>
        </is>
      </c>
    </row>
    <row r="344">
      <c r="P344" s="9" t="inlineStr">
        <is>
          <t>DAY COST</t>
        </is>
      </c>
      <c r="Q344" s="9" t="inlineStr">
        <is>
          <t>DY COST</t>
        </is>
      </c>
      <c r="R344" s="9" t="inlineStr">
        <is>
          <t>(OVER) / UNDER</t>
        </is>
      </c>
    </row>
    <row r="345">
      <c r="P345" s="10">
        <f>SUM(P6:P6)+SUM(P10:P11)+SUM(P15:P17)+SUM(P21:P22)+SUM(P26:P32)+SUM(P36:P36)+SUM(P40:P41)+SUM(P45:P45)+SUM(P49:P49)+SUM(P53:P54)+SUM(P58:P58)+SUM(P62:P62)+SUM(P66:P67)+SUM(P71:P71)+SUM(P75:P75)+SUM(P79:P80)+SUM(P84:P84)+SUM(P88:P88)+SUM(P92:P93)+SUM(P97:P100)+SUM(P104:P104)+SUM(P108:P109)+SUM(P113:P113)+SUM(P117:P117)+SUM(P121:P121)+SUM(P125:P125)+SUM(P129:P130)+SUM(P134:P134)+SUM(P138:P139)+SUM(P143:P145)+SUM(P149:P149)+SUM(P153:P153)+SUM(P157:P158)+SUM(P162:P163)+SUM(P167:P167)+SUM(P171:P173)+SUM(P177:P177)+SUM(P181:P181)+SUM(P185:P187)+SUM(P191:P191)+SUM(P195:P195)+SUM(P199:P199)+SUM(P203:P203)+SUM(P207:P207)+SUM(P211:P211)+SUM(P215:P216)+SUM(P220:P220)+SUM(P224:P224)+SUM(P228:P228)+SUM(P232:P233)+SUM(P237:P237)+SUM(P241:P241)+SUM(P245:P245)+SUM(P249:P249)+SUM(P253:P254)+SUM(P258:P260)+SUM(P264:P264)+SUM(P268:P268)+SUM(P272:P272)+SUM(P276:P276)+SUM(P280:P281)+SUM(P285:P286)+SUM(P290:P290)+SUM(P294:P294)+SUM(P298:P298)+SUM(P302:P302)+SUM(P306:P306)+SUM(P310:P310)+SUM(P314:P315)+SUM(P319:P330)+SUM(P334:P334)+SUM(P338:P340)</f>
        <v/>
      </c>
      <c r="Q345" s="10">
        <f>SUM(Q6:Q6)+SUM(Q10:Q11)+SUM(Q15:Q17)+SUM(Q21:Q22)+SUM(Q26:Q32)+SUM(Q36:Q36)+SUM(Q40:Q41)+SUM(Q45:Q45)+SUM(Q49:Q49)+SUM(Q53:Q54)+SUM(Q58:Q58)+SUM(Q62:Q62)+SUM(Q66:Q67)+SUM(Q71:Q71)+SUM(Q75:Q75)+SUM(Q79:Q80)+SUM(Q84:Q84)+SUM(Q88:Q88)+SUM(Q92:Q93)+SUM(Q97:Q100)+SUM(Q104:Q104)+SUM(Q108:Q109)+SUM(Q113:Q113)+SUM(Q117:Q117)+SUM(Q121:Q121)+SUM(Q125:Q125)+SUM(Q129:Q130)+SUM(Q134:Q134)+SUM(Q138:Q139)+SUM(Q143:Q145)+SUM(Q149:Q149)+SUM(Q153:Q153)+SUM(Q157:Q158)+SUM(Q162:Q163)+SUM(Q167:Q167)+SUM(Q171:Q173)+SUM(Q177:Q177)+SUM(Q181:Q181)+SUM(Q185:Q187)+SUM(Q191:Q191)+SUM(Q195:Q195)+SUM(Q199:Q199)+SUM(Q203:Q203)+SUM(Q207:Q207)+SUM(Q211:Q211)+SUM(Q215:Q216)+SUM(Q220:Q220)+SUM(Q224:Q224)+SUM(Q228:Q228)+SUM(Q232:Q233)+SUM(Q237:Q237)+SUM(Q241:Q241)+SUM(Q245:Q245)+SUM(Q249:Q249)+SUM(Q253:Q254)+SUM(Q258:Q260)+SUM(Q264:Q264)+SUM(Q268:Q268)+SUM(Q272:Q272)+SUM(Q276:Q276)+SUM(Q280:Q281)+SUM(Q285:Q286)+SUM(Q290:Q290)+SUM(Q294:Q294)+SUM(Q298:Q298)+SUM(Q302:Q302)+SUM(Q306:Q306)+SUM(Q310:Q310)+SUM(Q314:Q315)+SUM(Q319:Q330)+SUM(Q334:Q334)+SUM(Q338:Q340)</f>
        <v/>
      </c>
      <c r="R345" s="10">
        <f>SUM(R6:R6)+SUM(R10:R11)+SUM(R15:R17)+SUM(R21:R22)+SUM(R26:R32)+SUM(R36:R36)+SUM(R40:R41)+SUM(R45:R45)+SUM(R49:R49)+SUM(R53:R54)+SUM(R58:R58)+SUM(R62:R62)+SUM(R66:R67)+SUM(R71:R71)+SUM(R75:R75)+SUM(R79:R80)+SUM(R84:R84)+SUM(R88:R88)+SUM(R92:R93)+SUM(R97:R100)+SUM(R104:R104)+SUM(R108:R109)+SUM(R113:R113)+SUM(R117:R117)+SUM(R121:R121)+SUM(R125:R125)+SUM(R129:R130)+SUM(R134:R134)+SUM(R138:R139)+SUM(R143:R145)+SUM(R149:R149)+SUM(R153:R153)+SUM(R157:R158)+SUM(R162:R163)+SUM(R167:R167)+SUM(R171:R173)+SUM(R177:R177)+SUM(R181:R181)+SUM(R185:R187)+SUM(R191:R191)+SUM(R195:R195)+SUM(R199:R199)+SUM(R203:R203)+SUM(R207:R207)+SUM(R211:R211)+SUM(R215:R216)+SUM(R220:R220)+SUM(R224:R224)+SUM(R228:R228)+SUM(R232:R233)+SUM(R237:R237)+SUM(R241:R241)+SUM(R245:R245)+SUM(R249:R249)+SUM(R253:R254)+SUM(R258:R260)+SUM(R264:R264)+SUM(R268:R268)+SUM(R272:R272)+SUM(R276:R276)+SUM(R280:R281)+SUM(R285:R286)+SUM(R290:R290)+SUM(R294:R294)+SUM(R298:R298)+SUM(R302:R302)+SUM(R306:R306)+SUM(R310:R310)+SUM(R314:R315)+SUM(R319:R330)+SUM(R334:R334)+SUM(R338:R340)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R34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20" customWidth="1" min="3" max="3"/>
    <col width="9" customWidth="1" min="4" max="4"/>
    <col width="9" customWidth="1" min="5" max="5"/>
    <col width="7" customWidth="1" min="6" max="6"/>
    <col width="7" customWidth="1" min="7" max="7"/>
    <col width="8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12" customWidth="1" min="16" max="16"/>
    <col width="13" customWidth="1" min="17" max="17"/>
    <col width="14" customWidth="1" min="18" max="18"/>
  </cols>
  <sheetData>
    <row r="1">
      <c r="A1" s="1" t="inlineStr">
        <is>
          <t>HOT COST</t>
        </is>
      </c>
      <c r="C1" t="inlineStr">
        <is>
          <t>Tuesday 07 Nov 2017</t>
        </is>
      </c>
      <c r="F1" s="2" t="inlineStr">
        <is>
          <t>DAY #17</t>
        </is>
      </c>
    </row>
    <row r="2">
      <c r="A2" s="3" t="inlineStr">
        <is>
          <t>enter CALL, LUNCH, WRAP as decimal hours (e.g. 7.5) — everything right of WRAP computes</t>
        </is>
      </c>
    </row>
    <row r="4">
      <c r="A4" s="4" t="inlineStr">
        <is>
          <t>ACCT</t>
        </is>
      </c>
      <c r="B4" s="4" t="inlineStr">
        <is>
          <t>NAME</t>
        </is>
      </c>
      <c r="C4" s="4" t="inlineStr">
        <is>
          <t>POSITION</t>
        </is>
      </c>
      <c r="D4" s="4" t="inlineStr">
        <is>
          <t>UNION</t>
        </is>
      </c>
      <c r="E4" s="4" t="inlineStr">
        <is>
          <t>RATE</t>
        </is>
      </c>
      <c r="F4" s="4" t="inlineStr">
        <is>
          <t>CALL</t>
        </is>
      </c>
      <c r="G4" s="4" t="inlineStr">
        <is>
          <t>LUNCH</t>
        </is>
      </c>
      <c r="H4" s="4" t="inlineStr">
        <is>
          <t>LUNCH 2</t>
        </is>
      </c>
      <c r="I4" s="4" t="inlineStr">
        <is>
          <t>WRAP</t>
        </is>
      </c>
      <c r="J4" s="4" t="inlineStr">
        <is>
          <t>HRS</t>
        </is>
      </c>
      <c r="K4" s="4" t="inlineStr">
        <is>
          <t>MP'S</t>
        </is>
      </c>
      <c r="L4" s="4" t="inlineStr">
        <is>
          <t>ST</t>
        </is>
      </c>
      <c r="M4" s="4" t="inlineStr">
        <is>
          <t>1.5X</t>
        </is>
      </c>
      <c r="N4" s="4" t="inlineStr">
        <is>
          <t>2X</t>
        </is>
      </c>
      <c r="O4" s="4" t="inlineStr">
        <is>
          <t>3X</t>
        </is>
      </c>
      <c r="P4" s="4" t="inlineStr">
        <is>
          <t>TOTAL / DAY</t>
        </is>
      </c>
      <c r="Q4" s="4" t="inlineStr">
        <is>
          <t>BUDGET / DAY</t>
        </is>
      </c>
      <c r="R4" s="4" t="inlineStr">
        <is>
          <t>(OVER) / UNDER</t>
        </is>
      </c>
    </row>
    <row r="5">
      <c r="B5" s="2" t="inlineStr">
        <is>
          <t>LEAD#</t>
        </is>
      </c>
    </row>
    <row r="6">
      <c r="A6" s="5" t="inlineStr">
        <is>
          <t>1401</t>
        </is>
      </c>
      <c r="B6" s="5" t="inlineStr">
        <is>
          <t>Linda Cardellini</t>
        </is>
      </c>
      <c r="C6" s="5" t="inlineStr">
        <is>
          <t>"ANNA"</t>
        </is>
      </c>
      <c r="D6" s="5" t="inlineStr"/>
      <c r="E6" s="6" t="n">
        <v>1211.8</v>
      </c>
      <c r="F6" s="5" t="n"/>
      <c r="G6" s="5" t="n"/>
      <c r="H6" s="5" t="n"/>
      <c r="I6" s="5" t="n"/>
      <c r="J6" s="7">
        <f>IF(AND(N(F6)&gt;0,N(I6)&gt;0),I6-F6-IF(N(G6)&gt;0,0.5,0)-IF(N(H6)&gt;0,0.5,0),0)</f>
        <v/>
      </c>
      <c r="K6" s="5" t="n"/>
      <c r="L6" s="7">
        <f>MIN(J6,8.0)</f>
        <v/>
      </c>
      <c r="M6" s="7">
        <f>MAX(0,MIN(J6,12)-8.0)</f>
        <v/>
      </c>
      <c r="N6" s="7">
        <f>MAX(0,J6-12)</f>
        <v/>
      </c>
      <c r="O6" s="5" t="n"/>
      <c r="P6" s="6">
        <f>E6*(L6+M6*1.5+N6*2+O6*3+N(K6))</f>
        <v/>
      </c>
      <c r="Q6" s="6" t="n">
        <v>1211.8</v>
      </c>
      <c r="R6" s="6">
        <f>Q6-P6</f>
        <v/>
      </c>
    </row>
    <row r="7">
      <c r="P7" s="2" t="inlineStr">
        <is>
          <t>LEAD# LABOR</t>
        </is>
      </c>
      <c r="R7" s="8">
        <f>SUM(R6:R6)</f>
        <v/>
      </c>
    </row>
    <row r="9">
      <c r="B9" s="2" t="inlineStr">
        <is>
          <t>LEAD#2&amp;#</t>
        </is>
      </c>
    </row>
    <row r="10">
      <c r="A10" s="5" t="inlineStr">
        <is>
          <t>1402</t>
        </is>
      </c>
      <c r="B10" s="5" t="inlineStr">
        <is>
          <t>Roman Christou</t>
        </is>
      </c>
      <c r="C10" s="5" t="inlineStr">
        <is>
          <t>"CHRIS"(Minor)</t>
        </is>
      </c>
      <c r="D10" s="5" t="inlineStr"/>
      <c r="E10" s="6" t="n">
        <v>755.4</v>
      </c>
      <c r="F10" s="5" t="n"/>
      <c r="G10" s="5" t="n"/>
      <c r="H10" s="5" t="n"/>
      <c r="I10" s="5" t="n"/>
      <c r="J10" s="7">
        <f>IF(AND(N(F10)&gt;0,N(I10)&gt;0),I10-F10-IF(N(G10)&gt;0,0.5,0)-IF(N(H10)&gt;0,0.5,0),0)</f>
        <v/>
      </c>
      <c r="K10" s="5" t="n"/>
      <c r="L10" s="7">
        <f>MIN(J10,8.0)</f>
        <v/>
      </c>
      <c r="M10" s="7">
        <f>MAX(0,MIN(J10,12)-8.0)</f>
        <v/>
      </c>
      <c r="N10" s="7">
        <f>MAX(0,J10-12)</f>
        <v/>
      </c>
      <c r="O10" s="5" t="n"/>
      <c r="P10" s="6">
        <f>E10*(L10+M10*1.5+N10*2+O10*3+N(K10))</f>
        <v/>
      </c>
      <c r="Q10" s="6" t="n">
        <v>755.4</v>
      </c>
      <c r="R10" s="6">
        <f>Q10-P10</f>
        <v/>
      </c>
    </row>
    <row r="11">
      <c r="A11" s="5" t="inlineStr">
        <is>
          <t>1402</t>
        </is>
      </c>
      <c r="B11" s="5" t="inlineStr">
        <is>
          <t>Jaynee Lynee Kinchen</t>
        </is>
      </c>
      <c r="C11" s="5" t="inlineStr">
        <is>
          <t>"SAMANTHA"(Minor)</t>
        </is>
      </c>
      <c r="D11" s="5" t="inlineStr"/>
      <c r="E11" s="6" t="n">
        <v>755.4</v>
      </c>
      <c r="F11" s="5" t="n"/>
      <c r="G11" s="5" t="n"/>
      <c r="H11" s="5" t="n"/>
      <c r="I11" s="5" t="n"/>
      <c r="J11" s="7">
        <f>IF(AND(N(F11)&gt;0,N(I11)&gt;0),I11-F11-IF(N(G11)&gt;0,0.5,0)-IF(N(H11)&gt;0,0.5,0),0)</f>
        <v/>
      </c>
      <c r="K11" s="5" t="n"/>
      <c r="L11" s="7">
        <f>MIN(J11,8.0)</f>
        <v/>
      </c>
      <c r="M11" s="7">
        <f>MAX(0,MIN(J11,12)-8.0)</f>
        <v/>
      </c>
      <c r="N11" s="7">
        <f>MAX(0,J11-12)</f>
        <v/>
      </c>
      <c r="O11" s="5" t="n"/>
      <c r="P11" s="6">
        <f>E11*(L11+M11*1.5+N11*2+O11*3+N(K11))</f>
        <v/>
      </c>
      <c r="Q11" s="6" t="n">
        <v>755.4</v>
      </c>
      <c r="R11" s="6">
        <f>Q11-P11</f>
        <v/>
      </c>
    </row>
    <row r="12">
      <c r="P12" s="2" t="inlineStr">
        <is>
          <t>LEAD#2&amp;# LABOR</t>
        </is>
      </c>
      <c r="R12" s="8">
        <f>SUM(R10:R11)</f>
        <v/>
      </c>
    </row>
    <row r="14">
      <c r="B14" s="2" t="inlineStr">
        <is>
          <t>OTHERLEADCAST</t>
        </is>
      </c>
    </row>
    <row r="15">
      <c r="A15" s="5" t="inlineStr">
        <is>
          <t>1403</t>
        </is>
      </c>
      <c r="B15" s="5" t="inlineStr">
        <is>
          <t>Raymond Cruz</t>
        </is>
      </c>
      <c r="C15" s="5" t="inlineStr">
        <is>
          <t>"RAFAELOLVERA"</t>
        </is>
      </c>
      <c r="D15" s="5" t="inlineStr"/>
      <c r="E15" s="6" t="n">
        <v>1211.8</v>
      </c>
      <c r="F15" s="5" t="n"/>
      <c r="G15" s="5" t="n"/>
      <c r="H15" s="5" t="n"/>
      <c r="I15" s="5" t="n"/>
      <c r="J15" s="7">
        <f>IF(AND(N(F15)&gt;0,N(I15)&gt;0),I15-F15-IF(N(G15)&gt;0,0.5,0)-IF(N(H15)&gt;0,0.5,0),0)</f>
        <v/>
      </c>
      <c r="K15" s="5" t="n"/>
      <c r="L15" s="7">
        <f>MIN(J15,8.0)</f>
        <v/>
      </c>
      <c r="M15" s="7">
        <f>MAX(0,MIN(J15,12)-8.0)</f>
        <v/>
      </c>
      <c r="N15" s="7">
        <f>MAX(0,J15-12)</f>
        <v/>
      </c>
      <c r="O15" s="5" t="n"/>
      <c r="P15" s="6">
        <f>E15*(L15+M15*1.5+N15*2+O15*3+N(K15))</f>
        <v/>
      </c>
      <c r="Q15" s="6" t="n">
        <v>1211.8</v>
      </c>
      <c r="R15" s="6">
        <f>Q15-P15</f>
        <v/>
      </c>
    </row>
    <row r="16">
      <c r="A16" s="5" t="inlineStr">
        <is>
          <t>1403</t>
        </is>
      </c>
      <c r="B16" s="5" t="inlineStr">
        <is>
          <t>Marisol Ramirez</t>
        </is>
      </c>
      <c r="C16" s="5" t="inlineStr">
        <is>
          <t>"LALLORONA"</t>
        </is>
      </c>
      <c r="D16" s="5" t="inlineStr"/>
      <c r="E16" s="6" t="n">
        <v>1211.8</v>
      </c>
      <c r="F16" s="5" t="n"/>
      <c r="G16" s="5" t="n"/>
      <c r="H16" s="5" t="n"/>
      <c r="I16" s="5" t="n"/>
      <c r="J16" s="7">
        <f>IF(AND(N(F16)&gt;0,N(I16)&gt;0),I16-F16-IF(N(G16)&gt;0,0.5,0)-IF(N(H16)&gt;0,0.5,0),0)</f>
        <v/>
      </c>
      <c r="K16" s="5" t="n"/>
      <c r="L16" s="7">
        <f>MIN(J16,8.0)</f>
        <v/>
      </c>
      <c r="M16" s="7">
        <f>MAX(0,MIN(J16,12)-8.0)</f>
        <v/>
      </c>
      <c r="N16" s="7">
        <f>MAX(0,J16-12)</f>
        <v/>
      </c>
      <c r="O16" s="5" t="n"/>
      <c r="P16" s="6">
        <f>E16*(L16+M16*1.5+N16*2+O16*3+N(K16))</f>
        <v/>
      </c>
      <c r="Q16" s="6" t="n">
        <v>1211.8</v>
      </c>
      <c r="R16" s="6">
        <f>Q16-P16</f>
        <v/>
      </c>
    </row>
    <row r="17">
      <c r="A17" s="5" t="inlineStr">
        <is>
          <t>1403</t>
        </is>
      </c>
      <c r="B17" s="5" t="inlineStr">
        <is>
          <t>Patrica Velasquez</t>
        </is>
      </c>
      <c r="C17" s="5" t="inlineStr">
        <is>
          <t>"PATRICIA"</t>
        </is>
      </c>
      <c r="D17" s="5" t="inlineStr"/>
      <c r="E17" s="6" t="n">
        <v>1972</v>
      </c>
      <c r="F17" s="5" t="n"/>
      <c r="G17" s="5" t="n"/>
      <c r="H17" s="5" t="n"/>
      <c r="I17" s="5" t="n"/>
      <c r="J17" s="7">
        <f>IF(AND(N(F17)&gt;0,N(I17)&gt;0),I17-F17-IF(N(G17)&gt;0,0.5,0)-IF(N(H17)&gt;0,0.5,0),0)</f>
        <v/>
      </c>
      <c r="K17" s="5" t="n"/>
      <c r="L17" s="7">
        <f>MIN(J17,8.0)</f>
        <v/>
      </c>
      <c r="M17" s="7">
        <f>MAX(0,MIN(J17,12)-8.0)</f>
        <v/>
      </c>
      <c r="N17" s="7">
        <f>MAX(0,J17-12)</f>
        <v/>
      </c>
      <c r="O17" s="5" t="n"/>
      <c r="P17" s="6">
        <f>E17*(L17+M17*1.5+N17*2+O17*3+N(K17))</f>
        <v/>
      </c>
      <c r="Q17" s="6" t="n">
        <v>1972</v>
      </c>
      <c r="R17" s="6">
        <f>Q17-P17</f>
        <v/>
      </c>
    </row>
    <row r="18">
      <c r="P18" s="2" t="inlineStr">
        <is>
          <t>OTHERLEADCAST LABOR</t>
        </is>
      </c>
      <c r="R18" s="8">
        <f>SUM(R15:R17)</f>
        <v/>
      </c>
    </row>
    <row r="20">
      <c r="B20" s="2" t="inlineStr">
        <is>
          <t>SUPPORTINGCAST</t>
        </is>
      </c>
    </row>
    <row r="21">
      <c r="A21" s="5" t="inlineStr">
        <is>
          <t>1404</t>
        </is>
      </c>
      <c r="B21" s="5" t="inlineStr">
        <is>
          <t>Sean Patrick Thomas</t>
        </is>
      </c>
      <c r="C21" s="5" t="inlineStr">
        <is>
          <t>DETCOOPER</t>
        </is>
      </c>
      <c r="D21" s="5" t="inlineStr"/>
      <c r="E21" s="6" t="n">
        <v>1211.8</v>
      </c>
      <c r="F21" s="5" t="n"/>
      <c r="G21" s="5" t="n"/>
      <c r="H21" s="5" t="n"/>
      <c r="I21" s="5" t="n"/>
      <c r="J21" s="7">
        <f>IF(AND(N(F21)&gt;0,N(I21)&gt;0),I21-F21-IF(N(G21)&gt;0,0.5,0)-IF(N(H21)&gt;0,0.5,0),0)</f>
        <v/>
      </c>
      <c r="K21" s="5" t="n"/>
      <c r="L21" s="7">
        <f>MIN(J21,8.0)</f>
        <v/>
      </c>
      <c r="M21" s="7">
        <f>MAX(0,MIN(J21,12)-8.0)</f>
        <v/>
      </c>
      <c r="N21" s="7">
        <f>MAX(0,J21-12)</f>
        <v/>
      </c>
      <c r="O21" s="5" t="n"/>
      <c r="P21" s="6">
        <f>E21*(L21+M21*1.5+N21*2+O21*3+N(K21))</f>
        <v/>
      </c>
      <c r="Q21" s="6" t="n">
        <v>1211.8</v>
      </c>
      <c r="R21" s="6">
        <f>Q21-P21</f>
        <v/>
      </c>
    </row>
    <row r="22">
      <c r="A22" s="5" t="inlineStr">
        <is>
          <t>1404</t>
        </is>
      </c>
      <c r="B22" s="5" t="inlineStr">
        <is>
          <t>Tony Amendola</t>
        </is>
      </c>
      <c r="C22" s="5" t="inlineStr">
        <is>
          <t>"FATHERPEREZ"</t>
        </is>
      </c>
      <c r="D22" s="5" t="inlineStr"/>
      <c r="E22" s="6" t="n">
        <v>1972</v>
      </c>
      <c r="F22" s="5" t="n"/>
      <c r="G22" s="5" t="n"/>
      <c r="H22" s="5" t="n"/>
      <c r="I22" s="5" t="n"/>
      <c r="J22" s="7">
        <f>IF(AND(N(F22)&gt;0,N(I22)&gt;0),I22-F22-IF(N(G22)&gt;0,0.5,0)-IF(N(H22)&gt;0,0.5,0),0)</f>
        <v/>
      </c>
      <c r="K22" s="5" t="n"/>
      <c r="L22" s="7">
        <f>MIN(J22,8.0)</f>
        <v/>
      </c>
      <c r="M22" s="7">
        <f>MAX(0,MIN(J22,12)-8.0)</f>
        <v/>
      </c>
      <c r="N22" s="7">
        <f>MAX(0,J22-12)</f>
        <v/>
      </c>
      <c r="O22" s="5" t="n"/>
      <c r="P22" s="6">
        <f>E22*(L22+M22*1.5+N22*2+O22*3+N(K22))</f>
        <v/>
      </c>
      <c r="Q22" s="6" t="n">
        <v>1972</v>
      </c>
      <c r="R22" s="6">
        <f>Q22-P22</f>
        <v/>
      </c>
    </row>
    <row r="23">
      <c r="P23" s="2" t="inlineStr">
        <is>
          <t>SUPPORTINGCAST LABOR</t>
        </is>
      </c>
      <c r="R23" s="8">
        <f>SUM(R21:R22)</f>
        <v/>
      </c>
    </row>
    <row r="25">
      <c r="B25" s="2" t="inlineStr">
        <is>
          <t>DAYPLAYERS</t>
        </is>
      </c>
    </row>
    <row r="26">
      <c r="A26" s="5" t="inlineStr">
        <is>
          <t>1405</t>
        </is>
      </c>
      <c r="B26" s="5" t="inlineStr">
        <is>
          <t>Kristy Keng(Drop/Pickup)</t>
        </is>
      </c>
      <c r="C26" s="5" t="inlineStr">
        <is>
          <t>"DONNA"</t>
        </is>
      </c>
      <c r="D26" s="5" t="inlineStr"/>
      <c r="E26" s="6" t="n">
        <v>1972</v>
      </c>
      <c r="F26" s="5" t="n"/>
      <c r="G26" s="5" t="n"/>
      <c r="H26" s="5" t="n"/>
      <c r="I26" s="5" t="n"/>
      <c r="J26" s="7">
        <f>IF(AND(N(F26)&gt;0,N(I26)&gt;0),I26-F26-IF(N(G26)&gt;0,0.5,0)-IF(N(H26)&gt;0,0.5,0),0)</f>
        <v/>
      </c>
      <c r="K26" s="5" t="n"/>
      <c r="L26" s="7">
        <f>MIN(J26,8.0)</f>
        <v/>
      </c>
      <c r="M26" s="7">
        <f>MAX(0,MIN(J26,12)-8.0)</f>
        <v/>
      </c>
      <c r="N26" s="7">
        <f>MAX(0,J26-12)</f>
        <v/>
      </c>
      <c r="O26" s="5" t="n"/>
      <c r="P26" s="6">
        <f>E26*(L26+M26*1.5+N26*2+O26*3+N(K26))</f>
        <v/>
      </c>
      <c r="Q26" s="6" t="n">
        <v>1972</v>
      </c>
      <c r="R26" s="6">
        <f>Q26-P26</f>
        <v/>
      </c>
    </row>
    <row r="27">
      <c r="A27" s="5" t="inlineStr">
        <is>
          <t>1405</t>
        </is>
      </c>
      <c r="B27" s="5" t="inlineStr">
        <is>
          <t>Oliver Alexander</t>
        </is>
      </c>
      <c r="C27" s="5" t="inlineStr">
        <is>
          <t>"CARLOS"(Minor)</t>
        </is>
      </c>
      <c r="D27" s="5" t="inlineStr"/>
      <c r="E27" s="6" t="n">
        <v>1249</v>
      </c>
      <c r="F27" s="5" t="n"/>
      <c r="G27" s="5" t="n"/>
      <c r="H27" s="5" t="n"/>
      <c r="I27" s="5" t="n"/>
      <c r="J27" s="7">
        <f>IF(AND(N(F27)&gt;0,N(I27)&gt;0),I27-F27-IF(N(G27)&gt;0,0.5,0)-IF(N(H27)&gt;0,0.5,0),0)</f>
        <v/>
      </c>
      <c r="K27" s="5" t="n"/>
      <c r="L27" s="7">
        <f>MIN(J27,8.0)</f>
        <v/>
      </c>
      <c r="M27" s="7">
        <f>MAX(0,MIN(J27,12)-8.0)</f>
        <v/>
      </c>
      <c r="N27" s="7">
        <f>MAX(0,J27-12)</f>
        <v/>
      </c>
      <c r="O27" s="5" t="n"/>
      <c r="P27" s="6">
        <f>E27*(L27+M27*1.5+N27*2+O27*3+N(K27))</f>
        <v/>
      </c>
      <c r="Q27" s="6" t="n">
        <v>1249</v>
      </c>
      <c r="R27" s="6">
        <f>Q27-P27</f>
        <v/>
      </c>
    </row>
    <row r="28">
      <c r="A28" s="5" t="inlineStr">
        <is>
          <t>1405</t>
        </is>
      </c>
      <c r="B28" s="5" t="inlineStr">
        <is>
          <t>Adam Lewandowski</t>
        </is>
      </c>
      <c r="C28" s="5" t="inlineStr">
        <is>
          <t>"TOMAS"(Minor)</t>
        </is>
      </c>
      <c r="D28" s="5" t="inlineStr"/>
      <c r="E28" s="6" t="n">
        <v>1249</v>
      </c>
      <c r="F28" s="5" t="n"/>
      <c r="G28" s="5" t="n"/>
      <c r="H28" s="5" t="n"/>
      <c r="I28" s="5" t="n"/>
      <c r="J28" s="7">
        <f>IF(AND(N(F28)&gt;0,N(I28)&gt;0),I28-F28-IF(N(G28)&gt;0,0.5,0)-IF(N(H28)&gt;0,0.5,0),0)</f>
        <v/>
      </c>
      <c r="K28" s="5" t="n"/>
      <c r="L28" s="7">
        <f>MIN(J28,8.0)</f>
        <v/>
      </c>
      <c r="M28" s="7">
        <f>MAX(0,MIN(J28,12)-8.0)</f>
        <v/>
      </c>
      <c r="N28" s="7">
        <f>MAX(0,J28-12)</f>
        <v/>
      </c>
      <c r="O28" s="5" t="n"/>
      <c r="P28" s="6">
        <f>E28*(L28+M28*1.5+N28*2+O28*3+N(K28))</f>
        <v/>
      </c>
      <c r="Q28" s="6" t="n">
        <v>1249</v>
      </c>
      <c r="R28" s="6">
        <f>Q28-P28</f>
        <v/>
      </c>
    </row>
    <row r="29">
      <c r="A29" s="5" t="inlineStr">
        <is>
          <t>1405</t>
        </is>
      </c>
      <c r="B29" s="5" t="inlineStr">
        <is>
          <t>Paul Rodriquez Jr.</t>
        </is>
      </c>
      <c r="C29" s="5" t="inlineStr">
        <is>
          <t>"OFFICERCLARO"</t>
        </is>
      </c>
      <c r="D29" s="5" t="inlineStr"/>
      <c r="E29" s="6" t="n">
        <v>1972</v>
      </c>
      <c r="F29" s="5" t="n"/>
      <c r="G29" s="5" t="n"/>
      <c r="H29" s="5" t="n"/>
      <c r="I29" s="5" t="n"/>
      <c r="J29" s="7">
        <f>IF(AND(N(F29)&gt;0,N(I29)&gt;0),I29-F29-IF(N(G29)&gt;0,0.5,0)-IF(N(H29)&gt;0,0.5,0),0)</f>
        <v/>
      </c>
      <c r="K29" s="5" t="n"/>
      <c r="L29" s="7">
        <f>MIN(J29,8.0)</f>
        <v/>
      </c>
      <c r="M29" s="7">
        <f>MAX(0,MIN(J29,12)-8.0)</f>
        <v/>
      </c>
      <c r="N29" s="7">
        <f>MAX(0,J29-12)</f>
        <v/>
      </c>
      <c r="O29" s="5" t="n"/>
      <c r="P29" s="6">
        <f>E29*(L29+M29*1.5+N29*2+O29*3+N(K29))</f>
        <v/>
      </c>
      <c r="Q29" s="6" t="n">
        <v>1972</v>
      </c>
      <c r="R29" s="6">
        <f>Q29-P29</f>
        <v/>
      </c>
    </row>
    <row r="30">
      <c r="A30" s="5" t="inlineStr">
        <is>
          <t>1405</t>
        </is>
      </c>
      <c r="B30" s="5" t="inlineStr">
        <is>
          <t>Sophia Santi</t>
        </is>
      </c>
      <c r="C30" s="5" t="inlineStr">
        <is>
          <t>"FEMALECUSTOMER"</t>
        </is>
      </c>
      <c r="D30" s="5" t="inlineStr"/>
      <c r="E30" s="6" t="n">
        <v>1972</v>
      </c>
      <c r="F30" s="5" t="n"/>
      <c r="G30" s="5" t="n"/>
      <c r="H30" s="5" t="n"/>
      <c r="I30" s="5" t="n"/>
      <c r="J30" s="7">
        <f>IF(AND(N(F30)&gt;0,N(I30)&gt;0),I30-F30-IF(N(G30)&gt;0,0.5,0)-IF(N(H30)&gt;0,0.5,0),0)</f>
        <v/>
      </c>
      <c r="K30" s="5" t="n"/>
      <c r="L30" s="7">
        <f>MIN(J30,8.0)</f>
        <v/>
      </c>
      <c r="M30" s="7">
        <f>MAX(0,MIN(J30,12)-8.0)</f>
        <v/>
      </c>
      <c r="N30" s="7">
        <f>MAX(0,J30-12)</f>
        <v/>
      </c>
      <c r="O30" s="5" t="n"/>
      <c r="P30" s="6">
        <f>E30*(L30+M30*1.5+N30*2+O30*3+N(K30))</f>
        <v/>
      </c>
      <c r="Q30" s="6" t="n">
        <v>1972</v>
      </c>
      <c r="R30" s="6">
        <f>Q30-P30</f>
        <v/>
      </c>
    </row>
    <row r="31">
      <c r="A31" s="5" t="inlineStr">
        <is>
          <t>1405</t>
        </is>
      </c>
      <c r="B31" s="5" t="inlineStr">
        <is>
          <t>John Marshall Jones</t>
        </is>
      </c>
      <c r="C31" s="5" t="inlineStr">
        <is>
          <t>"MRHANKINS"</t>
        </is>
      </c>
      <c r="D31" s="5" t="inlineStr"/>
      <c r="E31" s="6" t="n">
        <v>1972</v>
      </c>
      <c r="F31" s="5" t="n"/>
      <c r="G31" s="5" t="n"/>
      <c r="H31" s="5" t="n"/>
      <c r="I31" s="5" t="n"/>
      <c r="J31" s="7">
        <f>IF(AND(N(F31)&gt;0,N(I31)&gt;0),I31-F31-IF(N(G31)&gt;0,0.5,0)-IF(N(H31)&gt;0,0.5,0),0)</f>
        <v/>
      </c>
      <c r="K31" s="5" t="n"/>
      <c r="L31" s="7">
        <f>MIN(J31,8.0)</f>
        <v/>
      </c>
      <c r="M31" s="7">
        <f>MAX(0,MIN(J31,12)-8.0)</f>
        <v/>
      </c>
      <c r="N31" s="7">
        <f>MAX(0,J31-12)</f>
        <v/>
      </c>
      <c r="O31" s="5" t="n"/>
      <c r="P31" s="6">
        <f>E31*(L31+M31*1.5+N31*2+O31*3+N(K31))</f>
        <v/>
      </c>
      <c r="Q31" s="6" t="n">
        <v>1972</v>
      </c>
      <c r="R31" s="6">
        <f>Q31-P31</f>
        <v/>
      </c>
    </row>
    <row r="32">
      <c r="A32" s="5" t="inlineStr">
        <is>
          <t>1405</t>
        </is>
      </c>
      <c r="B32" s="5" t="inlineStr">
        <is>
          <t>Madeleine Mcgraw</t>
        </is>
      </c>
      <c r="C32" s="5" t="inlineStr">
        <is>
          <t>"APRIL"(Minor)</t>
        </is>
      </c>
      <c r="D32" s="5" t="inlineStr"/>
      <c r="E32" s="6" t="n">
        <v>1249</v>
      </c>
      <c r="F32" s="5" t="n"/>
      <c r="G32" s="5" t="n"/>
      <c r="H32" s="5" t="n"/>
      <c r="I32" s="5" t="n"/>
      <c r="J32" s="7">
        <f>IF(AND(N(F32)&gt;0,N(I32)&gt;0),I32-F32-IF(N(G32)&gt;0,0.5,0)-IF(N(H32)&gt;0,0.5,0),0)</f>
        <v/>
      </c>
      <c r="K32" s="5" t="n"/>
      <c r="L32" s="7">
        <f>MIN(J32,8.0)</f>
        <v/>
      </c>
      <c r="M32" s="7">
        <f>MAX(0,MIN(J32,12)-8.0)</f>
        <v/>
      </c>
      <c r="N32" s="7">
        <f>MAX(0,J32-12)</f>
        <v/>
      </c>
      <c r="O32" s="5" t="n"/>
      <c r="P32" s="6">
        <f>E32*(L32+M32*1.5+N32*2+O32*3+N(K32))</f>
        <v/>
      </c>
      <c r="Q32" s="6" t="n">
        <v>1249</v>
      </c>
      <c r="R32" s="6">
        <f>Q32-P32</f>
        <v/>
      </c>
    </row>
    <row r="33">
      <c r="P33" s="2" t="inlineStr">
        <is>
          <t>DAYPLAYERS LABOR</t>
        </is>
      </c>
      <c r="R33" s="8">
        <f>SUM(R26:R32)</f>
        <v/>
      </c>
    </row>
    <row r="35">
      <c r="B35" s="2" t="inlineStr">
        <is>
          <t>STUNTCOORD</t>
        </is>
      </c>
    </row>
    <row r="36">
      <c r="A36" s="5" t="inlineStr">
        <is>
          <t>1406</t>
        </is>
      </c>
      <c r="B36" s="5" t="inlineStr">
        <is>
          <t>Rob King</t>
        </is>
      </c>
      <c r="C36" s="5" t="inlineStr">
        <is>
          <t>STUNTCOORDINATOR</t>
        </is>
      </c>
      <c r="D36" s="5" t="inlineStr"/>
      <c r="E36" s="6" t="n">
        <v>1173</v>
      </c>
      <c r="F36" s="5" t="n"/>
      <c r="G36" s="5" t="n"/>
      <c r="H36" s="5" t="n"/>
      <c r="I36" s="5" t="n"/>
      <c r="J36" s="7">
        <f>IF(AND(N(F36)&gt;0,N(I36)&gt;0),I36-F36-IF(N(G36)&gt;0,0.5,0)-IF(N(H36)&gt;0,0.5,0),0)</f>
        <v/>
      </c>
      <c r="K36" s="5" t="n"/>
      <c r="L36" s="7">
        <f>MIN(J36,8.0)</f>
        <v/>
      </c>
      <c r="M36" s="7">
        <f>MAX(0,MIN(J36,12)-8.0)</f>
        <v/>
      </c>
      <c r="N36" s="7">
        <f>MAX(0,J36-12)</f>
        <v/>
      </c>
      <c r="O36" s="5" t="n"/>
      <c r="P36" s="6">
        <f>E36*(L36+M36*1.5+N36*2+O36*3+N(K36))</f>
        <v/>
      </c>
      <c r="Q36" s="6" t="n">
        <v>1173</v>
      </c>
      <c r="R36" s="6">
        <f>Q36-P36</f>
        <v/>
      </c>
    </row>
    <row r="37">
      <c r="P37" s="2" t="inlineStr">
        <is>
          <t>STUNTCOORD LABOR</t>
        </is>
      </c>
      <c r="R37" s="8">
        <f>SUM(R36:R36)</f>
        <v/>
      </c>
    </row>
    <row r="39">
      <c r="B39" s="2" t="inlineStr">
        <is>
          <t>TEACHER/WELFAREWORKER</t>
        </is>
      </c>
    </row>
    <row r="40">
      <c r="A40" s="5" t="inlineStr">
        <is>
          <t>1412</t>
        </is>
      </c>
      <c r="B40" s="5" t="inlineStr"/>
      <c r="C40" s="5" t="inlineStr">
        <is>
          <t>WELFAREWORKER</t>
        </is>
      </c>
      <c r="D40" s="5" t="inlineStr">
        <is>
          <t>Local884</t>
        </is>
      </c>
      <c r="E40" s="6" t="n">
        <v>25.5</v>
      </c>
      <c r="F40" s="5" t="n"/>
      <c r="G40" s="5" t="n"/>
      <c r="H40" s="5" t="n"/>
      <c r="I40" s="5" t="n"/>
      <c r="J40" s="7">
        <f>IF(AND(N(F40)&gt;0,N(I40)&gt;0),I40-F40-IF(N(G40)&gt;0,0.5,0)-IF(N(H40)&gt;0,0.5,0),0)</f>
        <v/>
      </c>
      <c r="K40" s="5" t="n"/>
      <c r="L40" s="7">
        <f>MIN(J40,8.0)</f>
        <v/>
      </c>
      <c r="M40" s="7">
        <f>MAX(0,MIN(J40,12)-8.0)</f>
        <v/>
      </c>
      <c r="N40" s="7">
        <f>MAX(0,J40-12)</f>
        <v/>
      </c>
      <c r="O40" s="5" t="n"/>
      <c r="P40" s="6">
        <f>E40*(L40+M40*1.5+N40*2+O40*3+N(K40))</f>
        <v/>
      </c>
      <c r="Q40" s="6" t="n">
        <v>280.5</v>
      </c>
      <c r="R40" s="6">
        <f>Q40-P40</f>
        <v/>
      </c>
    </row>
    <row r="41">
      <c r="A41" s="5" t="inlineStr">
        <is>
          <t>1412</t>
        </is>
      </c>
      <c r="B41" s="5" t="inlineStr"/>
      <c r="C41" s="5" t="inlineStr">
        <is>
          <t>ADDLWELFAREWORKER</t>
        </is>
      </c>
      <c r="D41" s="5" t="inlineStr">
        <is>
          <t>Local884</t>
        </is>
      </c>
      <c r="E41" s="6" t="n">
        <v>25.5</v>
      </c>
      <c r="F41" s="5" t="n"/>
      <c r="G41" s="5" t="n"/>
      <c r="H41" s="5" t="n"/>
      <c r="I41" s="5" t="n"/>
      <c r="J41" s="7">
        <f>IF(AND(N(F41)&gt;0,N(I41)&gt;0),I41-F41-IF(N(G41)&gt;0,0.5,0)-IF(N(H41)&gt;0,0.5,0),0)</f>
        <v/>
      </c>
      <c r="K41" s="5" t="n"/>
      <c r="L41" s="7">
        <f>MIN(J41,8.0)</f>
        <v/>
      </c>
      <c r="M41" s="7">
        <f>MAX(0,MIN(J41,12)-8.0)</f>
        <v/>
      </c>
      <c r="N41" s="7">
        <f>MAX(0,J41-12)</f>
        <v/>
      </c>
      <c r="O41" s="5" t="n"/>
      <c r="P41" s="6">
        <f>E41*(L41+M41*1.5+N41*2+O41*3+N(K41))</f>
        <v/>
      </c>
      <c r="Q41" s="6" t="n">
        <v>280.5</v>
      </c>
      <c r="R41" s="6">
        <f>Q41-P41</f>
        <v/>
      </c>
    </row>
    <row r="42">
      <c r="P42" s="2" t="inlineStr">
        <is>
          <t>TEACHER/WELFAREWORKER LABOR</t>
        </is>
      </c>
      <c r="R42" s="8">
        <f>SUM(R40:R41)</f>
        <v/>
      </c>
    </row>
    <row r="44">
      <c r="B44" s="2" t="inlineStr">
        <is>
          <t>CASTINGDIRECTORS</t>
        </is>
      </c>
    </row>
    <row r="45">
      <c r="A45" s="5" t="inlineStr">
        <is>
          <t>1413</t>
        </is>
      </c>
      <c r="B45" s="5" t="inlineStr">
        <is>
          <t>Rich Delia</t>
        </is>
      </c>
      <c r="C45" s="5" t="inlineStr">
        <is>
          <t>CASTINGDIRECTOR</t>
        </is>
      </c>
      <c r="D45" s="5" t="inlineStr"/>
      <c r="E45" s="6" t="n">
        <v>600</v>
      </c>
      <c r="F45" s="5" t="n"/>
      <c r="G45" s="5" t="n"/>
      <c r="H45" s="5" t="n"/>
      <c r="I45" s="5" t="n"/>
      <c r="J45" s="7">
        <f>IF(AND(N(F45)&gt;0,N(I45)&gt;0),I45-F45-IF(N(G45)&gt;0,0.5,0)-IF(N(H45)&gt;0,0.5,0),0)</f>
        <v/>
      </c>
      <c r="K45" s="5" t="n"/>
      <c r="L45" s="7">
        <f>MIN(J45,8.0)</f>
        <v/>
      </c>
      <c r="M45" s="7">
        <f>MAX(0,MIN(J45,12)-8.0)</f>
        <v/>
      </c>
      <c r="N45" s="7">
        <f>MAX(0,J45-12)</f>
        <v/>
      </c>
      <c r="O45" s="5" t="n"/>
      <c r="P45" s="6">
        <f>E45*(L45+M45*1.5+N45*2+O45*3+N(K45))</f>
        <v/>
      </c>
      <c r="Q45" s="5" t="n"/>
      <c r="R45" s="6">
        <f>Q45-P45</f>
        <v/>
      </c>
    </row>
    <row r="46">
      <c r="P46" s="2" t="inlineStr">
        <is>
          <t>CASTINGDIRECTORS LABOR</t>
        </is>
      </c>
      <c r="R46" s="8">
        <f>SUM(R45:R45)</f>
        <v/>
      </c>
    </row>
    <row r="48">
      <c r="B48" s="2" t="inlineStr">
        <is>
          <t>CASTINGASSOCIATES/ASSISTANTS</t>
        </is>
      </c>
    </row>
    <row r="49">
      <c r="A49" s="5" t="inlineStr">
        <is>
          <t>1414</t>
        </is>
      </c>
      <c r="B49" s="5" t="inlineStr">
        <is>
          <t>Adam Richards</t>
        </is>
      </c>
      <c r="C49" s="5" t="inlineStr">
        <is>
          <t>CASTINGASSOCIATE</t>
        </is>
      </c>
      <c r="D49" s="5" t="inlineStr"/>
      <c r="E49" s="6" t="n">
        <v>200</v>
      </c>
      <c r="F49" s="5" t="n"/>
      <c r="G49" s="5" t="n"/>
      <c r="H49" s="5" t="n"/>
      <c r="I49" s="5" t="n"/>
      <c r="J49" s="7">
        <f>IF(AND(N(F49)&gt;0,N(I49)&gt;0),I49-F49-IF(N(G49)&gt;0,0.5,0)-IF(N(H49)&gt;0,0.5,0),0)</f>
        <v/>
      </c>
      <c r="K49" s="5" t="n"/>
      <c r="L49" s="7">
        <f>MIN(J49,8.0)</f>
        <v/>
      </c>
      <c r="M49" s="7">
        <f>MAX(0,MIN(J49,12)-8.0)</f>
        <v/>
      </c>
      <c r="N49" s="7">
        <f>MAX(0,J49-12)</f>
        <v/>
      </c>
      <c r="O49" s="5" t="n"/>
      <c r="P49" s="6">
        <f>E49*(L49+M49*1.5+N49*2+O49*3+N(K49))</f>
        <v/>
      </c>
      <c r="Q49" s="5" t="n"/>
      <c r="R49" s="6">
        <f>Q49-P49</f>
        <v/>
      </c>
    </row>
    <row r="50">
      <c r="P50" s="2" t="inlineStr">
        <is>
          <t>CASTINGASSOCIATES/ASSISTANTS LABOR</t>
        </is>
      </c>
      <c r="R50" s="8">
        <f>SUM(R49:R49)</f>
        <v/>
      </c>
    </row>
    <row r="52">
      <c r="B52" s="2" t="inlineStr">
        <is>
          <t>CASTDRIVERS/VEHICLES</t>
        </is>
      </c>
    </row>
    <row r="53">
      <c r="A53" s="5" t="inlineStr">
        <is>
          <t>1455</t>
        </is>
      </c>
      <c r="B53" s="5" t="inlineStr"/>
      <c r="C53" s="5" t="inlineStr">
        <is>
          <t>CAST 3-RMDRIVER</t>
        </is>
      </c>
      <c r="D53" s="5" t="inlineStr">
        <is>
          <t>Local399</t>
        </is>
      </c>
      <c r="E53" s="6" t="n">
        <v>32.36</v>
      </c>
      <c r="F53" s="5" t="n"/>
      <c r="G53" s="5" t="n"/>
      <c r="H53" s="5" t="n"/>
      <c r="I53" s="5" t="n"/>
      <c r="J53" s="7">
        <f>IF(AND(N(F53)&gt;0,N(I53)&gt;0),I53-F53-IF(N(G53)&gt;0,0.5,0)-IF(N(H53)&gt;0,0.5,0),0)</f>
        <v/>
      </c>
      <c r="K53" s="5" t="n"/>
      <c r="L53" s="7">
        <f>MIN(J53,8.0)</f>
        <v/>
      </c>
      <c r="M53" s="7">
        <f>MAX(0,MIN(J53,12)-8.0)</f>
        <v/>
      </c>
      <c r="N53" s="7">
        <f>MAX(0,J53-12)</f>
        <v/>
      </c>
      <c r="O53" s="5" t="n"/>
      <c r="P53" s="6">
        <f>E53*(L53+M53*1.5+N53*2+O53*3+N(K53))</f>
        <v/>
      </c>
      <c r="Q53" s="6" t="n">
        <v>501.58</v>
      </c>
      <c r="R53" s="6">
        <f>Q53-P53</f>
        <v/>
      </c>
    </row>
    <row r="54">
      <c r="A54" s="5" t="inlineStr">
        <is>
          <t>1455</t>
        </is>
      </c>
      <c r="B54" s="5" t="inlineStr"/>
      <c r="C54" s="5" t="inlineStr">
        <is>
          <t>CASTMINIVANDRIVER</t>
        </is>
      </c>
      <c r="D54" s="5" t="inlineStr">
        <is>
          <t>Local399</t>
        </is>
      </c>
      <c r="E54" s="6" t="n">
        <v>32.36</v>
      </c>
      <c r="F54" s="5" t="n"/>
      <c r="G54" s="5" t="n"/>
      <c r="H54" s="5" t="n"/>
      <c r="I54" s="5" t="n"/>
      <c r="J54" s="7">
        <f>IF(AND(N(F54)&gt;0,N(I54)&gt;0),I54-F54-IF(N(G54)&gt;0,0.5,0)-IF(N(H54)&gt;0,0.5,0),0)</f>
        <v/>
      </c>
      <c r="K54" s="5" t="n"/>
      <c r="L54" s="7">
        <f>MIN(J54,8.0)</f>
        <v/>
      </c>
      <c r="M54" s="7">
        <f>MAX(0,MIN(J54,12)-8.0)</f>
        <v/>
      </c>
      <c r="N54" s="7">
        <f>MAX(0,J54-12)</f>
        <v/>
      </c>
      <c r="O54" s="5" t="n"/>
      <c r="P54" s="6">
        <f>E54*(L54+M54*1.5+N54*2+O54*3+N(K54))</f>
        <v/>
      </c>
      <c r="Q54" s="6" t="n">
        <v>501.58</v>
      </c>
      <c r="R54" s="6">
        <f>Q54-P54</f>
        <v/>
      </c>
    </row>
    <row r="55">
      <c r="P55" s="2" t="inlineStr">
        <is>
          <t>CASTDRIVERS/VEHICLES LABOR</t>
        </is>
      </c>
      <c r="R55" s="8">
        <f>SUM(R53:R54)</f>
        <v/>
      </c>
    </row>
    <row r="57">
      <c r="B57" s="2" t="inlineStr">
        <is>
          <t>PRODUCTIONMANAGER</t>
        </is>
      </c>
    </row>
    <row r="58">
      <c r="A58" s="5" t="inlineStr">
        <is>
          <t>2001</t>
        </is>
      </c>
      <c r="B58" s="5" t="inlineStr">
        <is>
          <t>Carrie Morrow</t>
        </is>
      </c>
      <c r="C58" s="5" t="inlineStr">
        <is>
          <t>UPM</t>
        </is>
      </c>
      <c r="D58" s="5" t="inlineStr">
        <is>
          <t>DGA</t>
        </is>
      </c>
      <c r="E58" s="6" t="n">
        <v>1063.6</v>
      </c>
      <c r="F58" s="5" t="n"/>
      <c r="G58" s="5" t="n"/>
      <c r="H58" s="5" t="n"/>
      <c r="I58" s="5" t="n"/>
      <c r="J58" s="7">
        <f>IF(AND(N(F58)&gt;0,N(I58)&gt;0),I58-F58-IF(N(G58)&gt;0,0.5,0)-IF(N(H58)&gt;0,0.5,0),0)</f>
        <v/>
      </c>
      <c r="K58" s="5" t="n"/>
      <c r="L58" s="7">
        <f>MIN(J58,8.0)</f>
        <v/>
      </c>
      <c r="M58" s="7">
        <f>MAX(0,MIN(J58,12)-8.0)</f>
        <v/>
      </c>
      <c r="N58" s="7">
        <f>MAX(0,J58-12)</f>
        <v/>
      </c>
      <c r="O58" s="5" t="n"/>
      <c r="P58" s="6">
        <f>E58*(L58+M58*1.5+N58*2+O58*3+N(K58))</f>
        <v/>
      </c>
      <c r="Q58" s="6" t="n">
        <v>1063.6</v>
      </c>
      <c r="R58" s="6">
        <f>Q58-P58</f>
        <v/>
      </c>
    </row>
    <row r="59">
      <c r="P59" s="2" t="inlineStr">
        <is>
          <t>PRODUCTIONMANAGER LABOR</t>
        </is>
      </c>
      <c r="R59" s="8">
        <f>SUM(R58:R58)</f>
        <v/>
      </c>
    </row>
    <row r="61">
      <c r="B61" s="2" t="inlineStr">
        <is>
          <t>1STASSTDIRECTOR</t>
        </is>
      </c>
    </row>
    <row r="62">
      <c r="A62" s="5" t="inlineStr">
        <is>
          <t>2002</t>
        </is>
      </c>
      <c r="B62" s="5" t="inlineStr">
        <is>
          <t>James Moran</t>
        </is>
      </c>
      <c r="C62" s="5" t="inlineStr">
        <is>
          <t>1STASSTDIRECTOR</t>
        </is>
      </c>
      <c r="D62" s="5" t="inlineStr">
        <is>
          <t>DGA</t>
        </is>
      </c>
      <c r="E62" s="6" t="n">
        <v>985.6</v>
      </c>
      <c r="F62" s="5" t="n"/>
      <c r="G62" s="5" t="n"/>
      <c r="H62" s="5" t="n"/>
      <c r="I62" s="5" t="n"/>
      <c r="J62" s="7">
        <f>IF(AND(N(F62)&gt;0,N(I62)&gt;0),I62-F62-IF(N(G62)&gt;0,0.5,0)-IF(N(H62)&gt;0,0.5,0),0)</f>
        <v/>
      </c>
      <c r="K62" s="5" t="n"/>
      <c r="L62" s="7">
        <f>MIN(J62,8.0)</f>
        <v/>
      </c>
      <c r="M62" s="7">
        <f>MAX(0,MIN(J62,12)-8.0)</f>
        <v/>
      </c>
      <c r="N62" s="7">
        <f>MAX(0,J62-12)</f>
        <v/>
      </c>
      <c r="O62" s="5" t="n"/>
      <c r="P62" s="6">
        <f>E62*(L62+M62*1.5+N62*2+O62*3+N(K62))</f>
        <v/>
      </c>
      <c r="Q62" s="6" t="n">
        <v>985.6</v>
      </c>
      <c r="R62" s="6">
        <f>Q62-P62</f>
        <v/>
      </c>
    </row>
    <row r="63">
      <c r="P63" s="2" t="inlineStr">
        <is>
          <t>1STASSTDIRECTOR LABOR</t>
        </is>
      </c>
      <c r="R63" s="8">
        <f>SUM(R62:R62)</f>
        <v/>
      </c>
    </row>
    <row r="65">
      <c r="B65" s="2" t="inlineStr">
        <is>
          <t>2NDASSTDIRECTORS</t>
        </is>
      </c>
    </row>
    <row r="66">
      <c r="A66" s="5" t="inlineStr">
        <is>
          <t>2003</t>
        </is>
      </c>
      <c r="B66" s="5" t="inlineStr">
        <is>
          <t>Mark Newland</t>
        </is>
      </c>
      <c r="C66" s="5" t="inlineStr">
        <is>
          <t>KEY 2NDA. D.</t>
        </is>
      </c>
      <c r="D66" s="5" t="inlineStr">
        <is>
          <t>DGA</t>
        </is>
      </c>
      <c r="E66" s="6" t="n">
        <v>674.6</v>
      </c>
      <c r="F66" s="5" t="n"/>
      <c r="G66" s="5" t="n"/>
      <c r="H66" s="5" t="n"/>
      <c r="I66" s="5" t="n"/>
      <c r="J66" s="7">
        <f>IF(AND(N(F66)&gt;0,N(I66)&gt;0),I66-F66-IF(N(G66)&gt;0,0.5,0)-IF(N(H66)&gt;0,0.5,0),0)</f>
        <v/>
      </c>
      <c r="K66" s="5" t="n"/>
      <c r="L66" s="7">
        <f>MIN(J66,8.0)</f>
        <v/>
      </c>
      <c r="M66" s="7">
        <f>MAX(0,MIN(J66,12)-8.0)</f>
        <v/>
      </c>
      <c r="N66" s="7">
        <f>MAX(0,J66-12)</f>
        <v/>
      </c>
      <c r="O66" s="5" t="n"/>
      <c r="P66" s="6">
        <f>E66*(L66+M66*1.5+N66*2+O66*3+N(K66))</f>
        <v/>
      </c>
      <c r="Q66" s="6" t="n">
        <v>674.6</v>
      </c>
      <c r="R66" s="6">
        <f>Q66-P66</f>
        <v/>
      </c>
    </row>
    <row r="67">
      <c r="A67" s="5" t="inlineStr">
        <is>
          <t>2003</t>
        </is>
      </c>
      <c r="B67" s="5" t="inlineStr"/>
      <c r="C67" s="5" t="inlineStr">
        <is>
          <t>2ND 2NDA. D.</t>
        </is>
      </c>
      <c r="D67" s="5" t="inlineStr">
        <is>
          <t>DGA</t>
        </is>
      </c>
      <c r="E67" s="6" t="n">
        <v>526</v>
      </c>
      <c r="F67" s="5" t="n"/>
      <c r="G67" s="5" t="n"/>
      <c r="H67" s="5" t="n"/>
      <c r="I67" s="5" t="n"/>
      <c r="J67" s="7">
        <f>IF(AND(N(F67)&gt;0,N(I67)&gt;0),I67-F67-IF(N(G67)&gt;0,0.5,0)-IF(N(H67)&gt;0,0.5,0),0)</f>
        <v/>
      </c>
      <c r="K67" s="5" t="n"/>
      <c r="L67" s="7">
        <f>MIN(J67,8.0)</f>
        <v/>
      </c>
      <c r="M67" s="7">
        <f>MAX(0,MIN(J67,12)-8.0)</f>
        <v/>
      </c>
      <c r="N67" s="7">
        <f>MAX(0,J67-12)</f>
        <v/>
      </c>
      <c r="O67" s="5" t="n"/>
      <c r="P67" s="6">
        <f>E67*(L67+M67*1.5+N67*2+O67*3+N(K67))</f>
        <v/>
      </c>
      <c r="Q67" s="6" t="n">
        <v>526</v>
      </c>
      <c r="R67" s="6">
        <f>Q67-P67</f>
        <v/>
      </c>
    </row>
    <row r="68">
      <c r="P68" s="2" t="inlineStr">
        <is>
          <t>2NDASSTDIRECTORS LABOR</t>
        </is>
      </c>
      <c r="R68" s="8">
        <f>SUM(R66:R67)</f>
        <v/>
      </c>
    </row>
    <row r="70">
      <c r="B70" s="2" t="inlineStr">
        <is>
          <t>SCRIPTSUPERVISOR</t>
        </is>
      </c>
    </row>
    <row r="71">
      <c r="A71" s="5" t="inlineStr">
        <is>
          <t>2005</t>
        </is>
      </c>
      <c r="B71" s="5" t="inlineStr">
        <is>
          <t>Renata Amador</t>
        </is>
      </c>
      <c r="C71" s="5" t="inlineStr">
        <is>
          <t>SCRIPTSUPERVISOR</t>
        </is>
      </c>
      <c r="D71" s="5" t="inlineStr">
        <is>
          <t>Local871</t>
        </is>
      </c>
      <c r="E71" s="6" t="n">
        <v>25.5</v>
      </c>
      <c r="F71" s="5" t="n"/>
      <c r="G71" s="5" t="n"/>
      <c r="H71" s="5" t="n"/>
      <c r="I71" s="5" t="n"/>
      <c r="J71" s="7">
        <f>IF(AND(N(F71)&gt;0,N(I71)&gt;0),I71-F71-IF(N(G71)&gt;0,0.5,0)-IF(N(H71)&gt;0,0.5,0),0)</f>
        <v/>
      </c>
      <c r="K71" s="5" t="n"/>
      <c r="L71" s="7">
        <f>MIN(J71,10.0)</f>
        <v/>
      </c>
      <c r="M71" s="7">
        <f>MAX(0,MIN(J71,12)-10.0)</f>
        <v/>
      </c>
      <c r="N71" s="7">
        <f>MAX(0,J71-12)</f>
        <v/>
      </c>
      <c r="O71" s="5" t="n"/>
      <c r="P71" s="6">
        <f>E71*(L71+M71*1.5+N71*2+O71*3+N(K71))</f>
        <v/>
      </c>
      <c r="Q71" s="6" t="n">
        <v>439.87</v>
      </c>
      <c r="R71" s="6">
        <f>Q71-P71</f>
        <v/>
      </c>
    </row>
    <row r="72">
      <c r="P72" s="2" t="inlineStr">
        <is>
          <t>SCRIPTSUPERVISOR LABOR</t>
        </is>
      </c>
      <c r="R72" s="8">
        <f>SUM(R71:R71)</f>
        <v/>
      </c>
    </row>
    <row r="74">
      <c r="B74" s="2" t="inlineStr">
        <is>
          <t>LOCATIONMANAGERS</t>
        </is>
      </c>
    </row>
    <row r="75">
      <c r="A75" s="5" t="inlineStr">
        <is>
          <t>2007</t>
        </is>
      </c>
      <c r="B75" s="5" t="inlineStr">
        <is>
          <t>Stacey Brashear-Rodriquez</t>
        </is>
      </c>
      <c r="C75" s="5" t="inlineStr">
        <is>
          <t>LOCATIONMANAGER</t>
        </is>
      </c>
      <c r="D75" s="5" t="inlineStr">
        <is>
          <t>Local399</t>
        </is>
      </c>
      <c r="E75" s="6" t="n">
        <v>557.6</v>
      </c>
      <c r="F75" s="5" t="n"/>
      <c r="G75" s="5" t="n"/>
      <c r="H75" s="5" t="n"/>
      <c r="I75" s="5" t="n"/>
      <c r="J75" s="7">
        <f>IF(AND(N(F75)&gt;0,N(I75)&gt;0),I75-F75-IF(N(G75)&gt;0,0.5,0)-IF(N(H75)&gt;0,0.5,0),0)</f>
        <v/>
      </c>
      <c r="K75" s="5" t="n"/>
      <c r="L75" s="7">
        <f>MIN(J75,8.0)</f>
        <v/>
      </c>
      <c r="M75" s="7">
        <f>MAX(0,MIN(J75,12)-8.0)</f>
        <v/>
      </c>
      <c r="N75" s="7">
        <f>MAX(0,J75-12)</f>
        <v/>
      </c>
      <c r="O75" s="5" t="n"/>
      <c r="P75" s="6">
        <f>E75*(L75+M75*1.5+N75*2+O75*3+N(K75))</f>
        <v/>
      </c>
      <c r="Q75" s="6" t="n">
        <v>557.6</v>
      </c>
      <c r="R75" s="6">
        <f>Q75-P75</f>
        <v/>
      </c>
    </row>
    <row r="76">
      <c r="P76" s="2" t="inlineStr">
        <is>
          <t>LOCATIONMANAGERS LABOR</t>
        </is>
      </c>
      <c r="R76" s="8">
        <f>SUM(R75:R75)</f>
        <v/>
      </c>
    </row>
    <row r="78">
      <c r="B78" s="2" t="inlineStr">
        <is>
          <t>ASSISTANTLOCATIONMANAGERS</t>
        </is>
      </c>
    </row>
    <row r="79">
      <c r="A79" s="5" t="inlineStr">
        <is>
          <t>2008</t>
        </is>
      </c>
      <c r="B79" s="5" t="inlineStr">
        <is>
          <t>Rich Heichel</t>
        </is>
      </c>
      <c r="C79" s="5" t="inlineStr">
        <is>
          <t>KEYASSTLOCATIONMGR#1</t>
        </is>
      </c>
      <c r="D79" s="5" t="inlineStr">
        <is>
          <t>Local399</t>
        </is>
      </c>
      <c r="E79" s="6" t="n">
        <v>334.2</v>
      </c>
      <c r="F79" s="5" t="n"/>
      <c r="G79" s="5" t="n"/>
      <c r="H79" s="5" t="n"/>
      <c r="I79" s="5" t="n"/>
      <c r="J79" s="7">
        <f>IF(AND(N(F79)&gt;0,N(I79)&gt;0),I79-F79-IF(N(G79)&gt;0,0.5,0)-IF(N(H79)&gt;0,0.5,0),0)</f>
        <v/>
      </c>
      <c r="K79" s="5" t="n"/>
      <c r="L79" s="7">
        <f>MIN(J79,8.0)</f>
        <v/>
      </c>
      <c r="M79" s="7">
        <f>MAX(0,MIN(J79,12)-8.0)</f>
        <v/>
      </c>
      <c r="N79" s="7">
        <f>MAX(0,J79-12)</f>
        <v/>
      </c>
      <c r="O79" s="5" t="n"/>
      <c r="P79" s="6">
        <f>E79*(L79+M79*1.5+N79*2+O79*3+N(K79))</f>
        <v/>
      </c>
      <c r="Q79" s="6" t="n">
        <v>334.2</v>
      </c>
      <c r="R79" s="6">
        <f>Q79-P79</f>
        <v/>
      </c>
    </row>
    <row r="80">
      <c r="A80" s="5" t="inlineStr">
        <is>
          <t>2008</t>
        </is>
      </c>
      <c r="B80" s="5" t="inlineStr">
        <is>
          <t>Jason Mc Cauley</t>
        </is>
      </c>
      <c r="C80" s="5" t="inlineStr">
        <is>
          <t>LOCATIONASST</t>
        </is>
      </c>
      <c r="D80" s="5" t="inlineStr">
        <is>
          <t>Local399</t>
        </is>
      </c>
      <c r="E80" s="6" t="n">
        <v>229</v>
      </c>
      <c r="F80" s="5" t="n"/>
      <c r="G80" s="5" t="n"/>
      <c r="H80" s="5" t="n"/>
      <c r="I80" s="5" t="n"/>
      <c r="J80" s="7">
        <f>IF(AND(N(F80)&gt;0,N(I80)&gt;0),I80-F80-IF(N(G80)&gt;0,0.5,0)-IF(N(H80)&gt;0,0.5,0),0)</f>
        <v/>
      </c>
      <c r="K80" s="5" t="n"/>
      <c r="L80" s="7">
        <f>MIN(J80,8.0)</f>
        <v/>
      </c>
      <c r="M80" s="7">
        <f>MAX(0,MIN(J80,12)-8.0)</f>
        <v/>
      </c>
      <c r="N80" s="7">
        <f>MAX(0,J80-12)</f>
        <v/>
      </c>
      <c r="O80" s="5" t="n"/>
      <c r="P80" s="6">
        <f>E80*(L80+M80*1.5+N80*2+O80*3+N(K80))</f>
        <v/>
      </c>
      <c r="Q80" s="6" t="n">
        <v>229</v>
      </c>
      <c r="R80" s="6">
        <f>Q80-P80</f>
        <v/>
      </c>
    </row>
    <row r="81">
      <c r="P81" s="2" t="inlineStr">
        <is>
          <t>ASSISTANTLOCATIONMANAGERS LABOR</t>
        </is>
      </c>
      <c r="R81" s="8">
        <f>SUM(R79:R80)</f>
        <v/>
      </c>
    </row>
    <row r="83">
      <c r="B83" s="2" t="inlineStr">
        <is>
          <t>PRODUCTIONCOORDINATOR</t>
        </is>
      </c>
    </row>
    <row r="84">
      <c r="A84" s="5" t="inlineStr">
        <is>
          <t>2009</t>
        </is>
      </c>
      <c r="B84" s="5" t="inlineStr">
        <is>
          <t>Ali Griffith</t>
        </is>
      </c>
      <c r="C84" s="5" t="inlineStr">
        <is>
          <t>PRODUCTIONOFCCOORD</t>
        </is>
      </c>
      <c r="D84" s="5" t="inlineStr"/>
      <c r="E84" s="6" t="n">
        <v>360</v>
      </c>
      <c r="F84" s="5" t="n"/>
      <c r="G84" s="5" t="n"/>
      <c r="H84" s="5" t="n"/>
      <c r="I84" s="5" t="n"/>
      <c r="J84" s="7">
        <f>IF(AND(N(F84)&gt;0,N(I84)&gt;0),I84-F84-IF(N(G84)&gt;0,0.5,0)-IF(N(H84)&gt;0,0.5,0),0)</f>
        <v/>
      </c>
      <c r="K84" s="5" t="n"/>
      <c r="L84" s="7">
        <f>MIN(J84,8.0)</f>
        <v/>
      </c>
      <c r="M84" s="7">
        <f>MAX(0,MIN(J84,12)-8.0)</f>
        <v/>
      </c>
      <c r="N84" s="7">
        <f>MAX(0,J84-12)</f>
        <v/>
      </c>
      <c r="O84" s="5" t="n"/>
      <c r="P84" s="6">
        <f>E84*(L84+M84*1.5+N84*2+O84*3+N(K84))</f>
        <v/>
      </c>
      <c r="Q84" s="6" t="n">
        <v>360</v>
      </c>
      <c r="R84" s="6">
        <f>Q84-P84</f>
        <v/>
      </c>
    </row>
    <row r="85">
      <c r="P85" s="2" t="inlineStr">
        <is>
          <t>PRODUCTIONCOORDINATOR LABOR</t>
        </is>
      </c>
      <c r="R85" s="8">
        <f>SUM(R84:R84)</f>
        <v/>
      </c>
    </row>
    <row r="87">
      <c r="B87" s="2" t="inlineStr">
        <is>
          <t>ASSTPRODUCTIONCOORDINATOR</t>
        </is>
      </c>
    </row>
    <row r="88">
      <c r="A88" s="5" t="inlineStr">
        <is>
          <t>2010</t>
        </is>
      </c>
      <c r="B88" s="5" t="inlineStr">
        <is>
          <t>Holly Dellocono</t>
        </is>
      </c>
      <c r="C88" s="5" t="inlineStr">
        <is>
          <t>APOC</t>
        </is>
      </c>
      <c r="D88" s="5" t="inlineStr">
        <is>
          <t>Local871</t>
        </is>
      </c>
      <c r="E88" s="6" t="n">
        <v>20.57</v>
      </c>
      <c r="F88" s="5" t="n"/>
      <c r="G88" s="5" t="n"/>
      <c r="H88" s="5" t="n"/>
      <c r="I88" s="5" t="n"/>
      <c r="J88" s="7">
        <f>IF(AND(N(F88)&gt;0,N(I88)&gt;0),I88-F88-IF(N(G88)&gt;0,0.5,0)-IF(N(H88)&gt;0,0.5,0),0)</f>
        <v/>
      </c>
      <c r="K88" s="5" t="n"/>
      <c r="L88" s="7">
        <f>MIN(J88,10.0)</f>
        <v/>
      </c>
      <c r="M88" s="7">
        <f>MAX(0,MIN(J88,12)-10.0)</f>
        <v/>
      </c>
      <c r="N88" s="7">
        <f>MAX(0,J88-12)</f>
        <v/>
      </c>
      <c r="O88" s="5" t="n"/>
      <c r="P88" s="6">
        <f>E88*(L88+M88*1.5+N88*2+O88*3+N(K88))</f>
        <v/>
      </c>
      <c r="Q88" s="6" t="n">
        <v>287.98</v>
      </c>
      <c r="R88" s="6">
        <f>Q88-P88</f>
        <v/>
      </c>
    </row>
    <row r="89">
      <c r="P89" s="2" t="inlineStr">
        <is>
          <t>ASSTPRODUCTIONCOORDINATOR LABOR</t>
        </is>
      </c>
      <c r="R89" s="8">
        <f>SUM(R88:R88)</f>
        <v/>
      </c>
    </row>
    <row r="91">
      <c r="B91" s="2" t="inlineStr">
        <is>
          <t>OFFICESTAFFASSISTANTS</t>
        </is>
      </c>
    </row>
    <row r="92">
      <c r="A92" s="5" t="inlineStr">
        <is>
          <t>2011</t>
        </is>
      </c>
      <c r="B92" s="5" t="inlineStr">
        <is>
          <t>John Humber</t>
        </is>
      </c>
      <c r="C92" s="5" t="inlineStr">
        <is>
          <t>OFFICEPA#1</t>
        </is>
      </c>
      <c r="D92" s="5" t="inlineStr"/>
      <c r="E92" s="6" t="n">
        <v>22.5</v>
      </c>
      <c r="F92" s="5" t="n"/>
      <c r="G92" s="5" t="n"/>
      <c r="H92" s="5" t="n"/>
      <c r="I92" s="5" t="n"/>
      <c r="J92" s="7">
        <f>IF(AND(N(F92)&gt;0,N(I92)&gt;0),I92-F92-IF(N(G92)&gt;0,0.5,0)-IF(N(H92)&gt;0,0.5,0),0)</f>
        <v/>
      </c>
      <c r="K92" s="5" t="n"/>
      <c r="L92" s="7">
        <f>MIN(J92,8.0)</f>
        <v/>
      </c>
      <c r="M92" s="7">
        <f>MAX(0,MIN(J92,12)-8.0)</f>
        <v/>
      </c>
      <c r="N92" s="7">
        <f>MAX(0,J92-12)</f>
        <v/>
      </c>
      <c r="O92" s="5" t="n"/>
      <c r="P92" s="6">
        <f>E92*(L92+M92*1.5+N92*2+O92*3+N(K92))</f>
        <v/>
      </c>
      <c r="Q92" s="6" t="n">
        <v>168</v>
      </c>
      <c r="R92" s="6">
        <f>Q92-P92</f>
        <v/>
      </c>
    </row>
    <row r="93">
      <c r="A93" s="5" t="inlineStr">
        <is>
          <t>2011</t>
        </is>
      </c>
      <c r="B93" s="5" t="inlineStr">
        <is>
          <t>Sarah Semenas</t>
        </is>
      </c>
      <c r="C93" s="5" t="inlineStr">
        <is>
          <t>OFFICEPA#2</t>
        </is>
      </c>
      <c r="D93" s="5" t="inlineStr"/>
      <c r="E93" s="6" t="n">
        <v>22.5</v>
      </c>
      <c r="F93" s="5" t="n"/>
      <c r="G93" s="5" t="n"/>
      <c r="H93" s="5" t="n"/>
      <c r="I93" s="5" t="n"/>
      <c r="J93" s="7">
        <f>IF(AND(N(F93)&gt;0,N(I93)&gt;0),I93-F93-IF(N(G93)&gt;0,0.5,0)-IF(N(H93)&gt;0,0.5,0),0)</f>
        <v/>
      </c>
      <c r="K93" s="5" t="n"/>
      <c r="L93" s="7">
        <f>MIN(J93,8.0)</f>
        <v/>
      </c>
      <c r="M93" s="7">
        <f>MAX(0,MIN(J93,12)-8.0)</f>
        <v/>
      </c>
      <c r="N93" s="7">
        <f>MAX(0,J93-12)</f>
        <v/>
      </c>
      <c r="O93" s="5" t="n"/>
      <c r="P93" s="6">
        <f>E93*(L93+M93*1.5+N93*2+O93*3+N(K93))</f>
        <v/>
      </c>
      <c r="Q93" s="6" t="n">
        <v>168</v>
      </c>
      <c r="R93" s="6">
        <f>Q93-P93</f>
        <v/>
      </c>
    </row>
    <row r="94">
      <c r="P94" s="2" t="inlineStr">
        <is>
          <t>OFFICESTAFFASSISTANTS LABOR</t>
        </is>
      </c>
      <c r="R94" s="8">
        <f>SUM(R92:R93)</f>
        <v/>
      </c>
    </row>
    <row r="96">
      <c r="B96" s="2" t="inlineStr">
        <is>
          <t>SETSTAFFASSISTANTS</t>
        </is>
      </c>
    </row>
    <row r="97">
      <c r="A97" s="5" t="inlineStr">
        <is>
          <t>2012</t>
        </is>
      </c>
      <c r="B97" s="5" t="inlineStr">
        <is>
          <t>Paula Henry</t>
        </is>
      </c>
      <c r="C97" s="5" t="inlineStr">
        <is>
          <t>KEYSETPA</t>
        </is>
      </c>
      <c r="D97" s="5" t="inlineStr"/>
      <c r="E97" s="6" t="n">
        <v>12</v>
      </c>
      <c r="F97" s="5" t="n"/>
      <c r="G97" s="5" t="n"/>
      <c r="H97" s="5" t="n"/>
      <c r="I97" s="5" t="n"/>
      <c r="J97" s="7">
        <f>IF(AND(N(F97)&gt;0,N(I97)&gt;0),I97-F97-IF(N(G97)&gt;0,0.5,0)-IF(N(H97)&gt;0,0.5,0),0)</f>
        <v/>
      </c>
      <c r="K97" s="5" t="n"/>
      <c r="L97" s="7">
        <f>MIN(J97,8.0)</f>
        <v/>
      </c>
      <c r="M97" s="7">
        <f>MAX(0,MIN(J97,12)-8.0)</f>
        <v/>
      </c>
      <c r="N97" s="7">
        <f>MAX(0,J97-12)</f>
        <v/>
      </c>
      <c r="O97" s="5" t="n"/>
      <c r="P97" s="6">
        <f>E97*(L97+M97*1.5+N97*2+O97*3+N(K97))</f>
        <v/>
      </c>
      <c r="Q97" s="6" t="n">
        <v>216</v>
      </c>
      <c r="R97" s="6">
        <f>Q97-P97</f>
        <v/>
      </c>
    </row>
    <row r="98">
      <c r="A98" s="5" t="inlineStr">
        <is>
          <t>2012</t>
        </is>
      </c>
      <c r="B98" s="5" t="inlineStr"/>
      <c r="C98" s="5" t="inlineStr">
        <is>
          <t>SETPA#2</t>
        </is>
      </c>
      <c r="D98" s="5" t="inlineStr"/>
      <c r="E98" s="6" t="n">
        <v>12</v>
      </c>
      <c r="F98" s="5" t="n"/>
      <c r="G98" s="5" t="n"/>
      <c r="H98" s="5" t="n"/>
      <c r="I98" s="5" t="n"/>
      <c r="J98" s="7">
        <f>IF(AND(N(F98)&gt;0,N(I98)&gt;0),I98-F98-IF(N(G98)&gt;0,0.5,0)-IF(N(H98)&gt;0,0.5,0),0)</f>
        <v/>
      </c>
      <c r="K98" s="5" t="n"/>
      <c r="L98" s="7">
        <f>MIN(J98,8.0)</f>
        <v/>
      </c>
      <c r="M98" s="7">
        <f>MAX(0,MIN(J98,12)-8.0)</f>
        <v/>
      </c>
      <c r="N98" s="7">
        <f>MAX(0,J98-12)</f>
        <v/>
      </c>
      <c r="O98" s="5" t="n"/>
      <c r="P98" s="6">
        <f>E98*(L98+M98*1.5+N98*2+O98*3+N(K98))</f>
        <v/>
      </c>
      <c r="Q98" s="6" t="n">
        <v>216</v>
      </c>
      <c r="R98" s="6">
        <f>Q98-P98</f>
        <v/>
      </c>
    </row>
    <row r="99">
      <c r="A99" s="5" t="inlineStr">
        <is>
          <t>2012</t>
        </is>
      </c>
      <c r="B99" s="5" t="inlineStr"/>
      <c r="C99" s="5" t="inlineStr">
        <is>
          <t>SETPA#3</t>
        </is>
      </c>
      <c r="D99" s="5" t="inlineStr"/>
      <c r="E99" s="6" t="n">
        <v>12</v>
      </c>
      <c r="F99" s="5" t="n"/>
      <c r="G99" s="5" t="n"/>
      <c r="H99" s="5" t="n"/>
      <c r="I99" s="5" t="n"/>
      <c r="J99" s="7">
        <f>IF(AND(N(F99)&gt;0,N(I99)&gt;0),I99-F99-IF(N(G99)&gt;0,0.5,0)-IF(N(H99)&gt;0,0.5,0),0)</f>
        <v/>
      </c>
      <c r="K99" s="5" t="n"/>
      <c r="L99" s="7">
        <f>MIN(J99,8.0)</f>
        <v/>
      </c>
      <c r="M99" s="7">
        <f>MAX(0,MIN(J99,12)-8.0)</f>
        <v/>
      </c>
      <c r="N99" s="7">
        <f>MAX(0,J99-12)</f>
        <v/>
      </c>
      <c r="O99" s="5" t="n"/>
      <c r="P99" s="6">
        <f>E99*(L99+M99*1.5+N99*2+O99*3+N(K99))</f>
        <v/>
      </c>
      <c r="Q99" s="6" t="n">
        <v>216</v>
      </c>
      <c r="R99" s="6">
        <f>Q99-P99</f>
        <v/>
      </c>
    </row>
    <row r="100">
      <c r="A100" s="5" t="inlineStr">
        <is>
          <t>2012</t>
        </is>
      </c>
      <c r="B100" s="5" t="inlineStr"/>
      <c r="C100" s="5" t="inlineStr">
        <is>
          <t>SETPA#4</t>
        </is>
      </c>
      <c r="D100" s="5" t="inlineStr"/>
      <c r="E100" s="6" t="n">
        <v>12</v>
      </c>
      <c r="F100" s="5" t="n"/>
      <c r="G100" s="5" t="n"/>
      <c r="H100" s="5" t="n"/>
      <c r="I100" s="5" t="n"/>
      <c r="J100" s="7">
        <f>IF(AND(N(F100)&gt;0,N(I100)&gt;0),I100-F100-IF(N(G100)&gt;0,0.5,0)-IF(N(H100)&gt;0,0.5,0),0)</f>
        <v/>
      </c>
      <c r="K100" s="5" t="n"/>
      <c r="L100" s="7">
        <f>MIN(J100,8.0)</f>
        <v/>
      </c>
      <c r="M100" s="7">
        <f>MAX(0,MIN(J100,12)-8.0)</f>
        <v/>
      </c>
      <c r="N100" s="7">
        <f>MAX(0,J100-12)</f>
        <v/>
      </c>
      <c r="O100" s="5" t="n"/>
      <c r="P100" s="6">
        <f>E100*(L100+M100*1.5+N100*2+O100*3+N(K100))</f>
        <v/>
      </c>
      <c r="Q100" s="6" t="n">
        <v>216</v>
      </c>
      <c r="R100" s="6">
        <f>Q100-P100</f>
        <v/>
      </c>
    </row>
    <row r="101">
      <c r="P101" s="2" t="inlineStr">
        <is>
          <t>SETSTAFFASSISTANTS LABOR</t>
        </is>
      </c>
      <c r="R101" s="8">
        <f>SUM(R97:R100)</f>
        <v/>
      </c>
    </row>
    <row r="103">
      <c r="B103" s="2" t="inlineStr">
        <is>
          <t>PRODUCTIONACCOUNTANT</t>
        </is>
      </c>
    </row>
    <row r="104">
      <c r="A104" s="5" t="inlineStr">
        <is>
          <t>2013</t>
        </is>
      </c>
      <c r="B104" s="5" t="inlineStr">
        <is>
          <t>Joel Tokarsky</t>
        </is>
      </c>
      <c r="C104" s="5" t="inlineStr">
        <is>
          <t>PRODUCTIONACCOUNTANT</t>
        </is>
      </c>
      <c r="D104" s="5" t="inlineStr">
        <is>
          <t>Local871</t>
        </is>
      </c>
      <c r="E104" s="6" t="n">
        <v>740</v>
      </c>
      <c r="F104" s="5" t="n"/>
      <c r="G104" s="5" t="n"/>
      <c r="H104" s="5" t="n"/>
      <c r="I104" s="5" t="n"/>
      <c r="J104" s="7">
        <f>IF(AND(N(F104)&gt;0,N(I104)&gt;0),I104-F104-IF(N(G104)&gt;0,0.5,0)-IF(N(H104)&gt;0,0.5,0),0)</f>
        <v/>
      </c>
      <c r="K104" s="5" t="n"/>
      <c r="L104" s="7">
        <f>MIN(J104,10.0)</f>
        <v/>
      </c>
      <c r="M104" s="7">
        <f>MAX(0,MIN(J104,12)-10.0)</f>
        <v/>
      </c>
      <c r="N104" s="7">
        <f>MAX(0,J104-12)</f>
        <v/>
      </c>
      <c r="O104" s="5" t="n"/>
      <c r="P104" s="6">
        <f>E104*(L104+M104*1.5+N104*2+O104*3+N(K104))</f>
        <v/>
      </c>
      <c r="Q104" s="6" t="n">
        <v>740</v>
      </c>
      <c r="R104" s="6">
        <f>Q104-P104</f>
        <v/>
      </c>
    </row>
    <row r="105">
      <c r="P105" s="2" t="inlineStr">
        <is>
          <t>PRODUCTIONACCOUNTANT LABOR</t>
        </is>
      </c>
      <c r="R105" s="8">
        <f>SUM(R104:R104)</f>
        <v/>
      </c>
    </row>
    <row r="107">
      <c r="B107" s="2" t="inlineStr">
        <is>
          <t>ASSTPRODUCTIONACCOUNTANTS</t>
        </is>
      </c>
    </row>
    <row r="108">
      <c r="A108" s="5" t="inlineStr">
        <is>
          <t>2014</t>
        </is>
      </c>
      <c r="B108" s="5" t="inlineStr">
        <is>
          <t>Co-Co Aiello</t>
        </is>
      </c>
      <c r="C108" s="5" t="inlineStr">
        <is>
          <t>1STASSTACCT</t>
        </is>
      </c>
      <c r="D108" s="5" t="inlineStr">
        <is>
          <t>Local871</t>
        </is>
      </c>
      <c r="E108" s="6" t="n">
        <v>480</v>
      </c>
      <c r="F108" s="5" t="n"/>
      <c r="G108" s="5" t="n"/>
      <c r="H108" s="5" t="n"/>
      <c r="I108" s="5" t="n"/>
      <c r="J108" s="7">
        <f>IF(AND(N(F108)&gt;0,N(I108)&gt;0),I108-F108-IF(N(G108)&gt;0,0.5,0)-IF(N(H108)&gt;0,0.5,0),0)</f>
        <v/>
      </c>
      <c r="K108" s="5" t="n"/>
      <c r="L108" s="7">
        <f>MIN(J108,10.0)</f>
        <v/>
      </c>
      <c r="M108" s="7">
        <f>MAX(0,MIN(J108,12)-10.0)</f>
        <v/>
      </c>
      <c r="N108" s="7">
        <f>MAX(0,J108-12)</f>
        <v/>
      </c>
      <c r="O108" s="5" t="n"/>
      <c r="P108" s="6">
        <f>E108*(L108+M108*1.5+N108*2+O108*3+N(K108))</f>
        <v/>
      </c>
      <c r="Q108" s="6" t="n">
        <v>480</v>
      </c>
      <c r="R108" s="6">
        <f>Q108-P108</f>
        <v/>
      </c>
    </row>
    <row r="109">
      <c r="A109" s="5" t="inlineStr">
        <is>
          <t>2014</t>
        </is>
      </c>
      <c r="B109" s="5" t="inlineStr">
        <is>
          <t>Steve Goldstein</t>
        </is>
      </c>
      <c r="C109" s="5" t="inlineStr">
        <is>
          <t>PAYROLLACCT</t>
        </is>
      </c>
      <c r="D109" s="5" t="inlineStr">
        <is>
          <t>Local871</t>
        </is>
      </c>
      <c r="E109" s="6" t="n">
        <v>420</v>
      </c>
      <c r="F109" s="5" t="n"/>
      <c r="G109" s="5" t="n"/>
      <c r="H109" s="5" t="n"/>
      <c r="I109" s="5" t="n"/>
      <c r="J109" s="7">
        <f>IF(AND(N(F109)&gt;0,N(I109)&gt;0),I109-F109-IF(N(G109)&gt;0,0.5,0)-IF(N(H109)&gt;0,0.5,0),0)</f>
        <v/>
      </c>
      <c r="K109" s="5" t="n"/>
      <c r="L109" s="7">
        <f>MIN(J109,10.0)</f>
        <v/>
      </c>
      <c r="M109" s="7">
        <f>MAX(0,MIN(J109,12)-10.0)</f>
        <v/>
      </c>
      <c r="N109" s="7">
        <f>MAX(0,J109-12)</f>
        <v/>
      </c>
      <c r="O109" s="5" t="n"/>
      <c r="P109" s="6">
        <f>E109*(L109+M109*1.5+N109*2+O109*3+N(K109))</f>
        <v/>
      </c>
      <c r="Q109" s="6" t="n">
        <v>420</v>
      </c>
      <c r="R109" s="6">
        <f>Q109-P109</f>
        <v/>
      </c>
    </row>
    <row r="110">
      <c r="P110" s="2" t="inlineStr">
        <is>
          <t>ASSTPRODUCTIONACCOUNTANTS LABOR</t>
        </is>
      </c>
      <c r="R110" s="8">
        <f>SUM(R108:R109)</f>
        <v/>
      </c>
    </row>
    <row r="112">
      <c r="B112" s="2" t="inlineStr">
        <is>
          <t>CONSTRUCTIONCOORDINATOR</t>
        </is>
      </c>
    </row>
    <row r="113">
      <c r="A113" s="5" t="inlineStr">
        <is>
          <t>2302</t>
        </is>
      </c>
      <c r="B113" s="5" t="inlineStr">
        <is>
          <t>Drew Rebelin</t>
        </is>
      </c>
      <c r="C113" s="5" t="inlineStr">
        <is>
          <t>CONSTCOORDINATOR</t>
        </is>
      </c>
      <c r="D113" s="5" t="inlineStr">
        <is>
          <t>Local44</t>
        </is>
      </c>
      <c r="E113" s="6" t="n">
        <v>400</v>
      </c>
      <c r="F113" s="5" t="n"/>
      <c r="G113" s="5" t="n"/>
      <c r="H113" s="5" t="n"/>
      <c r="I113" s="5" t="n"/>
      <c r="J113" s="7">
        <f>IF(AND(N(F113)&gt;0,N(I113)&gt;0),I113-F113-IF(N(G113)&gt;0,0.5,0)-IF(N(H113)&gt;0,0.5,0),0)</f>
        <v/>
      </c>
      <c r="K113" s="5" t="n"/>
      <c r="L113" s="7">
        <f>MIN(J113,10.0)</f>
        <v/>
      </c>
      <c r="M113" s="7">
        <f>MAX(0,MIN(J113,12)-10.0)</f>
        <v/>
      </c>
      <c r="N113" s="7">
        <f>MAX(0,J113-12)</f>
        <v/>
      </c>
      <c r="O113" s="5" t="n"/>
      <c r="P113" s="6">
        <f>E113*(L113+M113*1.5+N113*2+O113*3+N(K113))</f>
        <v/>
      </c>
      <c r="Q113" s="5" t="n"/>
      <c r="R113" s="6">
        <f>Q113-P113</f>
        <v/>
      </c>
    </row>
    <row r="114">
      <c r="P114" s="2" t="inlineStr">
        <is>
          <t>CONSTRUCTIONCOORDINATOR LABOR</t>
        </is>
      </c>
      <c r="R114" s="8">
        <f>SUM(R113:R113)</f>
        <v/>
      </c>
    </row>
    <row r="116">
      <c r="B116" s="2" t="inlineStr">
        <is>
          <t>PAINTFOREMAN</t>
        </is>
      </c>
    </row>
    <row r="117">
      <c r="A117" s="5" t="inlineStr">
        <is>
          <t>2304</t>
        </is>
      </c>
      <c r="B117" s="5" t="inlineStr">
        <is>
          <t>Kristeen Reimnitz</t>
        </is>
      </c>
      <c r="C117" s="5" t="inlineStr">
        <is>
          <t>PAINTER</t>
        </is>
      </c>
      <c r="D117" s="5" t="inlineStr">
        <is>
          <t>Local729</t>
        </is>
      </c>
      <c r="E117" s="6" t="n">
        <v>23.04</v>
      </c>
      <c r="F117" s="5" t="n"/>
      <c r="G117" s="5" t="n"/>
      <c r="H117" s="5" t="n"/>
      <c r="I117" s="5" t="n"/>
      <c r="J117" s="7">
        <f>IF(AND(N(F117)&gt;0,N(I117)&gt;0),I117-F117-IF(N(G117)&gt;0,0.5,0)-IF(N(H117)&gt;0,0.5,0),0)</f>
        <v/>
      </c>
      <c r="K117" s="5" t="n"/>
      <c r="L117" s="7">
        <f>MIN(J117,10.0)</f>
        <v/>
      </c>
      <c r="M117" s="7">
        <f>MAX(0,MIN(J117,12)-10.0)</f>
        <v/>
      </c>
      <c r="N117" s="7">
        <f>MAX(0,J117-12)</f>
        <v/>
      </c>
      <c r="O117" s="5" t="n"/>
      <c r="P117" s="6">
        <f>E117*(L117+M117*1.5+N117*2+O117*3+N(K117))</f>
        <v/>
      </c>
      <c r="Q117" s="5" t="n"/>
      <c r="R117" s="6">
        <f>Q117-P117</f>
        <v/>
      </c>
    </row>
    <row r="118">
      <c r="P118" s="2" t="inlineStr">
        <is>
          <t>PAINTFOREMAN LABOR</t>
        </is>
      </c>
      <c r="R118" s="8">
        <f>SUM(R117:R117)</f>
        <v/>
      </c>
    </row>
    <row r="120">
      <c r="B120" s="2" t="inlineStr">
        <is>
          <t>FIRSTAIDLABOR</t>
        </is>
      </c>
    </row>
    <row r="121">
      <c r="A121" s="5" t="inlineStr">
        <is>
          <t>2310</t>
        </is>
      </c>
      <c r="B121" s="5" t="inlineStr"/>
      <c r="C121" s="5" t="inlineStr">
        <is>
          <t>CONSTRUCTIONMEDIC</t>
        </is>
      </c>
      <c r="D121" s="5" t="inlineStr">
        <is>
          <t>Local80</t>
        </is>
      </c>
      <c r="E121" s="6" t="n">
        <v>23.04</v>
      </c>
      <c r="F121" s="5" t="n"/>
      <c r="G121" s="5" t="n"/>
      <c r="H121" s="5" t="n"/>
      <c r="I121" s="5" t="n"/>
      <c r="J121" s="7">
        <f>IF(AND(N(F121)&gt;0,N(I121)&gt;0),I121-F121-IF(N(G121)&gt;0,0.5,0)-IF(N(H121)&gt;0,0.5,0),0)</f>
        <v/>
      </c>
      <c r="K121" s="5" t="n"/>
      <c r="L121" s="7">
        <f>MIN(J121,10.0)</f>
        <v/>
      </c>
      <c r="M121" s="7">
        <f>MAX(0,MIN(J121,12)-10.0)</f>
        <v/>
      </c>
      <c r="N121" s="7">
        <f>MAX(0,J121-12)</f>
        <v/>
      </c>
      <c r="O121" s="5" t="n"/>
      <c r="P121" s="6">
        <f>E121*(L121+M121*1.5+N121*2+O121*3+N(K121))</f>
        <v/>
      </c>
      <c r="Q121" s="5" t="n"/>
      <c r="R121" s="6">
        <f>Q121-P121</f>
        <v/>
      </c>
    </row>
    <row r="122">
      <c r="P122" s="2" t="inlineStr">
        <is>
          <t>FIRSTAIDLABOR LABOR</t>
        </is>
      </c>
      <c r="R122" s="8">
        <f>SUM(R121:R121)</f>
        <v/>
      </c>
    </row>
    <row r="124">
      <c r="B124" s="2" t="inlineStr">
        <is>
          <t>KEYGRIP</t>
        </is>
      </c>
    </row>
    <row r="125">
      <c r="A125" s="5" t="inlineStr">
        <is>
          <t>2501</t>
        </is>
      </c>
      <c r="B125" s="5" t="inlineStr">
        <is>
          <t>Pat O'Mara</t>
        </is>
      </c>
      <c r="C125" s="5" t="inlineStr">
        <is>
          <t>KEYGRIP</t>
        </is>
      </c>
      <c r="D125" s="5" t="inlineStr">
        <is>
          <t>Local80</t>
        </is>
      </c>
      <c r="E125" s="6" t="n">
        <v>25.5</v>
      </c>
      <c r="F125" s="5" t="n"/>
      <c r="G125" s="5" t="n"/>
      <c r="H125" s="5" t="n"/>
      <c r="I125" s="5" t="n"/>
      <c r="J125" s="7">
        <f>IF(AND(N(F125)&gt;0,N(I125)&gt;0),I125-F125-IF(N(G125)&gt;0,0.5,0)-IF(N(H125)&gt;0,0.5,0),0)</f>
        <v/>
      </c>
      <c r="K125" s="5" t="n"/>
      <c r="L125" s="7">
        <f>MIN(J125,10.0)</f>
        <v/>
      </c>
      <c r="M125" s="7">
        <f>MAX(0,MIN(J125,12)-10.0)</f>
        <v/>
      </c>
      <c r="N125" s="7">
        <f>MAX(0,J125-12)</f>
        <v/>
      </c>
      <c r="O125" s="5" t="n"/>
      <c r="P125" s="6">
        <f>E125*(L125+M125*1.5+N125*2+O125*3+N(K125))</f>
        <v/>
      </c>
      <c r="Q125" s="6" t="n">
        <v>395.25</v>
      </c>
      <c r="R125" s="6">
        <f>Q125-P125</f>
        <v/>
      </c>
    </row>
    <row r="126">
      <c r="P126" s="2" t="inlineStr">
        <is>
          <t>KEYGRIP LABOR</t>
        </is>
      </c>
      <c r="R126" s="8">
        <f>SUM(R125:R125)</f>
        <v/>
      </c>
    </row>
    <row r="128">
      <c r="B128" s="2" t="inlineStr">
        <is>
          <t>BESTBOYGRIP</t>
        </is>
      </c>
    </row>
    <row r="129">
      <c r="A129" s="5" t="inlineStr">
        <is>
          <t>2502</t>
        </is>
      </c>
      <c r="B129" s="5" t="inlineStr">
        <is>
          <t>Aaron Fairley</t>
        </is>
      </c>
      <c r="C129" s="5" t="inlineStr">
        <is>
          <t>BESTBOYGRIP</t>
        </is>
      </c>
      <c r="D129" s="5" t="inlineStr">
        <is>
          <t>Local80</t>
        </is>
      </c>
      <c r="E129" s="6" t="n">
        <v>23.04</v>
      </c>
      <c r="F129" s="5" t="n"/>
      <c r="G129" s="5" t="n"/>
      <c r="H129" s="5" t="n"/>
      <c r="I129" s="5" t="n"/>
      <c r="J129" s="7">
        <f>IF(AND(N(F129)&gt;0,N(I129)&gt;0),I129-F129-IF(N(G129)&gt;0,0.5,0)-IF(N(H129)&gt;0,0.5,0),0)</f>
        <v/>
      </c>
      <c r="K129" s="5" t="n"/>
      <c r="L129" s="7">
        <f>MIN(J129,10.0)</f>
        <v/>
      </c>
      <c r="M129" s="7">
        <f>MAX(0,MIN(J129,12)-10.0)</f>
        <v/>
      </c>
      <c r="N129" s="7">
        <f>MAX(0,J129-12)</f>
        <v/>
      </c>
      <c r="O129" s="5" t="n"/>
      <c r="P129" s="6">
        <f>E129*(L129+M129*1.5+N129*2+O129*3+N(K129))</f>
        <v/>
      </c>
      <c r="Q129" s="6" t="n">
        <v>357.12</v>
      </c>
      <c r="R129" s="6">
        <f>Q129-P129</f>
        <v/>
      </c>
    </row>
    <row r="130">
      <c r="A130" s="5" t="inlineStr">
        <is>
          <t>2502</t>
        </is>
      </c>
      <c r="B130" s="5" t="inlineStr"/>
      <c r="C130" s="5" t="inlineStr">
        <is>
          <t>STUDIOBESTBOYGRIP</t>
        </is>
      </c>
      <c r="D130" s="5" t="inlineStr">
        <is>
          <t>Local80</t>
        </is>
      </c>
      <c r="E130" s="6" t="n">
        <v>43.05</v>
      </c>
      <c r="F130" s="5" t="n"/>
      <c r="G130" s="5" t="n"/>
      <c r="H130" s="5" t="n"/>
      <c r="I130" s="5" t="n"/>
      <c r="J130" s="7">
        <f>IF(AND(N(F130)&gt;0,N(I130)&gt;0),I130-F130-IF(N(G130)&gt;0,0.5,0)-IF(N(H130)&gt;0,0.5,0),0)</f>
        <v/>
      </c>
      <c r="K130" s="5" t="n"/>
      <c r="L130" s="7">
        <f>MIN(J130,10.0)</f>
        <v/>
      </c>
      <c r="M130" s="7">
        <f>MAX(0,MIN(J130,12)-10.0)</f>
        <v/>
      </c>
      <c r="N130" s="7">
        <f>MAX(0,J130-12)</f>
        <v/>
      </c>
      <c r="O130" s="5" t="n"/>
      <c r="P130" s="6">
        <f>E130*(L130+M130*1.5+N130*2+O130*3+N(K130))</f>
        <v/>
      </c>
      <c r="Q130" s="6" t="n">
        <v>667.27</v>
      </c>
      <c r="R130" s="6">
        <f>Q130-P130</f>
        <v/>
      </c>
    </row>
    <row r="131">
      <c r="P131" s="2" t="inlineStr">
        <is>
          <t>BESTBOYGRIP LABOR</t>
        </is>
      </c>
      <c r="R131" s="8">
        <f>SUM(R129:R130)</f>
        <v/>
      </c>
    </row>
    <row r="133">
      <c r="B133" s="2" t="inlineStr">
        <is>
          <t>DOLLYGRIP</t>
        </is>
      </c>
    </row>
    <row r="134">
      <c r="A134" s="5" t="inlineStr">
        <is>
          <t>2503</t>
        </is>
      </c>
      <c r="B134" s="5" t="inlineStr">
        <is>
          <t>Peter Weidenfeller</t>
        </is>
      </c>
      <c r="C134" s="5" t="inlineStr">
        <is>
          <t>"A"DOLLYGRIP</t>
        </is>
      </c>
      <c r="D134" s="5" t="inlineStr">
        <is>
          <t>Local80</t>
        </is>
      </c>
      <c r="E134" s="6" t="n">
        <v>23.04</v>
      </c>
      <c r="F134" s="5" t="n"/>
      <c r="G134" s="5" t="n"/>
      <c r="H134" s="5" t="n"/>
      <c r="I134" s="5" t="n"/>
      <c r="J134" s="7">
        <f>IF(AND(N(F134)&gt;0,N(I134)&gt;0),I134-F134-IF(N(G134)&gt;0,0.5,0)-IF(N(H134)&gt;0,0.5,0),0)</f>
        <v/>
      </c>
      <c r="K134" s="5" t="n"/>
      <c r="L134" s="7">
        <f>MIN(J134,10.0)</f>
        <v/>
      </c>
      <c r="M134" s="7">
        <f>MAX(0,MIN(J134,12)-10.0)</f>
        <v/>
      </c>
      <c r="N134" s="7">
        <f>MAX(0,J134-12)</f>
        <v/>
      </c>
      <c r="O134" s="5" t="n"/>
      <c r="P134" s="6">
        <f>E134*(L134+M134*1.5+N134*2+O134*3+N(K134))</f>
        <v/>
      </c>
      <c r="Q134" s="6" t="n">
        <v>357.12</v>
      </c>
      <c r="R134" s="6">
        <f>Q134-P134</f>
        <v/>
      </c>
    </row>
    <row r="135">
      <c r="P135" s="2" t="inlineStr">
        <is>
          <t>DOLLYGRIP LABOR</t>
        </is>
      </c>
      <c r="R135" s="8">
        <f>SUM(R134:R134)</f>
        <v/>
      </c>
    </row>
    <row r="137">
      <c r="B137" s="2" t="inlineStr">
        <is>
          <t>CRANEGRIPS</t>
        </is>
      </c>
    </row>
    <row r="138">
      <c r="A138" s="5" t="inlineStr">
        <is>
          <t>2504</t>
        </is>
      </c>
      <c r="B138" s="5" t="inlineStr"/>
      <c r="C138" s="5" t="inlineStr">
        <is>
          <t>CRANEOPERATOR</t>
        </is>
      </c>
      <c r="D138" s="5" t="inlineStr">
        <is>
          <t>Local80</t>
        </is>
      </c>
      <c r="E138" s="6" t="n">
        <v>792</v>
      </c>
      <c r="F138" s="5" t="n"/>
      <c r="G138" s="5" t="n"/>
      <c r="H138" s="5" t="n"/>
      <c r="I138" s="5" t="n"/>
      <c r="J138" s="7">
        <f>IF(AND(N(F138)&gt;0,N(I138)&gt;0),I138-F138-IF(N(G138)&gt;0,0.5,0)-IF(N(H138)&gt;0,0.5,0),0)</f>
        <v/>
      </c>
      <c r="K138" s="5" t="n"/>
      <c r="L138" s="7">
        <f>MIN(J138,10.0)</f>
        <v/>
      </c>
      <c r="M138" s="7">
        <f>MAX(0,MIN(J138,12)-10.0)</f>
        <v/>
      </c>
      <c r="N138" s="7">
        <f>MAX(0,J138-12)</f>
        <v/>
      </c>
      <c r="O138" s="5" t="n"/>
      <c r="P138" s="6">
        <f>E138*(L138+M138*1.5+N138*2+O138*3+N(K138))</f>
        <v/>
      </c>
      <c r="Q138" s="6" t="n">
        <v>924</v>
      </c>
      <c r="R138" s="6">
        <f>Q138-P138</f>
        <v/>
      </c>
    </row>
    <row r="139">
      <c r="A139" s="5" t="inlineStr">
        <is>
          <t>2504</t>
        </is>
      </c>
      <c r="B139" s="5" t="inlineStr"/>
      <c r="C139" s="5" t="inlineStr">
        <is>
          <t>CRANEASSISTANT</t>
        </is>
      </c>
      <c r="D139" s="5" t="inlineStr">
        <is>
          <t>Local80</t>
        </is>
      </c>
      <c r="E139" s="6" t="n">
        <v>660</v>
      </c>
      <c r="F139" s="5" t="n"/>
      <c r="G139" s="5" t="n"/>
      <c r="H139" s="5" t="n"/>
      <c r="I139" s="5" t="n"/>
      <c r="J139" s="7">
        <f>IF(AND(N(F139)&gt;0,N(I139)&gt;0),I139-F139-IF(N(G139)&gt;0,0.5,0)-IF(N(H139)&gt;0,0.5,0),0)</f>
        <v/>
      </c>
      <c r="K139" s="5" t="n"/>
      <c r="L139" s="7">
        <f>MIN(J139,10.0)</f>
        <v/>
      </c>
      <c r="M139" s="7">
        <f>MAX(0,MIN(J139,12)-10.0)</f>
        <v/>
      </c>
      <c r="N139" s="7">
        <f>MAX(0,J139-12)</f>
        <v/>
      </c>
      <c r="O139" s="5" t="n"/>
      <c r="P139" s="6">
        <f>E139*(L139+M139*1.5+N139*2+O139*3+N(K139))</f>
        <v/>
      </c>
      <c r="Q139" s="6" t="n">
        <v>770</v>
      </c>
      <c r="R139" s="6">
        <f>Q139-P139</f>
        <v/>
      </c>
    </row>
    <row r="140">
      <c r="P140" s="2" t="inlineStr">
        <is>
          <t>CRANEGRIPS LABOR</t>
        </is>
      </c>
      <c r="R140" s="8">
        <f>SUM(R138:R139)</f>
        <v/>
      </c>
    </row>
    <row r="142">
      <c r="B142" s="2" t="inlineStr">
        <is>
          <t>COMPANYGRIPS</t>
        </is>
      </c>
    </row>
    <row r="143">
      <c r="A143" s="5" t="inlineStr">
        <is>
          <t>2505</t>
        </is>
      </c>
      <c r="B143" s="5" t="inlineStr"/>
      <c r="C143" s="5" t="inlineStr">
        <is>
          <t>GRIP#1</t>
        </is>
      </c>
      <c r="D143" s="5" t="inlineStr">
        <is>
          <t>Local80</t>
        </is>
      </c>
      <c r="E143" s="6" t="n">
        <v>20.57</v>
      </c>
      <c r="F143" s="5" t="n"/>
      <c r="G143" s="5" t="n"/>
      <c r="H143" s="5" t="n"/>
      <c r="I143" s="5" t="n"/>
      <c r="J143" s="7">
        <f>IF(AND(N(F143)&gt;0,N(I143)&gt;0),I143-F143-IF(N(G143)&gt;0,0.5,0)-IF(N(H143)&gt;0,0.5,0),0)</f>
        <v/>
      </c>
      <c r="K143" s="5" t="n"/>
      <c r="L143" s="7">
        <f>MIN(J143,10.0)</f>
        <v/>
      </c>
      <c r="M143" s="7">
        <f>MAX(0,MIN(J143,12)-10.0)</f>
        <v/>
      </c>
      <c r="N143" s="7">
        <f>MAX(0,J143-12)</f>
        <v/>
      </c>
      <c r="O143" s="5" t="n"/>
      <c r="P143" s="6">
        <f>E143*(L143+M143*1.5+N143*2+O143*3+N(K143))</f>
        <v/>
      </c>
      <c r="Q143" s="6" t="n">
        <v>318.83</v>
      </c>
      <c r="R143" s="6">
        <f>Q143-P143</f>
        <v/>
      </c>
    </row>
    <row r="144">
      <c r="A144" s="5" t="inlineStr">
        <is>
          <t>2505</t>
        </is>
      </c>
      <c r="B144" s="5" t="inlineStr"/>
      <c r="C144" s="5" t="inlineStr">
        <is>
          <t>GRIP#2</t>
        </is>
      </c>
      <c r="D144" s="5" t="inlineStr">
        <is>
          <t>Local80</t>
        </is>
      </c>
      <c r="E144" s="6" t="n">
        <v>20.57</v>
      </c>
      <c r="F144" s="5" t="n"/>
      <c r="G144" s="5" t="n"/>
      <c r="H144" s="5" t="n"/>
      <c r="I144" s="5" t="n"/>
      <c r="J144" s="7">
        <f>IF(AND(N(F144)&gt;0,N(I144)&gt;0),I144-F144-IF(N(G144)&gt;0,0.5,0)-IF(N(H144)&gt;0,0.5,0),0)</f>
        <v/>
      </c>
      <c r="K144" s="5" t="n"/>
      <c r="L144" s="7">
        <f>MIN(J144,10.0)</f>
        <v/>
      </c>
      <c r="M144" s="7">
        <f>MAX(0,MIN(J144,12)-10.0)</f>
        <v/>
      </c>
      <c r="N144" s="7">
        <f>MAX(0,J144-12)</f>
        <v/>
      </c>
      <c r="O144" s="5" t="n"/>
      <c r="P144" s="6">
        <f>E144*(L144+M144*1.5+N144*2+O144*3+N(K144))</f>
        <v/>
      </c>
      <c r="Q144" s="6" t="n">
        <v>318.83</v>
      </c>
      <c r="R144" s="6">
        <f>Q144-P144</f>
        <v/>
      </c>
    </row>
    <row r="145">
      <c r="A145" s="5" t="inlineStr">
        <is>
          <t>2505</t>
        </is>
      </c>
      <c r="B145" s="5" t="inlineStr"/>
      <c r="C145" s="5" t="inlineStr">
        <is>
          <t>GRIP#3</t>
        </is>
      </c>
      <c r="D145" s="5" t="inlineStr">
        <is>
          <t>Local80</t>
        </is>
      </c>
      <c r="E145" s="6" t="n">
        <v>20.57</v>
      </c>
      <c r="F145" s="5" t="n"/>
      <c r="G145" s="5" t="n"/>
      <c r="H145" s="5" t="n"/>
      <c r="I145" s="5" t="n"/>
      <c r="J145" s="7">
        <f>IF(AND(N(F145)&gt;0,N(I145)&gt;0),I145-F145-IF(N(G145)&gt;0,0.5,0)-IF(N(H145)&gt;0,0.5,0),0)</f>
        <v/>
      </c>
      <c r="K145" s="5" t="n"/>
      <c r="L145" s="7">
        <f>MIN(J145,10.0)</f>
        <v/>
      </c>
      <c r="M145" s="7">
        <f>MAX(0,MIN(J145,12)-10.0)</f>
        <v/>
      </c>
      <c r="N145" s="7">
        <f>MAX(0,J145-12)</f>
        <v/>
      </c>
      <c r="O145" s="5" t="n"/>
      <c r="P145" s="6">
        <f>E145*(L145+M145*1.5+N145*2+O145*3+N(K145))</f>
        <v/>
      </c>
      <c r="Q145" s="6" t="n">
        <v>318.83</v>
      </c>
      <c r="R145" s="6">
        <f>Q145-P145</f>
        <v/>
      </c>
    </row>
    <row r="146">
      <c r="P146" s="2" t="inlineStr">
        <is>
          <t>COMPANYGRIPS LABOR</t>
        </is>
      </c>
      <c r="R146" s="8">
        <f>SUM(R143:R145)</f>
        <v/>
      </c>
    </row>
    <row r="148">
      <c r="B148" s="2" t="inlineStr">
        <is>
          <t>OTHERLABOR</t>
        </is>
      </c>
    </row>
    <row r="149">
      <c r="A149" s="5" t="inlineStr">
        <is>
          <t>2506</t>
        </is>
      </c>
      <c r="B149" s="5" t="inlineStr"/>
      <c r="C149" s="5" t="inlineStr">
        <is>
          <t>GRIPMANDAYS&amp;RIGGINGMANDAYS</t>
        </is>
      </c>
      <c r="D149" s="5" t="inlineStr">
        <is>
          <t>Local80</t>
        </is>
      </c>
      <c r="E149" s="6" t="n">
        <v>20.57</v>
      </c>
      <c r="F149" s="5" t="n"/>
      <c r="G149" s="5" t="n"/>
      <c r="H149" s="5" t="n"/>
      <c r="I149" s="5" t="n"/>
      <c r="J149" s="7">
        <f>IF(AND(N(F149)&gt;0,N(I149)&gt;0),I149-F149-IF(N(G149)&gt;0,0.5,0)-IF(N(H149)&gt;0,0.5,0),0)</f>
        <v/>
      </c>
      <c r="K149" s="5" t="n"/>
      <c r="L149" s="7">
        <f>MIN(J149,10.0)</f>
        <v/>
      </c>
      <c r="M149" s="7">
        <f>MAX(0,MIN(J149,12)-10.0)</f>
        <v/>
      </c>
      <c r="N149" s="7">
        <f>MAX(0,J149-12)</f>
        <v/>
      </c>
      <c r="O149" s="5" t="n"/>
      <c r="P149" s="6">
        <f>E149*(L149+M149*1.5+N149*2+O149*3+N(K149))</f>
        <v/>
      </c>
      <c r="Q149" s="6" t="n">
        <v>318.83</v>
      </c>
      <c r="R149" s="6">
        <f>Q149-P149</f>
        <v/>
      </c>
    </row>
    <row r="150">
      <c r="P150" s="2" t="inlineStr">
        <is>
          <t>OTHERLABOR LABOR</t>
        </is>
      </c>
      <c r="R150" s="8">
        <f>SUM(R149:R149)</f>
        <v/>
      </c>
    </row>
    <row r="152">
      <c r="B152" s="2" t="inlineStr">
        <is>
          <t>STANDBYLABOR</t>
        </is>
      </c>
    </row>
    <row r="153">
      <c r="A153" s="5" t="inlineStr">
        <is>
          <t>2510</t>
        </is>
      </c>
      <c r="B153" s="5" t="inlineStr"/>
      <c r="C153" s="5" t="inlineStr">
        <is>
          <t>LAYOUTBOARD</t>
        </is>
      </c>
      <c r="D153" s="5" t="inlineStr">
        <is>
          <t>Local729</t>
        </is>
      </c>
      <c r="E153" s="6" t="n">
        <v>25.5</v>
      </c>
      <c r="F153" s="5" t="n"/>
      <c r="G153" s="5" t="n"/>
      <c r="H153" s="5" t="n"/>
      <c r="I153" s="5" t="n"/>
      <c r="J153" s="7">
        <f>IF(AND(N(F153)&gt;0,N(I153)&gt;0),I153-F153-IF(N(G153)&gt;0,0.5,0)-IF(N(H153)&gt;0,0.5,0),0)</f>
        <v/>
      </c>
      <c r="K153" s="5" t="n"/>
      <c r="L153" s="7">
        <f>MIN(J153,10.0)</f>
        <v/>
      </c>
      <c r="M153" s="7">
        <f>MAX(0,MIN(J153,12)-10.0)</f>
        <v/>
      </c>
      <c r="N153" s="7">
        <f>MAX(0,J153-12)</f>
        <v/>
      </c>
      <c r="O153" s="5" t="n"/>
      <c r="P153" s="6">
        <f>E153*(L153+M153*1.5+N153*2+O153*3+N(K153))</f>
        <v/>
      </c>
      <c r="Q153" s="6" t="n">
        <v>395.25</v>
      </c>
      <c r="R153" s="6">
        <f>Q153-P153</f>
        <v/>
      </c>
    </row>
    <row r="154">
      <c r="P154" s="2" t="inlineStr">
        <is>
          <t>STANDBYLABOR LABOR</t>
        </is>
      </c>
      <c r="R154" s="8">
        <f>SUM(R153:R153)</f>
        <v/>
      </c>
    </row>
    <row r="156">
      <c r="B156" s="2" t="inlineStr">
        <is>
          <t>SETCRAFTSERVICELABOR</t>
        </is>
      </c>
    </row>
    <row r="157">
      <c r="A157" s="5" t="inlineStr">
        <is>
          <t>2511</t>
        </is>
      </c>
      <c r="B157" s="5" t="inlineStr">
        <is>
          <t>Maurico Solis</t>
        </is>
      </c>
      <c r="C157" s="5" t="inlineStr">
        <is>
          <t>KEYCRAFTSERVICE</t>
        </is>
      </c>
      <c r="D157" s="5" t="inlineStr">
        <is>
          <t>Local80</t>
        </is>
      </c>
      <c r="E157" s="6" t="n">
        <v>25.5</v>
      </c>
      <c r="F157" s="5" t="n"/>
      <c r="G157" s="5" t="n"/>
      <c r="H157" s="5" t="n"/>
      <c r="I157" s="5" t="n"/>
      <c r="J157" s="7">
        <f>IF(AND(N(F157)&gt;0,N(I157)&gt;0),I157-F157-IF(N(G157)&gt;0,0.5,0)-IF(N(H157)&gt;0,0.5,0),0)</f>
        <v/>
      </c>
      <c r="K157" s="5" t="n"/>
      <c r="L157" s="7">
        <f>MIN(J157,10.0)</f>
        <v/>
      </c>
      <c r="M157" s="7">
        <f>MAX(0,MIN(J157,12)-10.0)</f>
        <v/>
      </c>
      <c r="N157" s="7">
        <f>MAX(0,J157-12)</f>
        <v/>
      </c>
      <c r="O157" s="5" t="n"/>
      <c r="P157" s="6">
        <f>E157*(L157+M157*1.5+N157*2+O157*3+N(K157))</f>
        <v/>
      </c>
      <c r="Q157" s="6" t="n">
        <v>439.87</v>
      </c>
      <c r="R157" s="6">
        <f>Q157-P157</f>
        <v/>
      </c>
    </row>
    <row r="158">
      <c r="A158" s="5" t="inlineStr">
        <is>
          <t>2511</t>
        </is>
      </c>
      <c r="B158" s="5" t="inlineStr"/>
      <c r="C158" s="5" t="inlineStr">
        <is>
          <t>ASSTCRAFTSERVICE</t>
        </is>
      </c>
      <c r="D158" s="5" t="inlineStr">
        <is>
          <t>Local80</t>
        </is>
      </c>
      <c r="E158" s="6" t="n">
        <v>23.04</v>
      </c>
      <c r="F158" s="5" t="n"/>
      <c r="G158" s="5" t="n"/>
      <c r="H158" s="5" t="n"/>
      <c r="I158" s="5" t="n"/>
      <c r="J158" s="7">
        <f>IF(AND(N(F158)&gt;0,N(I158)&gt;0),I158-F158-IF(N(G158)&gt;0,0.5,0)-IF(N(H158)&gt;0,0.5,0),0)</f>
        <v/>
      </c>
      <c r="K158" s="5" t="n"/>
      <c r="L158" s="7">
        <f>MIN(J158,10.0)</f>
        <v/>
      </c>
      <c r="M158" s="7">
        <f>MAX(0,MIN(J158,12)-10.0)</f>
        <v/>
      </c>
      <c r="N158" s="7">
        <f>MAX(0,J158-12)</f>
        <v/>
      </c>
      <c r="O158" s="5" t="n"/>
      <c r="P158" s="6">
        <f>E158*(L158+M158*1.5+N158*2+O158*3+N(K158))</f>
        <v/>
      </c>
      <c r="Q158" s="6" t="n">
        <v>397.43</v>
      </c>
      <c r="R158" s="6">
        <f>Q158-P158</f>
        <v/>
      </c>
    </row>
    <row r="159">
      <c r="P159" s="2" t="inlineStr">
        <is>
          <t>SETCRAFTSERVICELABOR LABOR</t>
        </is>
      </c>
      <c r="R159" s="8">
        <f>SUM(R157:R158)</f>
        <v/>
      </c>
    </row>
    <row r="161">
      <c r="B161" s="2" t="inlineStr">
        <is>
          <t>SETFIRSTAIDLABOR</t>
        </is>
      </c>
    </row>
    <row r="162">
      <c r="A162" s="5" t="inlineStr">
        <is>
          <t>2514</t>
        </is>
      </c>
      <c r="B162" s="5" t="inlineStr">
        <is>
          <t>Robert Hill</t>
        </is>
      </c>
      <c r="C162" s="5" t="inlineStr">
        <is>
          <t>SETMEDIC</t>
        </is>
      </c>
      <c r="D162" s="5" t="inlineStr">
        <is>
          <t>Local80</t>
        </is>
      </c>
      <c r="E162" s="6" t="n">
        <v>23.04</v>
      </c>
      <c r="F162" s="5" t="n"/>
      <c r="G162" s="5" t="n"/>
      <c r="H162" s="5" t="n"/>
      <c r="I162" s="5" t="n"/>
      <c r="J162" s="7">
        <f>IF(AND(N(F162)&gt;0,N(I162)&gt;0),I162-F162-IF(N(G162)&gt;0,0.5,0)-IF(N(H162)&gt;0,0.5,0),0)</f>
        <v/>
      </c>
      <c r="K162" s="5" t="n"/>
      <c r="L162" s="7">
        <f>MIN(J162,10.0)</f>
        <v/>
      </c>
      <c r="M162" s="7">
        <f>MAX(0,MIN(J162,12)-10.0)</f>
        <v/>
      </c>
      <c r="N162" s="7">
        <f>MAX(0,J162-12)</f>
        <v/>
      </c>
      <c r="O162" s="5" t="n"/>
      <c r="P162" s="6">
        <f>E162*(L162+M162*1.5+N162*2+O162*3+N(K162))</f>
        <v/>
      </c>
      <c r="Q162" s="6" t="n">
        <v>397.43</v>
      </c>
      <c r="R162" s="6">
        <f>Q162-P162</f>
        <v/>
      </c>
    </row>
    <row r="163">
      <c r="A163" s="5" t="inlineStr">
        <is>
          <t>2514</t>
        </is>
      </c>
      <c r="B163" s="5" t="inlineStr"/>
      <c r="C163" s="5" t="inlineStr">
        <is>
          <t>RIGGINGMEDICMANDAYS</t>
        </is>
      </c>
      <c r="D163" s="5" t="inlineStr">
        <is>
          <t>Local80</t>
        </is>
      </c>
      <c r="E163" s="6" t="n">
        <v>23.04</v>
      </c>
      <c r="F163" s="5" t="n"/>
      <c r="G163" s="5" t="n"/>
      <c r="H163" s="5" t="n"/>
      <c r="I163" s="5" t="n"/>
      <c r="J163" s="7">
        <f>IF(AND(N(F163)&gt;0,N(I163)&gt;0),I163-F163-IF(N(G163)&gt;0,0.5,0)-IF(N(H163)&gt;0,0.5,0),0)</f>
        <v/>
      </c>
      <c r="K163" s="5" t="n"/>
      <c r="L163" s="7">
        <f>MIN(J163,10.0)</f>
        <v/>
      </c>
      <c r="M163" s="7">
        <f>MAX(0,MIN(J163,12)-10.0)</f>
        <v/>
      </c>
      <c r="N163" s="7">
        <f>MAX(0,J163-12)</f>
        <v/>
      </c>
      <c r="O163" s="5" t="n"/>
      <c r="P163" s="6">
        <f>E163*(L163+M163*1.5+N163*2+O163*3+N(K163))</f>
        <v/>
      </c>
      <c r="Q163" s="5" t="n"/>
      <c r="R163" s="6">
        <f>Q163-P163</f>
        <v/>
      </c>
    </row>
    <row r="164">
      <c r="P164" s="2" t="inlineStr">
        <is>
          <t>SETFIRSTAIDLABOR LABOR</t>
        </is>
      </c>
      <c r="R164" s="8">
        <f>SUM(R162:R163)</f>
        <v/>
      </c>
    </row>
    <row r="166">
      <c r="B166" s="2" t="inlineStr">
        <is>
          <t>SFXCOORDINATOR</t>
        </is>
      </c>
    </row>
    <row r="167">
      <c r="A167" s="5" t="inlineStr">
        <is>
          <t>2601</t>
        </is>
      </c>
      <c r="B167" s="5" t="inlineStr">
        <is>
          <t>Zak Knight</t>
        </is>
      </c>
      <c r="C167" s="5" t="inlineStr">
        <is>
          <t>SPFXCOORDINATOR</t>
        </is>
      </c>
      <c r="D167" s="5" t="inlineStr">
        <is>
          <t>Local44</t>
        </is>
      </c>
      <c r="E167" s="6" t="n">
        <v>42</v>
      </c>
      <c r="F167" s="5" t="n"/>
      <c r="G167" s="5" t="n"/>
      <c r="H167" s="5" t="n"/>
      <c r="I167" s="5" t="n"/>
      <c r="J167" s="7">
        <f>IF(AND(N(F167)&gt;0,N(I167)&gt;0),I167-F167-IF(N(G167)&gt;0,0.5,0)-IF(N(H167)&gt;0,0.5,0),0)</f>
        <v/>
      </c>
      <c r="K167" s="5" t="n"/>
      <c r="L167" s="7">
        <f>MIN(J167,10.0)</f>
        <v/>
      </c>
      <c r="M167" s="7">
        <f>MAX(0,MIN(J167,12)-10.0)</f>
        <v/>
      </c>
      <c r="N167" s="7">
        <f>MAX(0,J167-12)</f>
        <v/>
      </c>
      <c r="O167" s="5" t="n"/>
      <c r="P167" s="6">
        <f>E167*(L167+M167*1.5+N167*2+O167*3+N(K167))</f>
        <v/>
      </c>
      <c r="Q167" s="6" t="n">
        <v>651</v>
      </c>
      <c r="R167" s="6">
        <f>Q167-P167</f>
        <v/>
      </c>
    </row>
    <row r="168">
      <c r="P168" s="2" t="inlineStr">
        <is>
          <t>SFXCOORDINATOR LABOR</t>
        </is>
      </c>
      <c r="R168" s="8">
        <f>SUM(R167:R167)</f>
        <v/>
      </c>
    </row>
    <row r="170">
      <c r="B170" s="2" t="inlineStr">
        <is>
          <t>SFXTECHMANDAYS</t>
        </is>
      </c>
    </row>
    <row r="171">
      <c r="A171" s="5" t="inlineStr">
        <is>
          <t>2609</t>
        </is>
      </c>
      <c r="B171" s="5" t="inlineStr"/>
      <c r="C171" s="5" t="inlineStr">
        <is>
          <t>SPFXTECHMANDAYS</t>
        </is>
      </c>
      <c r="D171" s="5" t="inlineStr">
        <is>
          <t>Local44</t>
        </is>
      </c>
      <c r="E171" s="6" t="n">
        <v>40</v>
      </c>
      <c r="F171" s="5" t="n"/>
      <c r="G171" s="5" t="n"/>
      <c r="H171" s="5" t="n"/>
      <c r="I171" s="5" t="n"/>
      <c r="J171" s="7">
        <f>IF(AND(N(F171)&gt;0,N(I171)&gt;0),I171-F171-IF(N(G171)&gt;0,0.5,0)-IF(N(H171)&gt;0,0.5,0),0)</f>
        <v/>
      </c>
      <c r="K171" s="5" t="n"/>
      <c r="L171" s="7">
        <f>MIN(J171,10.0)</f>
        <v/>
      </c>
      <c r="M171" s="7">
        <f>MAX(0,MIN(J171,12)-10.0)</f>
        <v/>
      </c>
      <c r="N171" s="7">
        <f>MAX(0,J171-12)</f>
        <v/>
      </c>
      <c r="O171" s="5" t="n"/>
      <c r="P171" s="6">
        <f>E171*(L171+M171*1.5+N171*2+O171*3+N(K171))</f>
        <v/>
      </c>
      <c r="Q171" s="6" t="n">
        <v>620</v>
      </c>
      <c r="R171" s="6">
        <f>Q171-P171</f>
        <v/>
      </c>
    </row>
    <row r="172">
      <c r="A172" s="5" t="inlineStr">
        <is>
          <t>2609</t>
        </is>
      </c>
      <c r="B172" s="5" t="inlineStr"/>
      <c r="C172" s="5" t="inlineStr">
        <is>
          <t>SPFXASSISTANTMANDAYS</t>
        </is>
      </c>
      <c r="D172" s="5" t="inlineStr">
        <is>
          <t>Local44</t>
        </is>
      </c>
      <c r="E172" s="6" t="n">
        <v>25.5</v>
      </c>
      <c r="F172" s="5" t="n"/>
      <c r="G172" s="5" t="n"/>
      <c r="H172" s="5" t="n"/>
      <c r="I172" s="5" t="n"/>
      <c r="J172" s="7">
        <f>IF(AND(N(F172)&gt;0,N(I172)&gt;0),I172-F172-IF(N(G172)&gt;0,0.5,0)-IF(N(H172)&gt;0,0.5,0),0)</f>
        <v/>
      </c>
      <c r="K172" s="5" t="n"/>
      <c r="L172" s="7">
        <f>MIN(J172,10.0)</f>
        <v/>
      </c>
      <c r="M172" s="7">
        <f>MAX(0,MIN(J172,12)-10.0)</f>
        <v/>
      </c>
      <c r="N172" s="7">
        <f>MAX(0,J172-12)</f>
        <v/>
      </c>
      <c r="O172" s="5" t="n"/>
      <c r="P172" s="6">
        <f>E172*(L172+M172*1.5+N172*2+O172*3+N(K172))</f>
        <v/>
      </c>
      <c r="Q172" s="6" t="n">
        <v>395.25</v>
      </c>
      <c r="R172" s="6">
        <f>Q172-P172</f>
        <v/>
      </c>
    </row>
    <row r="173">
      <c r="A173" s="5" t="inlineStr">
        <is>
          <t>2609</t>
        </is>
      </c>
      <c r="B173" s="5" t="inlineStr"/>
      <c r="C173" s="5" t="inlineStr">
        <is>
          <t>PYROMANDAYS</t>
        </is>
      </c>
      <c r="D173" s="5" t="inlineStr">
        <is>
          <t>Local44</t>
        </is>
      </c>
      <c r="E173" s="6" t="n">
        <v>68.18000000000001</v>
      </c>
      <c r="F173" s="5" t="n"/>
      <c r="G173" s="5" t="n"/>
      <c r="H173" s="5" t="n"/>
      <c r="I173" s="5" t="n"/>
      <c r="J173" s="7">
        <f>IF(AND(N(F173)&gt;0,N(I173)&gt;0),I173-F173-IF(N(G173)&gt;0,0.5,0)-IF(N(H173)&gt;0,0.5,0),0)</f>
        <v/>
      </c>
      <c r="K173" s="5" t="n"/>
      <c r="L173" s="7">
        <f>MIN(J173,10.0)</f>
        <v/>
      </c>
      <c r="M173" s="7">
        <f>MAX(0,MIN(J173,12)-10.0)</f>
        <v/>
      </c>
      <c r="N173" s="7">
        <f>MAX(0,J173-12)</f>
        <v/>
      </c>
      <c r="O173" s="5" t="n"/>
      <c r="P173" s="6">
        <f>E173*(L173+M173*1.5+N173*2+O173*3+N(K173))</f>
        <v/>
      </c>
      <c r="Q173" s="6" t="n">
        <v>749.98</v>
      </c>
      <c r="R173" s="6">
        <f>Q173-P173</f>
        <v/>
      </c>
    </row>
    <row r="174">
      <c r="P174" s="2" t="inlineStr">
        <is>
          <t>SFXTECHMANDAYS LABOR</t>
        </is>
      </c>
      <c r="R174" s="8">
        <f>SUM(R171:R173)</f>
        <v/>
      </c>
    </row>
    <row r="176">
      <c r="B176" s="2" t="inlineStr">
        <is>
          <t>SETDECORATOR</t>
        </is>
      </c>
    </row>
    <row r="177">
      <c r="A177" s="5" t="inlineStr">
        <is>
          <t>2701</t>
        </is>
      </c>
      <c r="B177" s="5" t="inlineStr">
        <is>
          <t>Sandy Skora</t>
        </is>
      </c>
      <c r="C177" s="5" t="inlineStr">
        <is>
          <t>SETDECORATOR</t>
        </is>
      </c>
      <c r="D177" s="5" t="inlineStr">
        <is>
          <t>Local44</t>
        </is>
      </c>
      <c r="E177" s="6" t="n">
        <v>400</v>
      </c>
      <c r="F177" s="5" t="n"/>
      <c r="G177" s="5" t="n"/>
      <c r="H177" s="5" t="n"/>
      <c r="I177" s="5" t="n"/>
      <c r="J177" s="7">
        <f>IF(AND(N(F177)&gt;0,N(I177)&gt;0),I177-F177-IF(N(G177)&gt;0,0.5,0)-IF(N(H177)&gt;0,0.5,0),0)</f>
        <v/>
      </c>
      <c r="K177" s="5" t="n"/>
      <c r="L177" s="7">
        <f>MIN(J177,10.0)</f>
        <v/>
      </c>
      <c r="M177" s="7">
        <f>MAX(0,MIN(J177,12)-10.0)</f>
        <v/>
      </c>
      <c r="N177" s="7">
        <f>MAX(0,J177-12)</f>
        <v/>
      </c>
      <c r="O177" s="5" t="n"/>
      <c r="P177" s="6">
        <f>E177*(L177+M177*1.5+N177*2+O177*3+N(K177))</f>
        <v/>
      </c>
      <c r="Q177" s="6" t="n">
        <v>400</v>
      </c>
      <c r="R177" s="6">
        <f>Q177-P177</f>
        <v/>
      </c>
    </row>
    <row r="178">
      <c r="P178" s="2" t="inlineStr">
        <is>
          <t>SETDECORATOR LABOR</t>
        </is>
      </c>
      <c r="R178" s="8">
        <f>SUM(R177:R177)</f>
        <v/>
      </c>
    </row>
    <row r="180">
      <c r="B180" s="2" t="inlineStr">
        <is>
          <t>LEADPERSON</t>
        </is>
      </c>
    </row>
    <row r="181">
      <c r="A181" s="5" t="inlineStr">
        <is>
          <t>2702</t>
        </is>
      </c>
      <c r="B181" s="5" t="inlineStr">
        <is>
          <t>Josh Richmond</t>
        </is>
      </c>
      <c r="C181" s="5" t="inlineStr">
        <is>
          <t>LEADPERSON</t>
        </is>
      </c>
      <c r="D181" s="5" t="inlineStr">
        <is>
          <t>Local44</t>
        </is>
      </c>
      <c r="E181" s="6" t="n">
        <v>23.04</v>
      </c>
      <c r="F181" s="5" t="n"/>
      <c r="G181" s="5" t="n"/>
      <c r="H181" s="5" t="n"/>
      <c r="I181" s="5" t="n"/>
      <c r="J181" s="7">
        <f>IF(AND(N(F181)&gt;0,N(I181)&gt;0),I181-F181-IF(N(G181)&gt;0,0.5,0)-IF(N(H181)&gt;0,0.5,0),0)</f>
        <v/>
      </c>
      <c r="K181" s="5" t="n"/>
      <c r="L181" s="7">
        <f>MIN(J181,10.0)</f>
        <v/>
      </c>
      <c r="M181" s="7">
        <f>MAX(0,MIN(J181,12)-10.0)</f>
        <v/>
      </c>
      <c r="N181" s="7">
        <f>MAX(0,J181-12)</f>
        <v/>
      </c>
      <c r="O181" s="5" t="n"/>
      <c r="P181" s="6">
        <f>E181*(L181+M181*1.5+N181*2+O181*3+N(K181))</f>
        <v/>
      </c>
      <c r="Q181" s="6" t="n">
        <v>322.56</v>
      </c>
      <c r="R181" s="6">
        <f>Q181-P181</f>
        <v/>
      </c>
    </row>
    <row r="182">
      <c r="P182" s="2" t="inlineStr">
        <is>
          <t>LEADPERSON LABOR</t>
        </is>
      </c>
      <c r="R182" s="8">
        <f>SUM(R181:R181)</f>
        <v/>
      </c>
    </row>
    <row r="184">
      <c r="B184" s="2" t="inlineStr">
        <is>
          <t>SWINGLABOR</t>
        </is>
      </c>
    </row>
    <row r="185">
      <c r="A185" s="5" t="inlineStr">
        <is>
          <t>2703</t>
        </is>
      </c>
      <c r="B185" s="5" t="inlineStr">
        <is>
          <t>Tim Dodge</t>
        </is>
      </c>
      <c r="C185" s="5" t="inlineStr">
        <is>
          <t>SWING#1</t>
        </is>
      </c>
      <c r="D185" s="5" t="inlineStr">
        <is>
          <t>Local44</t>
        </is>
      </c>
      <c r="E185" s="6" t="n">
        <v>20.57</v>
      </c>
      <c r="F185" s="5" t="n"/>
      <c r="G185" s="5" t="n"/>
      <c r="H185" s="5" t="n"/>
      <c r="I185" s="5" t="n"/>
      <c r="J185" s="7">
        <f>IF(AND(N(F185)&gt;0,N(I185)&gt;0),I185-F185-IF(N(G185)&gt;0,0.5,0)-IF(N(H185)&gt;0,0.5,0),0)</f>
        <v/>
      </c>
      <c r="K185" s="5" t="n"/>
      <c r="L185" s="7">
        <f>MIN(J185,10.0)</f>
        <v/>
      </c>
      <c r="M185" s="7">
        <f>MAX(0,MIN(J185,12)-10.0)</f>
        <v/>
      </c>
      <c r="N185" s="7">
        <f>MAX(0,J185-12)</f>
        <v/>
      </c>
      <c r="O185" s="5" t="n"/>
      <c r="P185" s="6">
        <f>E185*(L185+M185*1.5+N185*2+O185*3+N(K185))</f>
        <v/>
      </c>
      <c r="Q185" s="6" t="n">
        <v>287.98</v>
      </c>
      <c r="R185" s="6">
        <f>Q185-P185</f>
        <v/>
      </c>
    </row>
    <row r="186">
      <c r="A186" s="5" t="inlineStr">
        <is>
          <t>2703</t>
        </is>
      </c>
      <c r="B186" s="5" t="inlineStr"/>
      <c r="C186" s="5" t="inlineStr">
        <is>
          <t>SWING#2</t>
        </is>
      </c>
      <c r="D186" s="5" t="inlineStr">
        <is>
          <t>Local44</t>
        </is>
      </c>
      <c r="E186" s="6" t="n">
        <v>20.57</v>
      </c>
      <c r="F186" s="5" t="n"/>
      <c r="G186" s="5" t="n"/>
      <c r="H186" s="5" t="n"/>
      <c r="I186" s="5" t="n"/>
      <c r="J186" s="7">
        <f>IF(AND(N(F186)&gt;0,N(I186)&gt;0),I186-F186-IF(N(G186)&gt;0,0.5,0)-IF(N(H186)&gt;0,0.5,0),0)</f>
        <v/>
      </c>
      <c r="K186" s="5" t="n"/>
      <c r="L186" s="7">
        <f>MIN(J186,10.0)</f>
        <v/>
      </c>
      <c r="M186" s="7">
        <f>MAX(0,MIN(J186,12)-10.0)</f>
        <v/>
      </c>
      <c r="N186" s="7">
        <f>MAX(0,J186-12)</f>
        <v/>
      </c>
      <c r="O186" s="5" t="n"/>
      <c r="P186" s="6">
        <f>E186*(L186+M186*1.5+N186*2+O186*3+N(K186))</f>
        <v/>
      </c>
      <c r="Q186" s="6" t="n">
        <v>287.98</v>
      </c>
      <c r="R186" s="6">
        <f>Q186-P186</f>
        <v/>
      </c>
    </row>
    <row r="187">
      <c r="A187" s="5" t="inlineStr">
        <is>
          <t>2703</t>
        </is>
      </c>
      <c r="B187" s="5" t="inlineStr"/>
      <c r="C187" s="5" t="inlineStr">
        <is>
          <t>ADDITIONALSWINGMANDAYS</t>
        </is>
      </c>
      <c r="D187" s="5" t="inlineStr">
        <is>
          <t>Local44</t>
        </is>
      </c>
      <c r="E187" s="6" t="n">
        <v>20.57</v>
      </c>
      <c r="F187" s="5" t="n"/>
      <c r="G187" s="5" t="n"/>
      <c r="H187" s="5" t="n"/>
      <c r="I187" s="5" t="n"/>
      <c r="J187" s="7">
        <f>IF(AND(N(F187)&gt;0,N(I187)&gt;0),I187-F187-IF(N(G187)&gt;0,0.5,0)-IF(N(H187)&gt;0,0.5,0),0)</f>
        <v/>
      </c>
      <c r="K187" s="5" t="n"/>
      <c r="L187" s="7">
        <f>MIN(J187,10.0)</f>
        <v/>
      </c>
      <c r="M187" s="7">
        <f>MAX(0,MIN(J187,12)-10.0)</f>
        <v/>
      </c>
      <c r="N187" s="7">
        <f>MAX(0,J187-12)</f>
        <v/>
      </c>
      <c r="O187" s="5" t="n"/>
      <c r="P187" s="6">
        <f>E187*(L187+M187*1.5+N187*2+O187*3+N(K187))</f>
        <v/>
      </c>
      <c r="Q187" s="6" t="n">
        <v>287.98</v>
      </c>
      <c r="R187" s="6">
        <f>Q187-P187</f>
        <v/>
      </c>
    </row>
    <row r="188">
      <c r="P188" s="2" t="inlineStr">
        <is>
          <t>SWINGLABOR LABOR</t>
        </is>
      </c>
      <c r="R188" s="8">
        <f>SUM(R185:R187)</f>
        <v/>
      </c>
    </row>
    <row r="190">
      <c r="B190" s="2" t="inlineStr">
        <is>
          <t>ON-SETDRESSER</t>
        </is>
      </c>
    </row>
    <row r="191">
      <c r="A191" s="5" t="inlineStr">
        <is>
          <t>2705</t>
        </is>
      </c>
      <c r="B191" s="5" t="inlineStr">
        <is>
          <t>Khamisi Thurman</t>
        </is>
      </c>
      <c r="C191" s="5" t="inlineStr">
        <is>
          <t>ON-SETDRESSER</t>
        </is>
      </c>
      <c r="D191" s="5" t="inlineStr">
        <is>
          <t>Local44</t>
        </is>
      </c>
      <c r="E191" s="6" t="n">
        <v>20.57</v>
      </c>
      <c r="F191" s="5" t="n"/>
      <c r="G191" s="5" t="n"/>
      <c r="H191" s="5" t="n"/>
      <c r="I191" s="5" t="n"/>
      <c r="J191" s="7">
        <f>IF(AND(N(F191)&gt;0,N(I191)&gt;0),I191-F191-IF(N(G191)&gt;0,0.5,0)-IF(N(H191)&gt;0,0.5,0),0)</f>
        <v/>
      </c>
      <c r="K191" s="5" t="n"/>
      <c r="L191" s="7">
        <f>MIN(J191,10.0)</f>
        <v/>
      </c>
      <c r="M191" s="7">
        <f>MAX(0,MIN(J191,12)-10.0)</f>
        <v/>
      </c>
      <c r="N191" s="7">
        <f>MAX(0,J191-12)</f>
        <v/>
      </c>
      <c r="O191" s="5" t="n"/>
      <c r="P191" s="6">
        <f>E191*(L191+M191*1.5+N191*2+O191*3+N(K191))</f>
        <v/>
      </c>
      <c r="Q191" s="6" t="n">
        <v>318.83</v>
      </c>
      <c r="R191" s="6">
        <f>Q191-P191</f>
        <v/>
      </c>
    </row>
    <row r="192">
      <c r="P192" s="2" t="inlineStr">
        <is>
          <t>ON-SETDRESSER LABOR</t>
        </is>
      </c>
      <c r="R192" s="8">
        <f>SUM(R191:R191)</f>
        <v/>
      </c>
    </row>
    <row r="194">
      <c r="B194" s="2" t="inlineStr">
        <is>
          <t>BUYERS</t>
        </is>
      </c>
    </row>
    <row r="195">
      <c r="A195" s="5" t="inlineStr">
        <is>
          <t>2706</t>
        </is>
      </c>
      <c r="B195" s="5" t="inlineStr">
        <is>
          <t>Sarah Hickman</t>
        </is>
      </c>
      <c r="C195" s="5" t="inlineStr">
        <is>
          <t>BUYER</t>
        </is>
      </c>
      <c r="D195" s="5" t="inlineStr">
        <is>
          <t>Local44</t>
        </is>
      </c>
      <c r="E195" s="6" t="n">
        <v>23.04</v>
      </c>
      <c r="F195" s="5" t="n"/>
      <c r="G195" s="5" t="n"/>
      <c r="H195" s="5" t="n"/>
      <c r="I195" s="5" t="n"/>
      <c r="J195" s="7">
        <f>IF(AND(N(F195)&gt;0,N(I195)&gt;0),I195-F195-IF(N(G195)&gt;0,0.5,0)-IF(N(H195)&gt;0,0.5,0),0)</f>
        <v/>
      </c>
      <c r="K195" s="5" t="n"/>
      <c r="L195" s="7">
        <f>MIN(J195,10.0)</f>
        <v/>
      </c>
      <c r="M195" s="7">
        <f>MAX(0,MIN(J195,12)-10.0)</f>
        <v/>
      </c>
      <c r="N195" s="7">
        <f>MAX(0,J195-12)</f>
        <v/>
      </c>
      <c r="O195" s="5" t="n"/>
      <c r="P195" s="6">
        <f>E195*(L195+M195*1.5+N195*2+O195*3+N(K195))</f>
        <v/>
      </c>
      <c r="Q195" s="5" t="n"/>
      <c r="R195" s="6">
        <f>Q195-P195</f>
        <v/>
      </c>
    </row>
    <row r="196">
      <c r="P196" s="2" t="inlineStr">
        <is>
          <t>BUYERS LABOR</t>
        </is>
      </c>
      <c r="R196" s="8">
        <f>SUM(R195:R195)</f>
        <v/>
      </c>
    </row>
    <row r="198">
      <c r="B198" s="2" t="inlineStr">
        <is>
          <t>PROPMASTER</t>
        </is>
      </c>
    </row>
    <row r="199">
      <c r="A199" s="5" t="inlineStr">
        <is>
          <t>2801</t>
        </is>
      </c>
      <c r="B199" s="5" t="inlineStr">
        <is>
          <t>Annie Brandt</t>
        </is>
      </c>
      <c r="C199" s="5" t="inlineStr">
        <is>
          <t>PROPMASTER</t>
        </is>
      </c>
      <c r="D199" s="5" t="inlineStr">
        <is>
          <t>Local44</t>
        </is>
      </c>
      <c r="E199" s="6" t="n">
        <v>25.5</v>
      </c>
      <c r="F199" s="5" t="n"/>
      <c r="G199" s="5" t="n"/>
      <c r="H199" s="5" t="n"/>
      <c r="I199" s="5" t="n"/>
      <c r="J199" s="7">
        <f>IF(AND(N(F199)&gt;0,N(I199)&gt;0),I199-F199-IF(N(G199)&gt;0,0.5,0)-IF(N(H199)&gt;0,0.5,0),0)</f>
        <v/>
      </c>
      <c r="K199" s="5" t="n"/>
      <c r="L199" s="7">
        <f>MIN(J199,10.0)</f>
        <v/>
      </c>
      <c r="M199" s="7">
        <f>MAX(0,MIN(J199,12)-10.0)</f>
        <v/>
      </c>
      <c r="N199" s="7">
        <f>MAX(0,J199-12)</f>
        <v/>
      </c>
      <c r="O199" s="5" t="n"/>
      <c r="P199" s="6">
        <f>E199*(L199+M199*1.5+N199*2+O199*3+N(K199))</f>
        <v/>
      </c>
      <c r="Q199" s="6" t="n">
        <v>395.25</v>
      </c>
      <c r="R199" s="6">
        <f>Q199-P199</f>
        <v/>
      </c>
    </row>
    <row r="200">
      <c r="P200" s="2" t="inlineStr">
        <is>
          <t>PROPMASTER LABOR</t>
        </is>
      </c>
      <c r="R200" s="8">
        <f>SUM(R199:R199)</f>
        <v/>
      </c>
    </row>
    <row r="202">
      <c r="B202" s="2" t="inlineStr">
        <is>
          <t>ASSTPROPMASTER</t>
        </is>
      </c>
    </row>
    <row r="203">
      <c r="A203" s="5" t="inlineStr">
        <is>
          <t>2802</t>
        </is>
      </c>
      <c r="B203" s="5" t="inlineStr">
        <is>
          <t>Nate Bakes</t>
        </is>
      </c>
      <c r="C203" s="5" t="inlineStr">
        <is>
          <t>ASSTPROPMASTER</t>
        </is>
      </c>
      <c r="D203" s="5" t="inlineStr">
        <is>
          <t>Local44</t>
        </is>
      </c>
      <c r="E203" s="6" t="n">
        <v>23.04</v>
      </c>
      <c r="F203" s="5" t="n"/>
      <c r="G203" s="5" t="n"/>
      <c r="H203" s="5" t="n"/>
      <c r="I203" s="5" t="n"/>
      <c r="J203" s="7">
        <f>IF(AND(N(F203)&gt;0,N(I203)&gt;0),I203-F203-IF(N(G203)&gt;0,0.5,0)-IF(N(H203)&gt;0,0.5,0),0)</f>
        <v/>
      </c>
      <c r="K203" s="5" t="n"/>
      <c r="L203" s="7">
        <f>MIN(J203,10.0)</f>
        <v/>
      </c>
      <c r="M203" s="7">
        <f>MAX(0,MIN(J203,12)-10.0)</f>
        <v/>
      </c>
      <c r="N203" s="7">
        <f>MAX(0,J203-12)</f>
        <v/>
      </c>
      <c r="O203" s="5" t="n"/>
      <c r="P203" s="6">
        <f>E203*(L203+M203*1.5+N203*2+O203*3+N(K203))</f>
        <v/>
      </c>
      <c r="Q203" s="6" t="n">
        <v>357.12</v>
      </c>
      <c r="R203" s="6">
        <f>Q203-P203</f>
        <v/>
      </c>
    </row>
    <row r="204">
      <c r="P204" s="2" t="inlineStr">
        <is>
          <t>ASSTPROPMASTER LABOR</t>
        </is>
      </c>
      <c r="R204" s="8">
        <f>SUM(R203:R203)</f>
        <v/>
      </c>
    </row>
    <row r="206">
      <c r="B206" s="2" t="inlineStr">
        <is>
          <t>COSTUMEDESIGNER</t>
        </is>
      </c>
    </row>
    <row r="207">
      <c r="A207" s="5" t="inlineStr">
        <is>
          <t>2901</t>
        </is>
      </c>
      <c r="B207" s="5" t="inlineStr">
        <is>
          <t>Megan Spatz</t>
        </is>
      </c>
      <c r="C207" s="5" t="inlineStr">
        <is>
          <t>COSTUMEDESIGNER</t>
        </is>
      </c>
      <c r="D207" s="5" t="inlineStr">
        <is>
          <t>Local892</t>
        </is>
      </c>
      <c r="E207" s="6" t="n">
        <v>540</v>
      </c>
      <c r="F207" s="5" t="n"/>
      <c r="G207" s="5" t="n"/>
      <c r="H207" s="5" t="n"/>
      <c r="I207" s="5" t="n"/>
      <c r="J207" s="7">
        <f>IF(AND(N(F207)&gt;0,N(I207)&gt;0),I207-F207-IF(N(G207)&gt;0,0.5,0)-IF(N(H207)&gt;0,0.5,0),0)</f>
        <v/>
      </c>
      <c r="K207" s="5" t="n"/>
      <c r="L207" s="7">
        <f>MIN(J207,8.0)</f>
        <v/>
      </c>
      <c r="M207" s="7">
        <f>MAX(0,MIN(J207,12)-8.0)</f>
        <v/>
      </c>
      <c r="N207" s="7">
        <f>MAX(0,J207-12)</f>
        <v/>
      </c>
      <c r="O207" s="5" t="n"/>
      <c r="P207" s="6">
        <f>E207*(L207+M207*1.5+N207*2+O207*3+N(K207))</f>
        <v/>
      </c>
      <c r="Q207" s="6" t="n">
        <v>540</v>
      </c>
      <c r="R207" s="6">
        <f>Q207-P207</f>
        <v/>
      </c>
    </row>
    <row r="208">
      <c r="P208" s="2" t="inlineStr">
        <is>
          <t>COSTUMEDESIGNER LABOR</t>
        </is>
      </c>
      <c r="R208" s="8">
        <f>SUM(R207:R207)</f>
        <v/>
      </c>
    </row>
    <row r="210">
      <c r="B210" s="2" t="inlineStr">
        <is>
          <t>COSTUMESUPERVISOR</t>
        </is>
      </c>
    </row>
    <row r="211">
      <c r="A211" s="5" t="inlineStr">
        <is>
          <t>2903</t>
        </is>
      </c>
      <c r="B211" s="5" t="inlineStr">
        <is>
          <t>Danielle Schuck</t>
        </is>
      </c>
      <c r="C211" s="5" t="inlineStr">
        <is>
          <t>COSTUMESUPERVISOR</t>
        </is>
      </c>
      <c r="D211" s="5" t="inlineStr">
        <is>
          <t>Local705</t>
        </is>
      </c>
      <c r="E211" s="6" t="n">
        <v>25.5</v>
      </c>
      <c r="F211" s="5" t="n"/>
      <c r="G211" s="5" t="n"/>
      <c r="H211" s="5" t="n"/>
      <c r="I211" s="5" t="n"/>
      <c r="J211" s="7">
        <f>IF(AND(N(F211)&gt;0,N(I211)&gt;0),I211-F211-IF(N(G211)&gt;0,0.5,0)-IF(N(H211)&gt;0,0.5,0),0)</f>
        <v/>
      </c>
      <c r="K211" s="5" t="n"/>
      <c r="L211" s="7">
        <f>MIN(J211,8.0)</f>
        <v/>
      </c>
      <c r="M211" s="7">
        <f>MAX(0,MIN(J211,12)-8.0)</f>
        <v/>
      </c>
      <c r="N211" s="7">
        <f>MAX(0,J211-12)</f>
        <v/>
      </c>
      <c r="O211" s="5" t="n"/>
      <c r="P211" s="6">
        <f>E211*(L211+M211*1.5+N211*2+O211*3+N(K211))</f>
        <v/>
      </c>
      <c r="Q211" s="6" t="n">
        <v>395.25</v>
      </c>
      <c r="R211" s="6">
        <f>Q211-P211</f>
        <v/>
      </c>
    </row>
    <row r="212">
      <c r="P212" s="2" t="inlineStr">
        <is>
          <t>COSTUMESUPERVISOR LABOR</t>
        </is>
      </c>
      <c r="R212" s="8">
        <f>SUM(R211:R211)</f>
        <v/>
      </c>
    </row>
    <row r="214">
      <c r="B214" s="2" t="inlineStr">
        <is>
          <t>SETCOSTUMERS</t>
        </is>
      </c>
    </row>
    <row r="215">
      <c r="A215" s="5" t="inlineStr">
        <is>
          <t>2905</t>
        </is>
      </c>
      <c r="B215" s="5" t="inlineStr">
        <is>
          <t>Monavie Tutop</t>
        </is>
      </c>
      <c r="C215" s="5" t="inlineStr">
        <is>
          <t>COSTUMER#1</t>
        </is>
      </c>
      <c r="D215" s="5" t="inlineStr">
        <is>
          <t>Local705</t>
        </is>
      </c>
      <c r="E215" s="6" t="n">
        <v>23.04</v>
      </c>
      <c r="F215" s="5" t="n"/>
      <c r="G215" s="5" t="n"/>
      <c r="H215" s="5" t="n"/>
      <c r="I215" s="5" t="n"/>
      <c r="J215" s="7">
        <f>IF(AND(N(F215)&gt;0,N(I215)&gt;0),I215-F215-IF(N(G215)&gt;0,0.5,0)-IF(N(H215)&gt;0,0.5,0),0)</f>
        <v/>
      </c>
      <c r="K215" s="5" t="n"/>
      <c r="L215" s="7">
        <f>MIN(J215,8.0)</f>
        <v/>
      </c>
      <c r="M215" s="7">
        <f>MAX(0,MIN(J215,12)-8.0)</f>
        <v/>
      </c>
      <c r="N215" s="7">
        <f>MAX(0,J215-12)</f>
        <v/>
      </c>
      <c r="O215" s="5" t="n"/>
      <c r="P215" s="6">
        <f>E215*(L215+M215*1.5+N215*2+O215*3+N(K215))</f>
        <v/>
      </c>
      <c r="Q215" s="6" t="n">
        <v>397.43</v>
      </c>
      <c r="R215" s="6">
        <f>Q215-P215</f>
        <v/>
      </c>
    </row>
    <row r="216">
      <c r="A216" s="5" t="inlineStr">
        <is>
          <t>2905</t>
        </is>
      </c>
      <c r="B216" s="5" t="inlineStr"/>
      <c r="C216" s="5" t="inlineStr">
        <is>
          <t>COSTUMER#2</t>
        </is>
      </c>
      <c r="D216" s="5" t="inlineStr">
        <is>
          <t>Local705</t>
        </is>
      </c>
      <c r="E216" s="6" t="n">
        <v>20.57</v>
      </c>
      <c r="F216" s="5" t="n"/>
      <c r="G216" s="5" t="n"/>
      <c r="H216" s="5" t="n"/>
      <c r="I216" s="5" t="n"/>
      <c r="J216" s="7">
        <f>IF(AND(N(F216)&gt;0,N(I216)&gt;0),I216-F216-IF(N(G216)&gt;0,0.5,0)-IF(N(H216)&gt;0,0.5,0),0)</f>
        <v/>
      </c>
      <c r="K216" s="5" t="n"/>
      <c r="L216" s="7">
        <f>MIN(J216,8.0)</f>
        <v/>
      </c>
      <c r="M216" s="7">
        <f>MAX(0,MIN(J216,12)-8.0)</f>
        <v/>
      </c>
      <c r="N216" s="7">
        <f>MAX(0,J216-12)</f>
        <v/>
      </c>
      <c r="O216" s="5" t="n"/>
      <c r="P216" s="6">
        <f>E216*(L216+M216*1.5+N216*2+O216*3+N(K216))</f>
        <v/>
      </c>
      <c r="Q216" s="6" t="n">
        <v>354.83</v>
      </c>
      <c r="R216" s="6">
        <f>Q216-P216</f>
        <v/>
      </c>
    </row>
    <row r="217">
      <c r="P217" s="2" t="inlineStr">
        <is>
          <t>SETCOSTUMERS LABOR</t>
        </is>
      </c>
      <c r="R217" s="8">
        <f>SUM(R215:R216)</f>
        <v/>
      </c>
    </row>
    <row r="219">
      <c r="B219" s="2" t="inlineStr">
        <is>
          <t>KEYMAKE-UP</t>
        </is>
      </c>
    </row>
    <row r="220">
      <c r="A220" s="5" t="inlineStr">
        <is>
          <t>3101</t>
        </is>
      </c>
      <c r="B220" s="5" t="inlineStr">
        <is>
          <t>Eleanor Sabaduquia</t>
        </is>
      </c>
      <c r="C220" s="5" t="inlineStr">
        <is>
          <t>KEYMAKEUPARTIST</t>
        </is>
      </c>
      <c r="D220" s="5" t="inlineStr">
        <is>
          <t>Local706</t>
        </is>
      </c>
      <c r="E220" s="6" t="n">
        <v>25.5</v>
      </c>
      <c r="F220" s="5" t="n"/>
      <c r="G220" s="5" t="n"/>
      <c r="H220" s="5" t="n"/>
      <c r="I220" s="5" t="n"/>
      <c r="J220" s="7">
        <f>IF(AND(N(F220)&gt;0,N(I220)&gt;0),I220-F220-IF(N(G220)&gt;0,0.5,0)-IF(N(H220)&gt;0,0.5,0),0)</f>
        <v/>
      </c>
      <c r="K220" s="5" t="n"/>
      <c r="L220" s="7">
        <f>MIN(J220,10.0)</f>
        <v/>
      </c>
      <c r="M220" s="7">
        <f>MAX(0,MIN(J220,12)-10.0)</f>
        <v/>
      </c>
      <c r="N220" s="7">
        <f>MAX(0,J220-12)</f>
        <v/>
      </c>
      <c r="O220" s="5" t="n"/>
      <c r="P220" s="6">
        <f>E220*(L220+M220*1.5+N220*2+O220*3+N(K220))</f>
        <v/>
      </c>
      <c r="Q220" s="6" t="n">
        <v>439.87</v>
      </c>
      <c r="R220" s="6">
        <f>Q220-P220</f>
        <v/>
      </c>
    </row>
    <row r="221">
      <c r="P221" s="2" t="inlineStr">
        <is>
          <t>KEYMAKE-UP LABOR</t>
        </is>
      </c>
      <c r="R221" s="8">
        <f>SUM(R220:R220)</f>
        <v/>
      </c>
    </row>
    <row r="223">
      <c r="B223" s="2" t="inlineStr">
        <is>
          <t>ASSTMAKE-UP</t>
        </is>
      </c>
    </row>
    <row r="224">
      <c r="A224" s="5" t="inlineStr">
        <is>
          <t>3102</t>
        </is>
      </c>
      <c r="B224" s="5" t="inlineStr">
        <is>
          <t>Yoko Nobushi</t>
        </is>
      </c>
      <c r="C224" s="5" t="inlineStr">
        <is>
          <t>ASSTMAKEUPARTIST#1</t>
        </is>
      </c>
      <c r="D224" s="5" t="inlineStr">
        <is>
          <t>Local706</t>
        </is>
      </c>
      <c r="E224" s="6" t="n">
        <v>23.04</v>
      </c>
      <c r="F224" s="5" t="n"/>
      <c r="G224" s="5" t="n"/>
      <c r="H224" s="5" t="n"/>
      <c r="I224" s="5" t="n"/>
      <c r="J224" s="7">
        <f>IF(AND(N(F224)&gt;0,N(I224)&gt;0),I224-F224-IF(N(G224)&gt;0,0.5,0)-IF(N(H224)&gt;0,0.5,0),0)</f>
        <v/>
      </c>
      <c r="K224" s="5" t="n"/>
      <c r="L224" s="7">
        <f>MIN(J224,10.0)</f>
        <v/>
      </c>
      <c r="M224" s="7">
        <f>MAX(0,MIN(J224,12)-10.0)</f>
        <v/>
      </c>
      <c r="N224" s="7">
        <f>MAX(0,J224-12)</f>
        <v/>
      </c>
      <c r="O224" s="5" t="n"/>
      <c r="P224" s="6">
        <f>E224*(L224+M224*1.5+N224*2+O224*3+N(K224))</f>
        <v/>
      </c>
      <c r="Q224" s="6" t="n">
        <v>397.43</v>
      </c>
      <c r="R224" s="6">
        <f>Q224-P224</f>
        <v/>
      </c>
    </row>
    <row r="225">
      <c r="P225" s="2" t="inlineStr">
        <is>
          <t>ASSTMAKE-UP LABOR</t>
        </is>
      </c>
      <c r="R225" s="8">
        <f>SUM(R224:R224)</f>
        <v/>
      </c>
    </row>
    <row r="227">
      <c r="B227" s="2" t="inlineStr">
        <is>
          <t>ADDITIONALMAKE-UPLABOR</t>
        </is>
      </c>
    </row>
    <row r="228">
      <c r="A228" s="5" t="inlineStr">
        <is>
          <t>3103</t>
        </is>
      </c>
      <c r="B228" s="5" t="inlineStr"/>
      <c r="C228" s="5" t="inlineStr">
        <is>
          <t>ADDLMAKEUPARTISTDAYS</t>
        </is>
      </c>
      <c r="D228" s="5" t="inlineStr">
        <is>
          <t>Local706</t>
        </is>
      </c>
      <c r="E228" s="6" t="n">
        <v>23.04</v>
      </c>
      <c r="F228" s="5" t="n"/>
      <c r="G228" s="5" t="n"/>
      <c r="H228" s="5" t="n"/>
      <c r="I228" s="5" t="n"/>
      <c r="J228" s="7">
        <f>IF(AND(N(F228)&gt;0,N(I228)&gt;0),I228-F228-IF(N(G228)&gt;0,0.5,0)-IF(N(H228)&gt;0,0.5,0),0)</f>
        <v/>
      </c>
      <c r="K228" s="5" t="n"/>
      <c r="L228" s="7">
        <f>MIN(J228,10.0)</f>
        <v/>
      </c>
      <c r="M228" s="7">
        <f>MAX(0,MIN(J228,12)-10.0)</f>
        <v/>
      </c>
      <c r="N228" s="7">
        <f>MAX(0,J228-12)</f>
        <v/>
      </c>
      <c r="O228" s="5" t="n"/>
      <c r="P228" s="6">
        <f>E228*(L228+M228*1.5+N228*2+O228*3+N(K228))</f>
        <v/>
      </c>
      <c r="Q228" s="6" t="n">
        <v>397.43</v>
      </c>
      <c r="R228" s="6">
        <f>Q228-P228</f>
        <v/>
      </c>
    </row>
    <row r="229">
      <c r="P229" s="2" t="inlineStr">
        <is>
          <t>ADDITIONALMAKE-UPLABOR LABOR</t>
        </is>
      </c>
      <c r="R229" s="8">
        <f>SUM(R228:R228)</f>
        <v/>
      </c>
    </row>
    <row r="231">
      <c r="B231" s="2" t="inlineStr">
        <is>
          <t>PROSTHETICS</t>
        </is>
      </c>
    </row>
    <row r="232">
      <c r="A232" s="5" t="inlineStr">
        <is>
          <t>3105</t>
        </is>
      </c>
      <c r="B232" s="5" t="inlineStr"/>
      <c r="C232" s="5" t="inlineStr">
        <is>
          <t>PROSTHETICMAKEUPARTIST</t>
        </is>
      </c>
      <c r="D232" s="5" t="inlineStr">
        <is>
          <t>Local706</t>
        </is>
      </c>
      <c r="E232" s="6" t="n">
        <v>25.5</v>
      </c>
      <c r="F232" s="5" t="n"/>
      <c r="G232" s="5" t="n"/>
      <c r="H232" s="5" t="n"/>
      <c r="I232" s="5" t="n"/>
      <c r="J232" s="7">
        <f>IF(AND(N(F232)&gt;0,N(I232)&gt;0),I232-F232-IF(N(G232)&gt;0,0.5,0)-IF(N(H232)&gt;0,0.5,0),0)</f>
        <v/>
      </c>
      <c r="K232" s="5" t="n"/>
      <c r="L232" s="7">
        <f>MIN(J232,10.0)</f>
        <v/>
      </c>
      <c r="M232" s="7">
        <f>MAX(0,MIN(J232,12)-10.0)</f>
        <v/>
      </c>
      <c r="N232" s="7">
        <f>MAX(0,J232-12)</f>
        <v/>
      </c>
      <c r="O232" s="5" t="n"/>
      <c r="P232" s="6">
        <f>E232*(L232+M232*1.5+N232*2+O232*3+N(K232))</f>
        <v/>
      </c>
      <c r="Q232" s="6" t="n">
        <v>439.87</v>
      </c>
      <c r="R232" s="6">
        <f>Q232-P232</f>
        <v/>
      </c>
    </row>
    <row r="233">
      <c r="A233" s="5" t="inlineStr">
        <is>
          <t>3105</t>
        </is>
      </c>
      <c r="B233" s="5" t="inlineStr"/>
      <c r="C233" s="5" t="inlineStr">
        <is>
          <t>LENSCONSULTANT</t>
        </is>
      </c>
      <c r="D233" s="5" t="inlineStr"/>
      <c r="E233" s="6" t="n">
        <v>50</v>
      </c>
      <c r="F233" s="5" t="n"/>
      <c r="G233" s="5" t="n"/>
      <c r="H233" s="5" t="n"/>
      <c r="I233" s="5" t="n"/>
      <c r="J233" s="7">
        <f>IF(AND(N(F233)&gt;0,N(I233)&gt;0),I233-F233-IF(N(G233)&gt;0,0.5,0)-IF(N(H233)&gt;0,0.5,0),0)</f>
        <v/>
      </c>
      <c r="K233" s="5" t="n"/>
      <c r="L233" s="7">
        <f>MIN(J233,8.0)</f>
        <v/>
      </c>
      <c r="M233" s="7">
        <f>MAX(0,MIN(J233,12)-8.0)</f>
        <v/>
      </c>
      <c r="N233" s="7">
        <f>MAX(0,J233-12)</f>
        <v/>
      </c>
      <c r="O233" s="5" t="n"/>
      <c r="P233" s="6">
        <f>E233*(L233+M233*1.5+N233*2+O233*3+N(K233))</f>
        <v/>
      </c>
      <c r="Q233" s="6" t="n">
        <v>862.53</v>
      </c>
      <c r="R233" s="6">
        <f>Q233-P233</f>
        <v/>
      </c>
    </row>
    <row r="234">
      <c r="P234" s="2" t="inlineStr">
        <is>
          <t>PROSTHETICS LABOR</t>
        </is>
      </c>
      <c r="R234" s="8">
        <f>SUM(R232:R233)</f>
        <v/>
      </c>
    </row>
    <row r="236">
      <c r="B236" s="2" t="inlineStr">
        <is>
          <t>KEYHAIR</t>
        </is>
      </c>
    </row>
    <row r="237">
      <c r="A237" s="5" t="inlineStr">
        <is>
          <t>3111</t>
        </is>
      </c>
      <c r="B237" s="5" t="inlineStr">
        <is>
          <t>Traci Smithe</t>
        </is>
      </c>
      <c r="C237" s="5" t="inlineStr">
        <is>
          <t>KEYHAIR</t>
        </is>
      </c>
      <c r="D237" s="5" t="inlineStr">
        <is>
          <t>Local706</t>
        </is>
      </c>
      <c r="E237" s="6" t="n">
        <v>25.5</v>
      </c>
      <c r="F237" s="5" t="n"/>
      <c r="G237" s="5" t="n"/>
      <c r="H237" s="5" t="n"/>
      <c r="I237" s="5" t="n"/>
      <c r="J237" s="7">
        <f>IF(AND(N(F237)&gt;0,N(I237)&gt;0),I237-F237-IF(N(G237)&gt;0,0.5,0)-IF(N(H237)&gt;0,0.5,0),0)</f>
        <v/>
      </c>
      <c r="K237" s="5" t="n"/>
      <c r="L237" s="7">
        <f>MIN(J237,10.0)</f>
        <v/>
      </c>
      <c r="M237" s="7">
        <f>MAX(0,MIN(J237,12)-10.0)</f>
        <v/>
      </c>
      <c r="N237" s="7">
        <f>MAX(0,J237-12)</f>
        <v/>
      </c>
      <c r="O237" s="5" t="n"/>
      <c r="P237" s="6">
        <f>E237*(L237+M237*1.5+N237*2+O237*3+N(K237))</f>
        <v/>
      </c>
      <c r="Q237" s="6" t="n">
        <v>439.87</v>
      </c>
      <c r="R237" s="6">
        <f>Q237-P237</f>
        <v/>
      </c>
    </row>
    <row r="238">
      <c r="P238" s="2" t="inlineStr">
        <is>
          <t>KEYHAIR LABOR</t>
        </is>
      </c>
      <c r="R238" s="8">
        <f>SUM(R237:R237)</f>
        <v/>
      </c>
    </row>
    <row r="240">
      <c r="B240" s="2" t="inlineStr">
        <is>
          <t>ASSTHAIR</t>
        </is>
      </c>
    </row>
    <row r="241">
      <c r="A241" s="5" t="inlineStr">
        <is>
          <t>3112</t>
        </is>
      </c>
      <c r="B241" s="5" t="inlineStr">
        <is>
          <t>Yunea Cruz</t>
        </is>
      </c>
      <c r="C241" s="5" t="inlineStr">
        <is>
          <t>ASSTHAIRSTYLIST#1</t>
        </is>
      </c>
      <c r="D241" s="5" t="inlineStr">
        <is>
          <t>Local706</t>
        </is>
      </c>
      <c r="E241" s="6" t="n">
        <v>23.04</v>
      </c>
      <c r="F241" s="5" t="n"/>
      <c r="G241" s="5" t="n"/>
      <c r="H241" s="5" t="n"/>
      <c r="I241" s="5" t="n"/>
      <c r="J241" s="7">
        <f>IF(AND(N(F241)&gt;0,N(I241)&gt;0),I241-F241-IF(N(G241)&gt;0,0.5,0)-IF(N(H241)&gt;0,0.5,0),0)</f>
        <v/>
      </c>
      <c r="K241" s="5" t="n"/>
      <c r="L241" s="7">
        <f>MIN(J241,10.0)</f>
        <v/>
      </c>
      <c r="M241" s="7">
        <f>MAX(0,MIN(J241,12)-10.0)</f>
        <v/>
      </c>
      <c r="N241" s="7">
        <f>MAX(0,J241-12)</f>
        <v/>
      </c>
      <c r="O241" s="5" t="n"/>
      <c r="P241" s="6">
        <f>E241*(L241+M241*1.5+N241*2+O241*3+N(K241))</f>
        <v/>
      </c>
      <c r="Q241" s="6" t="n">
        <v>397.43</v>
      </c>
      <c r="R241" s="6">
        <f>Q241-P241</f>
        <v/>
      </c>
    </row>
    <row r="242">
      <c r="P242" s="2" t="inlineStr">
        <is>
          <t>ASSTHAIR LABOR</t>
        </is>
      </c>
      <c r="R242" s="8">
        <f>SUM(R241:R241)</f>
        <v/>
      </c>
    </row>
    <row r="244">
      <c r="B244" s="2" t="inlineStr">
        <is>
          <t>ADDITIONALHAIRLABOR</t>
        </is>
      </c>
    </row>
    <row r="245">
      <c r="A245" s="5" t="inlineStr">
        <is>
          <t>3113</t>
        </is>
      </c>
      <c r="B245" s="5" t="inlineStr"/>
      <c r="C245" s="5" t="inlineStr">
        <is>
          <t>ADDLHAIRSTYLISTDAYS</t>
        </is>
      </c>
      <c r="D245" s="5" t="inlineStr">
        <is>
          <t>Local706</t>
        </is>
      </c>
      <c r="E245" s="6" t="n">
        <v>23.04</v>
      </c>
      <c r="F245" s="5" t="n"/>
      <c r="G245" s="5" t="n"/>
      <c r="H245" s="5" t="n"/>
      <c r="I245" s="5" t="n"/>
      <c r="J245" s="7">
        <f>IF(AND(N(F245)&gt;0,N(I245)&gt;0),I245-F245-IF(N(G245)&gt;0,0.5,0)-IF(N(H245)&gt;0,0.5,0),0)</f>
        <v/>
      </c>
      <c r="K245" s="5" t="n"/>
      <c r="L245" s="7">
        <f>MIN(J245,10.0)</f>
        <v/>
      </c>
      <c r="M245" s="7">
        <f>MAX(0,MIN(J245,12)-10.0)</f>
        <v/>
      </c>
      <c r="N245" s="7">
        <f>MAX(0,J245-12)</f>
        <v/>
      </c>
      <c r="O245" s="5" t="n"/>
      <c r="P245" s="6">
        <f>E245*(L245+M245*1.5+N245*2+O245*3+N(K245))</f>
        <v/>
      </c>
      <c r="Q245" s="6" t="n">
        <v>397.43</v>
      </c>
      <c r="R245" s="6">
        <f>Q245-P245</f>
        <v/>
      </c>
    </row>
    <row r="246">
      <c r="P246" s="2" t="inlineStr">
        <is>
          <t>ADDITIONALHAIRLABOR LABOR</t>
        </is>
      </c>
      <c r="R246" s="8">
        <f>SUM(R245:R245)</f>
        <v/>
      </c>
    </row>
    <row r="248">
      <c r="B248" s="2" t="inlineStr">
        <is>
          <t>GAFFER</t>
        </is>
      </c>
    </row>
    <row r="249">
      <c r="A249" s="5" t="inlineStr">
        <is>
          <t>3201</t>
        </is>
      </c>
      <c r="B249" s="5" t="inlineStr">
        <is>
          <t>Nicholas Kaat</t>
        </is>
      </c>
      <c r="C249" s="5" t="inlineStr">
        <is>
          <t>GAFFER</t>
        </is>
      </c>
      <c r="D249" s="5" t="inlineStr">
        <is>
          <t>Local728</t>
        </is>
      </c>
      <c r="E249" s="6" t="n">
        <v>25.5</v>
      </c>
      <c r="F249" s="5" t="n"/>
      <c r="G249" s="5" t="n"/>
      <c r="H249" s="5" t="n"/>
      <c r="I249" s="5" t="n"/>
      <c r="J249" s="7">
        <f>IF(AND(N(F249)&gt;0,N(I249)&gt;0),I249-F249-IF(N(G249)&gt;0,0.5,0)-IF(N(H249)&gt;0,0.5,0),0)</f>
        <v/>
      </c>
      <c r="K249" s="5" t="n"/>
      <c r="L249" s="7">
        <f>MIN(J249,10.0)</f>
        <v/>
      </c>
      <c r="M249" s="7">
        <f>MAX(0,MIN(J249,12)-10.0)</f>
        <v/>
      </c>
      <c r="N249" s="7">
        <f>MAX(0,J249-12)</f>
        <v/>
      </c>
      <c r="O249" s="5" t="n"/>
      <c r="P249" s="6">
        <f>E249*(L249+M249*1.5+N249*2+O249*3+N(K249))</f>
        <v/>
      </c>
      <c r="Q249" s="6" t="n">
        <v>395.25</v>
      </c>
      <c r="R249" s="6">
        <f>Q249-P249</f>
        <v/>
      </c>
    </row>
    <row r="250">
      <c r="P250" s="2" t="inlineStr">
        <is>
          <t>GAFFER LABOR</t>
        </is>
      </c>
      <c r="R250" s="8">
        <f>SUM(R249:R249)</f>
        <v/>
      </c>
    </row>
    <row r="252">
      <c r="B252" s="2" t="inlineStr">
        <is>
          <t>BESTBOYELECTRIC</t>
        </is>
      </c>
    </row>
    <row r="253">
      <c r="A253" s="5" t="inlineStr">
        <is>
          <t>3202</t>
        </is>
      </c>
      <c r="B253" s="5" t="inlineStr">
        <is>
          <t>Nathan Fetzer</t>
        </is>
      </c>
      <c r="C253" s="5" t="inlineStr">
        <is>
          <t>BESTBOYELECTRIC</t>
        </is>
      </c>
      <c r="D253" s="5" t="inlineStr">
        <is>
          <t>Local728</t>
        </is>
      </c>
      <c r="E253" s="6" t="n">
        <v>23.04</v>
      </c>
      <c r="F253" s="5" t="n"/>
      <c r="G253" s="5" t="n"/>
      <c r="H253" s="5" t="n"/>
      <c r="I253" s="5" t="n"/>
      <c r="J253" s="7">
        <f>IF(AND(N(F253)&gt;0,N(I253)&gt;0),I253-F253-IF(N(G253)&gt;0,0.5,0)-IF(N(H253)&gt;0,0.5,0),0)</f>
        <v/>
      </c>
      <c r="K253" s="5" t="n"/>
      <c r="L253" s="7">
        <f>MIN(J253,10.0)</f>
        <v/>
      </c>
      <c r="M253" s="7">
        <f>MAX(0,MIN(J253,12)-10.0)</f>
        <v/>
      </c>
      <c r="N253" s="7">
        <f>MAX(0,J253-12)</f>
        <v/>
      </c>
      <c r="O253" s="5" t="n"/>
      <c r="P253" s="6">
        <f>E253*(L253+M253*1.5+N253*2+O253*3+N(K253))</f>
        <v/>
      </c>
      <c r="Q253" s="6" t="n">
        <v>357.12</v>
      </c>
      <c r="R253" s="6">
        <f>Q253-P253</f>
        <v/>
      </c>
    </row>
    <row r="254">
      <c r="A254" s="5" t="inlineStr">
        <is>
          <t>3202</t>
        </is>
      </c>
      <c r="B254" s="5" t="inlineStr"/>
      <c r="C254" s="5" t="inlineStr">
        <is>
          <t>STUDIOBESTBOYELECTRIC</t>
        </is>
      </c>
      <c r="D254" s="5" t="inlineStr">
        <is>
          <t>Local728</t>
        </is>
      </c>
      <c r="E254" s="6" t="n">
        <v>43.05</v>
      </c>
      <c r="F254" s="5" t="n"/>
      <c r="G254" s="5" t="n"/>
      <c r="H254" s="5" t="n"/>
      <c r="I254" s="5" t="n"/>
      <c r="J254" s="7">
        <f>IF(AND(N(F254)&gt;0,N(I254)&gt;0),I254-F254-IF(N(G254)&gt;0,0.5,0)-IF(N(H254)&gt;0,0.5,0),0)</f>
        <v/>
      </c>
      <c r="K254" s="5" t="n"/>
      <c r="L254" s="7">
        <f>MIN(J254,10.0)</f>
        <v/>
      </c>
      <c r="M254" s="7">
        <f>MAX(0,MIN(J254,12)-10.0)</f>
        <v/>
      </c>
      <c r="N254" s="7">
        <f>MAX(0,J254-12)</f>
        <v/>
      </c>
      <c r="O254" s="5" t="n"/>
      <c r="P254" s="6">
        <f>E254*(L254+M254*1.5+N254*2+O254*3+N(K254))</f>
        <v/>
      </c>
      <c r="Q254" s="6" t="n">
        <v>667.27</v>
      </c>
      <c r="R254" s="6">
        <f>Q254-P254</f>
        <v/>
      </c>
    </row>
    <row r="255">
      <c r="P255" s="2" t="inlineStr">
        <is>
          <t>BESTBOYELECTRIC LABOR</t>
        </is>
      </c>
      <c r="R255" s="8">
        <f>SUM(R253:R254)</f>
        <v/>
      </c>
    </row>
    <row r="257">
      <c r="B257" s="2" t="inlineStr">
        <is>
          <t>ELECTRICIANS</t>
        </is>
      </c>
    </row>
    <row r="258">
      <c r="A258" s="5" t="inlineStr">
        <is>
          <t>3204</t>
        </is>
      </c>
      <c r="B258" s="5" t="inlineStr"/>
      <c r="C258" s="5" t="inlineStr">
        <is>
          <t>ELECTRICIAN#1</t>
        </is>
      </c>
      <c r="D258" s="5" t="inlineStr">
        <is>
          <t>Local728</t>
        </is>
      </c>
      <c r="E258" s="6" t="n">
        <v>20.57</v>
      </c>
      <c r="F258" s="5" t="n"/>
      <c r="G258" s="5" t="n"/>
      <c r="H258" s="5" t="n"/>
      <c r="I258" s="5" t="n"/>
      <c r="J258" s="7">
        <f>IF(AND(N(F258)&gt;0,N(I258)&gt;0),I258-F258-IF(N(G258)&gt;0,0.5,0)-IF(N(H258)&gt;0,0.5,0),0)</f>
        <v/>
      </c>
      <c r="K258" s="5" t="n"/>
      <c r="L258" s="7">
        <f>MIN(J258,10.0)</f>
        <v/>
      </c>
      <c r="M258" s="7">
        <f>MAX(0,MIN(J258,12)-10.0)</f>
        <v/>
      </c>
      <c r="N258" s="7">
        <f>MAX(0,J258-12)</f>
        <v/>
      </c>
      <c r="O258" s="5" t="n"/>
      <c r="P258" s="6">
        <f>E258*(L258+M258*1.5+N258*2+O258*3+N(K258))</f>
        <v/>
      </c>
      <c r="Q258" s="6" t="n">
        <v>318.83</v>
      </c>
      <c r="R258" s="6">
        <f>Q258-P258</f>
        <v/>
      </c>
    </row>
    <row r="259">
      <c r="A259" s="5" t="inlineStr">
        <is>
          <t>3204</t>
        </is>
      </c>
      <c r="B259" s="5" t="inlineStr"/>
      <c r="C259" s="5" t="inlineStr">
        <is>
          <t>ELECTRICIAN#2</t>
        </is>
      </c>
      <c r="D259" s="5" t="inlineStr">
        <is>
          <t>Local728</t>
        </is>
      </c>
      <c r="E259" s="6" t="n">
        <v>20.57</v>
      </c>
      <c r="F259" s="5" t="n"/>
      <c r="G259" s="5" t="n"/>
      <c r="H259" s="5" t="n"/>
      <c r="I259" s="5" t="n"/>
      <c r="J259" s="7">
        <f>IF(AND(N(F259)&gt;0,N(I259)&gt;0),I259-F259-IF(N(G259)&gt;0,0.5,0)-IF(N(H259)&gt;0,0.5,0),0)</f>
        <v/>
      </c>
      <c r="K259" s="5" t="n"/>
      <c r="L259" s="7">
        <f>MIN(J259,10.0)</f>
        <v/>
      </c>
      <c r="M259" s="7">
        <f>MAX(0,MIN(J259,12)-10.0)</f>
        <v/>
      </c>
      <c r="N259" s="7">
        <f>MAX(0,J259-12)</f>
        <v/>
      </c>
      <c r="O259" s="5" t="n"/>
      <c r="P259" s="6">
        <f>E259*(L259+M259*1.5+N259*2+O259*3+N(K259))</f>
        <v/>
      </c>
      <c r="Q259" s="6" t="n">
        <v>318.83</v>
      </c>
      <c r="R259" s="6">
        <f>Q259-P259</f>
        <v/>
      </c>
    </row>
    <row r="260">
      <c r="A260" s="5" t="inlineStr">
        <is>
          <t>3204</t>
        </is>
      </c>
      <c r="B260" s="5" t="inlineStr"/>
      <c r="C260" s="5" t="inlineStr">
        <is>
          <t>ELECTRICIAN#3</t>
        </is>
      </c>
      <c r="D260" s="5" t="inlineStr">
        <is>
          <t>Local728</t>
        </is>
      </c>
      <c r="E260" s="6" t="n">
        <v>20.57</v>
      </c>
      <c r="F260" s="5" t="n"/>
      <c r="G260" s="5" t="n"/>
      <c r="H260" s="5" t="n"/>
      <c r="I260" s="5" t="n"/>
      <c r="J260" s="7">
        <f>IF(AND(N(F260)&gt;0,N(I260)&gt;0),I260-F260-IF(N(G260)&gt;0,0.5,0)-IF(N(H260)&gt;0,0.5,0),0)</f>
        <v/>
      </c>
      <c r="K260" s="5" t="n"/>
      <c r="L260" s="7">
        <f>MIN(J260,10.0)</f>
        <v/>
      </c>
      <c r="M260" s="7">
        <f>MAX(0,MIN(J260,12)-10.0)</f>
        <v/>
      </c>
      <c r="N260" s="7">
        <f>MAX(0,J260-12)</f>
        <v/>
      </c>
      <c r="O260" s="5" t="n"/>
      <c r="P260" s="6">
        <f>E260*(L260+M260*1.5+N260*2+O260*3+N(K260))</f>
        <v/>
      </c>
      <c r="Q260" s="6" t="n">
        <v>318.83</v>
      </c>
      <c r="R260" s="6">
        <f>Q260-P260</f>
        <v/>
      </c>
    </row>
    <row r="261">
      <c r="P261" s="2" t="inlineStr">
        <is>
          <t>ELECTRICIANS LABOR</t>
        </is>
      </c>
      <c r="R261" s="8">
        <f>SUM(R258:R260)</f>
        <v/>
      </c>
    </row>
    <row r="263">
      <c r="B263" s="2" t="inlineStr">
        <is>
          <t>ADDITIONALELECTRICLABOR</t>
        </is>
      </c>
    </row>
    <row r="264">
      <c r="A264" s="5" t="inlineStr">
        <is>
          <t>3206</t>
        </is>
      </c>
      <c r="B264" s="5" t="inlineStr"/>
      <c r="C264" s="5" t="inlineStr">
        <is>
          <t>ELECTRICMANDAYS&amp;RIGGINGMANDAYS</t>
        </is>
      </c>
      <c r="D264" s="5" t="inlineStr">
        <is>
          <t>Local728</t>
        </is>
      </c>
      <c r="E264" s="6" t="n">
        <v>20.57</v>
      </c>
      <c r="F264" s="5" t="n"/>
      <c r="G264" s="5" t="n"/>
      <c r="H264" s="5" t="n"/>
      <c r="I264" s="5" t="n"/>
      <c r="J264" s="7">
        <f>IF(AND(N(F264)&gt;0,N(I264)&gt;0),I264-F264-IF(N(G264)&gt;0,0.5,0)-IF(N(H264)&gt;0,0.5,0),0)</f>
        <v/>
      </c>
      <c r="K264" s="5" t="n"/>
      <c r="L264" s="7">
        <f>MIN(J264,10.0)</f>
        <v/>
      </c>
      <c r="M264" s="7">
        <f>MAX(0,MIN(J264,12)-10.0)</f>
        <v/>
      </c>
      <c r="N264" s="7">
        <f>MAX(0,J264-12)</f>
        <v/>
      </c>
      <c r="O264" s="5" t="n"/>
      <c r="P264" s="6">
        <f>E264*(L264+M264*1.5+N264*2+O264*3+N(K264))</f>
        <v/>
      </c>
      <c r="Q264" s="6" t="n">
        <v>318.83</v>
      </c>
      <c r="R264" s="6">
        <f>Q264-P264</f>
        <v/>
      </c>
    </row>
    <row r="265">
      <c r="P265" s="2" t="inlineStr">
        <is>
          <t>ADDITIONALELECTRICLABOR LABOR</t>
        </is>
      </c>
      <c r="R265" s="8">
        <f>SUM(R264:R264)</f>
        <v/>
      </c>
    </row>
    <row r="267">
      <c r="B267" s="2" t="inlineStr">
        <is>
          <t>DIRECTOROFPHOTOGRAPHY</t>
        </is>
      </c>
    </row>
    <row r="268">
      <c r="A268" s="5" t="inlineStr">
        <is>
          <t>3301</t>
        </is>
      </c>
      <c r="B268" s="5" t="inlineStr">
        <is>
          <t>Michael Burgess</t>
        </is>
      </c>
      <c r="C268" s="5" t="inlineStr">
        <is>
          <t>DIRECTOROFPHOTOGRAPHY</t>
        </is>
      </c>
      <c r="D268" s="5" t="inlineStr">
        <is>
          <t>Local600</t>
        </is>
      </c>
      <c r="E268" s="6" t="n">
        <v>700</v>
      </c>
      <c r="F268" s="5" t="n"/>
      <c r="G268" s="5" t="n"/>
      <c r="H268" s="5" t="n"/>
      <c r="I268" s="5" t="n"/>
      <c r="J268" s="7">
        <f>IF(AND(N(F268)&gt;0,N(I268)&gt;0),I268-F268-IF(N(G268)&gt;0,0.5,0)-IF(N(H268)&gt;0,0.5,0),0)</f>
        <v/>
      </c>
      <c r="K268" s="5" t="n"/>
      <c r="L268" s="7">
        <f>MIN(J268,8.0)</f>
        <v/>
      </c>
      <c r="M268" s="7">
        <f>MAX(0,MIN(J268,12)-8.0)</f>
        <v/>
      </c>
      <c r="N268" s="7">
        <f>MAX(0,J268-12)</f>
        <v/>
      </c>
      <c r="O268" s="5" t="n"/>
      <c r="P268" s="6">
        <f>E268*(L268+M268*1.5+N268*2+O268*3+N(K268))</f>
        <v/>
      </c>
      <c r="Q268" s="6" t="n">
        <v>700</v>
      </c>
      <c r="R268" s="6">
        <f>Q268-P268</f>
        <v/>
      </c>
    </row>
    <row r="269">
      <c r="P269" s="2" t="inlineStr">
        <is>
          <t>DIRECTOROFPHOTOGRAPHY LABOR</t>
        </is>
      </c>
      <c r="R269" s="8">
        <f>SUM(R268:R268)</f>
        <v/>
      </c>
    </row>
    <row r="271">
      <c r="B271" s="2" t="inlineStr">
        <is>
          <t>CAMERAOPERATORS</t>
        </is>
      </c>
    </row>
    <row r="272">
      <c r="A272" s="5" t="inlineStr">
        <is>
          <t>3302</t>
        </is>
      </c>
      <c r="B272" s="5" t="inlineStr">
        <is>
          <t>Craig Bauer</t>
        </is>
      </c>
      <c r="C272" s="5" t="inlineStr">
        <is>
          <t>"B"CAMERAOP</t>
        </is>
      </c>
      <c r="D272" s="5" t="inlineStr">
        <is>
          <t>Local600</t>
        </is>
      </c>
      <c r="E272" s="6" t="n">
        <v>45</v>
      </c>
      <c r="F272" s="5" t="n"/>
      <c r="G272" s="5" t="n"/>
      <c r="H272" s="5" t="n"/>
      <c r="I272" s="5" t="n"/>
      <c r="J272" s="7">
        <f>IF(AND(N(F272)&gt;0,N(I272)&gt;0),I272-F272-IF(N(G272)&gt;0,0.5,0)-IF(N(H272)&gt;0,0.5,0),0)</f>
        <v/>
      </c>
      <c r="K272" s="5" t="n"/>
      <c r="L272" s="7">
        <f>MIN(J272,8.0)</f>
        <v/>
      </c>
      <c r="M272" s="7">
        <f>MAX(0,MIN(J272,12)-8.0)</f>
        <v/>
      </c>
      <c r="N272" s="7">
        <f>MAX(0,J272-12)</f>
        <v/>
      </c>
      <c r="O272" s="5" t="n"/>
      <c r="P272" s="6">
        <f>E272*(L272+M272*1.5+N272*2+O272*3+N(K272))</f>
        <v/>
      </c>
      <c r="Q272" s="6" t="n">
        <v>630</v>
      </c>
      <c r="R272" s="6">
        <f>Q272-P272</f>
        <v/>
      </c>
    </row>
    <row r="273">
      <c r="P273" s="2" t="inlineStr">
        <is>
          <t>CAMERAOPERATORS LABOR</t>
        </is>
      </c>
      <c r="R273" s="8">
        <f>SUM(R272:R272)</f>
        <v/>
      </c>
    </row>
    <row r="275">
      <c r="B275" s="2" t="inlineStr">
        <is>
          <t>DIGITALIMAGINGTECHS</t>
        </is>
      </c>
    </row>
    <row r="276">
      <c r="A276" s="5" t="inlineStr">
        <is>
          <t>3304</t>
        </is>
      </c>
      <c r="B276" s="5" t="inlineStr">
        <is>
          <t>Oliver Mancebo</t>
        </is>
      </c>
      <c r="C276" s="5" t="inlineStr">
        <is>
          <t>DIT</t>
        </is>
      </c>
      <c r="D276" s="5" t="inlineStr">
        <is>
          <t>Local600</t>
        </is>
      </c>
      <c r="E276" s="6" t="n">
        <v>35</v>
      </c>
      <c r="F276" s="5" t="n"/>
      <c r="G276" s="5" t="n"/>
      <c r="H276" s="5" t="n"/>
      <c r="I276" s="5" t="n"/>
      <c r="J276" s="7">
        <f>IF(AND(N(F276)&gt;0,N(I276)&gt;0),I276-F276-IF(N(G276)&gt;0,0.5,0)-IF(N(H276)&gt;0,0.5,0),0)</f>
        <v/>
      </c>
      <c r="K276" s="5" t="n"/>
      <c r="L276" s="7">
        <f>MIN(J276,8.0)</f>
        <v/>
      </c>
      <c r="M276" s="7">
        <f>MAX(0,MIN(J276,12)-8.0)</f>
        <v/>
      </c>
      <c r="N276" s="7">
        <f>MAX(0,J276-12)</f>
        <v/>
      </c>
      <c r="O276" s="5" t="n"/>
      <c r="P276" s="6">
        <f>E276*(L276+M276*1.5+N276*2+O276*3+N(K276))</f>
        <v/>
      </c>
      <c r="Q276" s="6" t="n">
        <v>542.5</v>
      </c>
      <c r="R276" s="6">
        <f>Q276-P276</f>
        <v/>
      </c>
    </row>
    <row r="277">
      <c r="P277" s="2" t="inlineStr">
        <is>
          <t>DIGITALIMAGINGTECHS LABOR</t>
        </is>
      </c>
      <c r="R277" s="8">
        <f>SUM(R276:R276)</f>
        <v/>
      </c>
    </row>
    <row r="279">
      <c r="B279" s="2" t="inlineStr">
        <is>
          <t>1STASSTCAMERA</t>
        </is>
      </c>
    </row>
    <row r="280">
      <c r="A280" s="5" t="inlineStr">
        <is>
          <t>3305</t>
        </is>
      </c>
      <c r="B280" s="5" t="inlineStr">
        <is>
          <t>Steve Cueva</t>
        </is>
      </c>
      <c r="C280" s="5" t="inlineStr">
        <is>
          <t>"A"CAMERA 1STAC</t>
        </is>
      </c>
      <c r="D280" s="5" t="inlineStr">
        <is>
          <t>Local600</t>
        </is>
      </c>
      <c r="E280" s="6" t="n">
        <v>25.5</v>
      </c>
      <c r="F280" s="5" t="n"/>
      <c r="G280" s="5" t="n"/>
      <c r="H280" s="5" t="n"/>
      <c r="I280" s="5" t="n"/>
      <c r="J280" s="7">
        <f>IF(AND(N(F280)&gt;0,N(I280)&gt;0),I280-F280-IF(N(G280)&gt;0,0.5,0)-IF(N(H280)&gt;0,0.5,0),0)</f>
        <v/>
      </c>
      <c r="K280" s="5" t="n"/>
      <c r="L280" s="7">
        <f>MIN(J280,8.0)</f>
        <v/>
      </c>
      <c r="M280" s="7">
        <f>MAX(0,MIN(J280,12)-8.0)</f>
        <v/>
      </c>
      <c r="N280" s="7">
        <f>MAX(0,J280-12)</f>
        <v/>
      </c>
      <c r="O280" s="5" t="n"/>
      <c r="P280" s="6">
        <f>E280*(L280+M280*1.5+N280*2+O280*3+N(K280))</f>
        <v/>
      </c>
      <c r="Q280" s="6" t="n">
        <v>395.25</v>
      </c>
      <c r="R280" s="6">
        <f>Q280-P280</f>
        <v/>
      </c>
    </row>
    <row r="281">
      <c r="A281" s="5" t="inlineStr">
        <is>
          <t>3305</t>
        </is>
      </c>
      <c r="B281" s="5" t="inlineStr">
        <is>
          <t>Chris Garcia</t>
        </is>
      </c>
      <c r="C281" s="5" t="inlineStr">
        <is>
          <t>"B"CAMERA 1STAC</t>
        </is>
      </c>
      <c r="D281" s="5" t="inlineStr">
        <is>
          <t>Local600</t>
        </is>
      </c>
      <c r="E281" s="6" t="n">
        <v>25.5</v>
      </c>
      <c r="F281" s="5" t="n"/>
      <c r="G281" s="5" t="n"/>
      <c r="H281" s="5" t="n"/>
      <c r="I281" s="5" t="n"/>
      <c r="J281" s="7">
        <f>IF(AND(N(F281)&gt;0,N(I281)&gt;0),I281-F281-IF(N(G281)&gt;0,0.5,0)-IF(N(H281)&gt;0,0.5,0),0)</f>
        <v/>
      </c>
      <c r="K281" s="5" t="n"/>
      <c r="L281" s="7">
        <f>MIN(J281,8.0)</f>
        <v/>
      </c>
      <c r="M281" s="7">
        <f>MAX(0,MIN(J281,12)-8.0)</f>
        <v/>
      </c>
      <c r="N281" s="7">
        <f>MAX(0,J281-12)</f>
        <v/>
      </c>
      <c r="O281" s="5" t="n"/>
      <c r="P281" s="6">
        <f>E281*(L281+M281*1.5+N281*2+O281*3+N(K281))</f>
        <v/>
      </c>
      <c r="Q281" s="6" t="n">
        <v>395.25</v>
      </c>
      <c r="R281" s="6">
        <f>Q281-P281</f>
        <v/>
      </c>
    </row>
    <row r="282">
      <c r="P282" s="2" t="inlineStr">
        <is>
          <t>1STASSTCAMERA LABOR</t>
        </is>
      </c>
      <c r="R282" s="8">
        <f>SUM(R280:R281)</f>
        <v/>
      </c>
    </row>
    <row r="284">
      <c r="B284" s="2" t="inlineStr">
        <is>
          <t>2NDASSTCAMERA</t>
        </is>
      </c>
    </row>
    <row r="285">
      <c r="A285" s="5" t="inlineStr">
        <is>
          <t>3306</t>
        </is>
      </c>
      <c r="B285" s="5" t="inlineStr">
        <is>
          <t>Manny Serrano</t>
        </is>
      </c>
      <c r="C285" s="5" t="inlineStr">
        <is>
          <t>"A"CAMERA 2NDAC</t>
        </is>
      </c>
      <c r="D285" s="5" t="inlineStr">
        <is>
          <t>Local600</t>
        </is>
      </c>
      <c r="E285" s="6" t="n">
        <v>23.04</v>
      </c>
      <c r="F285" s="5" t="n"/>
      <c r="G285" s="5" t="n"/>
      <c r="H285" s="5" t="n"/>
      <c r="I285" s="5" t="n"/>
      <c r="J285" s="7">
        <f>IF(AND(N(F285)&gt;0,N(I285)&gt;0),I285-F285-IF(N(G285)&gt;0,0.5,0)-IF(N(H285)&gt;0,0.5,0),0)</f>
        <v/>
      </c>
      <c r="K285" s="5" t="n"/>
      <c r="L285" s="7">
        <f>MIN(J285,8.0)</f>
        <v/>
      </c>
      <c r="M285" s="7">
        <f>MAX(0,MIN(J285,12)-8.0)</f>
        <v/>
      </c>
      <c r="N285" s="7">
        <f>MAX(0,J285-12)</f>
        <v/>
      </c>
      <c r="O285" s="5" t="n"/>
      <c r="P285" s="6">
        <f>E285*(L285+M285*1.5+N285*2+O285*3+N(K285))</f>
        <v/>
      </c>
      <c r="Q285" s="6" t="n">
        <v>357.12</v>
      </c>
      <c r="R285" s="6">
        <f>Q285-P285</f>
        <v/>
      </c>
    </row>
    <row r="286">
      <c r="A286" s="5" t="inlineStr">
        <is>
          <t>3306</t>
        </is>
      </c>
      <c r="B286" s="5" t="inlineStr"/>
      <c r="C286" s="5" t="inlineStr">
        <is>
          <t>"B"CAMERA 2NDAC</t>
        </is>
      </c>
      <c r="D286" s="5" t="inlineStr">
        <is>
          <t>Local600</t>
        </is>
      </c>
      <c r="E286" s="6" t="n">
        <v>23.04</v>
      </c>
      <c r="F286" s="5" t="n"/>
      <c r="G286" s="5" t="n"/>
      <c r="H286" s="5" t="n"/>
      <c r="I286" s="5" t="n"/>
      <c r="J286" s="7">
        <f>IF(AND(N(F286)&gt;0,N(I286)&gt;0),I286-F286-IF(N(G286)&gt;0,0.5,0)-IF(N(H286)&gt;0,0.5,0),0)</f>
        <v/>
      </c>
      <c r="K286" s="5" t="n"/>
      <c r="L286" s="7">
        <f>MIN(J286,8.0)</f>
        <v/>
      </c>
      <c r="M286" s="7">
        <f>MAX(0,MIN(J286,12)-8.0)</f>
        <v/>
      </c>
      <c r="N286" s="7">
        <f>MAX(0,J286-12)</f>
        <v/>
      </c>
      <c r="O286" s="5" t="n"/>
      <c r="P286" s="6">
        <f>E286*(L286+M286*1.5+N286*2+O286*3+N(K286))</f>
        <v/>
      </c>
      <c r="Q286" s="6" t="n">
        <v>357.12</v>
      </c>
      <c r="R286" s="6">
        <f>Q286-P286</f>
        <v/>
      </c>
    </row>
    <row r="287">
      <c r="P287" s="2" t="inlineStr">
        <is>
          <t>2NDASSTCAMERA LABOR</t>
        </is>
      </c>
      <c r="R287" s="8">
        <f>SUM(R285:R286)</f>
        <v/>
      </c>
    </row>
    <row r="289">
      <c r="B289" s="2" t="inlineStr">
        <is>
          <t>STILLPHOTOGRAPHER</t>
        </is>
      </c>
    </row>
    <row r="290">
      <c r="A290" s="5" t="inlineStr">
        <is>
          <t>3308</t>
        </is>
      </c>
      <c r="B290" s="5" t="inlineStr">
        <is>
          <t>Scott Patrick Green</t>
        </is>
      </c>
      <c r="C290" s="5" t="inlineStr">
        <is>
          <t>STILLPHOTOGRAPHER</t>
        </is>
      </c>
      <c r="D290" s="5" t="inlineStr">
        <is>
          <t>Local600</t>
        </is>
      </c>
      <c r="E290" s="6" t="n">
        <v>26.5</v>
      </c>
      <c r="F290" s="5" t="n"/>
      <c r="G290" s="5" t="n"/>
      <c r="H290" s="5" t="n"/>
      <c r="I290" s="5" t="n"/>
      <c r="J290" s="7">
        <f>IF(AND(N(F290)&gt;0,N(I290)&gt;0),I290-F290-IF(N(G290)&gt;0,0.5,0)-IF(N(H290)&gt;0,0.5,0),0)</f>
        <v/>
      </c>
      <c r="K290" s="5" t="n"/>
      <c r="L290" s="7">
        <f>MIN(J290,8.0)</f>
        <v/>
      </c>
      <c r="M290" s="7">
        <f>MAX(0,MIN(J290,12)-8.0)</f>
        <v/>
      </c>
      <c r="N290" s="7">
        <f>MAX(0,J290-12)</f>
        <v/>
      </c>
      <c r="O290" s="5" t="n"/>
      <c r="P290" s="6">
        <f>E290*(L290+M290*1.5+N290*2+O290*3+N(K290))</f>
        <v/>
      </c>
      <c r="Q290" s="6" t="n">
        <v>291.5</v>
      </c>
      <c r="R290" s="6">
        <f>Q290-P290</f>
        <v/>
      </c>
    </row>
    <row r="291">
      <c r="P291" s="2" t="inlineStr">
        <is>
          <t>STILLPHOTOGRAPHER LABOR</t>
        </is>
      </c>
      <c r="R291" s="8">
        <f>SUM(R290:R290)</f>
        <v/>
      </c>
    </row>
    <row r="293">
      <c r="B293" s="2" t="inlineStr">
        <is>
          <t>AERIAL/UNDERWATERPHOTOGRAPHY</t>
        </is>
      </c>
    </row>
    <row r="294">
      <c r="A294" s="5" t="inlineStr">
        <is>
          <t>3385</t>
        </is>
      </c>
      <c r="B294" s="5" t="inlineStr"/>
      <c r="C294" s="5" t="inlineStr">
        <is>
          <t>UNDERWATEROPERATOR</t>
        </is>
      </c>
      <c r="D294" s="5" t="inlineStr">
        <is>
          <t>Local600</t>
        </is>
      </c>
      <c r="E294" s="6" t="n">
        <v>65</v>
      </c>
      <c r="F294" s="5" t="n"/>
      <c r="G294" s="5" t="n"/>
      <c r="H294" s="5" t="n"/>
      <c r="I294" s="5" t="n"/>
      <c r="J294" s="7">
        <f>IF(AND(N(F294)&gt;0,N(I294)&gt;0),I294-F294-IF(N(G294)&gt;0,0.5,0)-IF(N(H294)&gt;0,0.5,0),0)</f>
        <v/>
      </c>
      <c r="K294" s="5" t="n"/>
      <c r="L294" s="7">
        <f>MIN(J294,8.0)</f>
        <v/>
      </c>
      <c r="M294" s="7">
        <f>MAX(0,MIN(J294,12)-8.0)</f>
        <v/>
      </c>
      <c r="N294" s="7">
        <f>MAX(0,J294-12)</f>
        <v/>
      </c>
      <c r="O294" s="5" t="n"/>
      <c r="P294" s="6">
        <f>E294*(L294+M294*1.5+N294*2+O294*3+N(K294))</f>
        <v/>
      </c>
      <c r="Q294" s="6" t="n">
        <v>910</v>
      </c>
      <c r="R294" s="6">
        <f>Q294-P294</f>
        <v/>
      </c>
    </row>
    <row r="295">
      <c r="P295" s="2" t="inlineStr">
        <is>
          <t>AERIAL/UNDERWATERPHOTOGRAPHY LABOR</t>
        </is>
      </c>
      <c r="R295" s="8">
        <f>SUM(R294:R294)</f>
        <v/>
      </c>
    </row>
    <row r="297">
      <c r="B297" s="2" t="inlineStr">
        <is>
          <t>SOUNDMIXER</t>
        </is>
      </c>
    </row>
    <row r="298">
      <c r="A298" s="5" t="inlineStr">
        <is>
          <t>3401</t>
        </is>
      </c>
      <c r="B298" s="5" t="inlineStr">
        <is>
          <t>Julian Howarth</t>
        </is>
      </c>
      <c r="C298" s="5" t="inlineStr">
        <is>
          <t>SOUNDMIXER</t>
        </is>
      </c>
      <c r="D298" s="5" t="inlineStr">
        <is>
          <t>Local695</t>
        </is>
      </c>
      <c r="E298" s="6" t="n">
        <v>26.5</v>
      </c>
      <c r="F298" s="5" t="n"/>
      <c r="G298" s="5" t="n"/>
      <c r="H298" s="5" t="n"/>
      <c r="I298" s="5" t="n"/>
      <c r="J298" s="7">
        <f>IF(AND(N(F298)&gt;0,N(I298)&gt;0),I298-F298-IF(N(G298)&gt;0,0.5,0)-IF(N(H298)&gt;0,0.5,0),0)</f>
        <v/>
      </c>
      <c r="K298" s="5" t="n"/>
      <c r="L298" s="7">
        <f>MIN(J298,10.0)</f>
        <v/>
      </c>
      <c r="M298" s="7">
        <f>MAX(0,MIN(J298,12)-10.0)</f>
        <v/>
      </c>
      <c r="N298" s="7">
        <f>MAX(0,J298-12)</f>
        <v/>
      </c>
      <c r="O298" s="5" t="n"/>
      <c r="P298" s="6">
        <f>E298*(L298+M298*1.5+N298*2+O298*3+N(K298))</f>
        <v/>
      </c>
      <c r="Q298" s="6" t="n">
        <v>410.75</v>
      </c>
      <c r="R298" s="6">
        <f>Q298-P298</f>
        <v/>
      </c>
    </row>
    <row r="299">
      <c r="P299" s="2" t="inlineStr">
        <is>
          <t>SOUNDMIXER LABOR</t>
        </is>
      </c>
      <c r="R299" s="8">
        <f>SUM(R298:R298)</f>
        <v/>
      </c>
    </row>
    <row r="301">
      <c r="B301" s="2" t="inlineStr">
        <is>
          <t>BOOMOPERATOR</t>
        </is>
      </c>
    </row>
    <row r="302">
      <c r="A302" s="5" t="inlineStr">
        <is>
          <t>3402</t>
        </is>
      </c>
      <c r="B302" s="5" t="inlineStr">
        <is>
          <t>Tim Song Jones</t>
        </is>
      </c>
      <c r="C302" s="5" t="inlineStr">
        <is>
          <t>BOOMOPERATOR</t>
        </is>
      </c>
      <c r="D302" s="5" t="inlineStr">
        <is>
          <t>Local695</t>
        </is>
      </c>
      <c r="E302" s="6" t="n">
        <v>23.04</v>
      </c>
      <c r="F302" s="5" t="n"/>
      <c r="G302" s="5" t="n"/>
      <c r="H302" s="5" t="n"/>
      <c r="I302" s="5" t="n"/>
      <c r="J302" s="7">
        <f>IF(AND(N(F302)&gt;0,N(I302)&gt;0),I302-F302-IF(N(G302)&gt;0,0.5,0)-IF(N(H302)&gt;0,0.5,0),0)</f>
        <v/>
      </c>
      <c r="K302" s="5" t="n"/>
      <c r="L302" s="7">
        <f>MIN(J302,10.0)</f>
        <v/>
      </c>
      <c r="M302" s="7">
        <f>MAX(0,MIN(J302,12)-10.0)</f>
        <v/>
      </c>
      <c r="N302" s="7">
        <f>MAX(0,J302-12)</f>
        <v/>
      </c>
      <c r="O302" s="5" t="n"/>
      <c r="P302" s="6">
        <f>E302*(L302+M302*1.5+N302*2+O302*3+N(K302))</f>
        <v/>
      </c>
      <c r="Q302" s="6" t="n">
        <v>357.12</v>
      </c>
      <c r="R302" s="6">
        <f>Q302-P302</f>
        <v/>
      </c>
    </row>
    <row r="303">
      <c r="P303" s="2" t="inlineStr">
        <is>
          <t>BOOMOPERATOR LABOR</t>
        </is>
      </c>
      <c r="R303" s="8">
        <f>SUM(R302:R302)</f>
        <v/>
      </c>
    </row>
    <row r="305">
      <c r="B305" s="2" t="inlineStr">
        <is>
          <t>CABLEPERSON</t>
        </is>
      </c>
    </row>
    <row r="306">
      <c r="A306" s="5" t="inlineStr">
        <is>
          <t>3403</t>
        </is>
      </c>
      <c r="B306" s="5" t="inlineStr"/>
      <c r="C306" s="5" t="inlineStr">
        <is>
          <t>UTILITYSOUND</t>
        </is>
      </c>
      <c r="D306" s="5" t="inlineStr">
        <is>
          <t>Local695</t>
        </is>
      </c>
      <c r="E306" s="6" t="n">
        <v>20.57</v>
      </c>
      <c r="F306" s="5" t="n"/>
      <c r="G306" s="5" t="n"/>
      <c r="H306" s="5" t="n"/>
      <c r="I306" s="5" t="n"/>
      <c r="J306" s="7">
        <f>IF(AND(N(F306)&gt;0,N(I306)&gt;0),I306-F306-IF(N(G306)&gt;0,0.5,0)-IF(N(H306)&gt;0,0.5,0),0)</f>
        <v/>
      </c>
      <c r="K306" s="5" t="n"/>
      <c r="L306" s="7">
        <f>MIN(J306,10.0)</f>
        <v/>
      </c>
      <c r="M306" s="7">
        <f>MAX(0,MIN(J306,12)-10.0)</f>
        <v/>
      </c>
      <c r="N306" s="7">
        <f>MAX(0,J306-12)</f>
        <v/>
      </c>
      <c r="O306" s="5" t="n"/>
      <c r="P306" s="6">
        <f>E306*(L306+M306*1.5+N306*2+O306*3+N(K306))</f>
        <v/>
      </c>
      <c r="Q306" s="6" t="n">
        <v>318.83</v>
      </c>
      <c r="R306" s="6">
        <f>Q306-P306</f>
        <v/>
      </c>
    </row>
    <row r="307">
      <c r="P307" s="2" t="inlineStr">
        <is>
          <t>CABLEPERSON LABOR</t>
        </is>
      </c>
      <c r="R307" s="8">
        <f>SUM(R306:R306)</f>
        <v/>
      </c>
    </row>
    <row r="309">
      <c r="B309" s="2" t="inlineStr">
        <is>
          <t>VIDEOASSIST</t>
        </is>
      </c>
    </row>
    <row r="310">
      <c r="A310" s="5" t="inlineStr">
        <is>
          <t>3404</t>
        </is>
      </c>
      <c r="B310" s="5" t="inlineStr">
        <is>
          <t>Jeff Snyder</t>
        </is>
      </c>
      <c r="C310" s="5" t="inlineStr">
        <is>
          <t>VIDEOASSISTOPERATOR</t>
        </is>
      </c>
      <c r="D310" s="5" t="inlineStr">
        <is>
          <t>Local695</t>
        </is>
      </c>
      <c r="E310" s="6" t="n">
        <v>23.04</v>
      </c>
      <c r="F310" s="5" t="n"/>
      <c r="G310" s="5" t="n"/>
      <c r="H310" s="5" t="n"/>
      <c r="I310" s="5" t="n"/>
      <c r="J310" s="7">
        <f>IF(AND(N(F310)&gt;0,N(I310)&gt;0),I310-F310-IF(N(G310)&gt;0,0.5,0)-IF(N(H310)&gt;0,0.5,0),0)</f>
        <v/>
      </c>
      <c r="K310" s="5" t="n"/>
      <c r="L310" s="7">
        <f>MIN(J310,10.0)</f>
        <v/>
      </c>
      <c r="M310" s="7">
        <f>MAX(0,MIN(J310,12)-10.0)</f>
        <v/>
      </c>
      <c r="N310" s="7">
        <f>MAX(0,J310-12)</f>
        <v/>
      </c>
      <c r="O310" s="5" t="n"/>
      <c r="P310" s="6">
        <f>E310*(L310+M310*1.5+N310*2+O310*3+N(K310))</f>
        <v/>
      </c>
      <c r="Q310" s="6" t="n">
        <v>357.12</v>
      </c>
      <c r="R310" s="6">
        <f>Q310-P310</f>
        <v/>
      </c>
    </row>
    <row r="311">
      <c r="P311" s="2" t="inlineStr">
        <is>
          <t>VIDEOASSIST LABOR</t>
        </is>
      </c>
      <c r="R311" s="8">
        <f>SUM(R310:R310)</f>
        <v/>
      </c>
    </row>
    <row r="313">
      <c r="B313" s="2" t="inlineStr">
        <is>
          <t>CAPTAIN</t>
        </is>
      </c>
    </row>
    <row r="314">
      <c r="A314" s="5" t="inlineStr">
        <is>
          <t>3502</t>
        </is>
      </c>
      <c r="B314" s="5" t="inlineStr">
        <is>
          <t>Kevin Caira</t>
        </is>
      </c>
      <c r="C314" s="5" t="inlineStr">
        <is>
          <t>TRANSPOCAPTAIN(LA)</t>
        </is>
      </c>
      <c r="D314" s="5" t="inlineStr">
        <is>
          <t>Local399</t>
        </is>
      </c>
      <c r="E314" s="6" t="n">
        <v>37.21</v>
      </c>
      <c r="F314" s="5" t="n"/>
      <c r="G314" s="5" t="n"/>
      <c r="H314" s="5" t="n"/>
      <c r="I314" s="5" t="n"/>
      <c r="J314" s="7">
        <f>IF(AND(N(F314)&gt;0,N(I314)&gt;0),I314-F314-IF(N(G314)&gt;0,0.5,0)-IF(N(H314)&gt;0,0.5,0),0)</f>
        <v/>
      </c>
      <c r="K314" s="5" t="n"/>
      <c r="L314" s="7">
        <f>MIN(J314,8.0)</f>
        <v/>
      </c>
      <c r="M314" s="7">
        <f>MAX(0,MIN(J314,12)-8.0)</f>
        <v/>
      </c>
      <c r="N314" s="7">
        <f>MAX(0,J314-12)</f>
        <v/>
      </c>
      <c r="O314" s="5" t="n"/>
      <c r="P314" s="6">
        <f>E314*(L314+M314*1.5+N314*2+O314*3+N(K314))</f>
        <v/>
      </c>
      <c r="Q314" s="6" t="n">
        <v>651.17</v>
      </c>
      <c r="R314" s="6">
        <f>Q314-P314</f>
        <v/>
      </c>
    </row>
    <row r="315">
      <c r="A315" s="5" t="inlineStr">
        <is>
          <t>3502</t>
        </is>
      </c>
      <c r="B315" s="5" t="inlineStr">
        <is>
          <t>Tina Peterson</t>
        </is>
      </c>
      <c r="C315" s="5" t="inlineStr">
        <is>
          <t>CO-CAPTAIN</t>
        </is>
      </c>
      <c r="D315" s="5" t="inlineStr">
        <is>
          <t>Local399</t>
        </is>
      </c>
      <c r="E315" s="6" t="n">
        <v>37.21</v>
      </c>
      <c r="F315" s="5" t="n"/>
      <c r="G315" s="5" t="n"/>
      <c r="H315" s="5" t="n"/>
      <c r="I315" s="5" t="n"/>
      <c r="J315" s="7">
        <f>IF(AND(N(F315)&gt;0,N(I315)&gt;0),I315-F315-IF(N(G315)&gt;0,0.5,0)-IF(N(H315)&gt;0,0.5,0),0)</f>
        <v/>
      </c>
      <c r="K315" s="5" t="n"/>
      <c r="L315" s="7">
        <f>MIN(J315,8.0)</f>
        <v/>
      </c>
      <c r="M315" s="7">
        <f>MAX(0,MIN(J315,12)-8.0)</f>
        <v/>
      </c>
      <c r="N315" s="7">
        <f>MAX(0,J315-12)</f>
        <v/>
      </c>
      <c r="O315" s="5" t="n"/>
      <c r="P315" s="6">
        <f>E315*(L315+M315*1.5+N315*2+O315*3+N(K315))</f>
        <v/>
      </c>
      <c r="Q315" s="6" t="n">
        <v>576.75</v>
      </c>
      <c r="R315" s="6">
        <f>Q315-P315</f>
        <v/>
      </c>
    </row>
    <row r="316">
      <c r="P316" s="2" t="inlineStr">
        <is>
          <t>CAPTAIN LABOR</t>
        </is>
      </c>
      <c r="R316" s="8">
        <f>SUM(R314:R315)</f>
        <v/>
      </c>
    </row>
    <row r="318">
      <c r="B318" s="2" t="inlineStr">
        <is>
          <t>DRIVERS</t>
        </is>
      </c>
    </row>
    <row r="319">
      <c r="A319" s="5" t="inlineStr">
        <is>
          <t>3503</t>
        </is>
      </c>
      <c r="B319" s="5" t="inlineStr"/>
      <c r="C319" s="5" t="inlineStr">
        <is>
          <t>GRIPTRUCK 48'TRACTORTRAILERDRIVER</t>
        </is>
      </c>
      <c r="D319" s="5" t="inlineStr"/>
      <c r="E319" s="6" t="n">
        <v>32.36</v>
      </c>
      <c r="F319" s="5" t="n"/>
      <c r="G319" s="5" t="n"/>
      <c r="H319" s="5" t="n"/>
      <c r="I319" s="5" t="n"/>
      <c r="J319" s="7">
        <f>IF(AND(N(F319)&gt;0,N(I319)&gt;0),I319-F319-IF(N(G319)&gt;0,0.5,0)-IF(N(H319)&gt;0,0.5,0),0)</f>
        <v/>
      </c>
      <c r="K319" s="5" t="n"/>
      <c r="L319" s="7">
        <f>MIN(J319,8.0)</f>
        <v/>
      </c>
      <c r="M319" s="7">
        <f>MAX(0,MIN(J319,12)-8.0)</f>
        <v/>
      </c>
      <c r="N319" s="7">
        <f>MAX(0,J319-12)</f>
        <v/>
      </c>
      <c r="O319" s="5" t="n"/>
      <c r="P319" s="6">
        <f>E319*(L319+M319*1.5+N319*2+O319*3+N(K319))</f>
        <v/>
      </c>
      <c r="Q319" s="6" t="n">
        <v>501.58</v>
      </c>
      <c r="R319" s="6">
        <f>Q319-P319</f>
        <v/>
      </c>
    </row>
    <row r="320">
      <c r="A320" s="5" t="inlineStr">
        <is>
          <t>3503</t>
        </is>
      </c>
      <c r="B320" s="5" t="inlineStr">
        <is>
          <t>Donald Wilson</t>
        </is>
      </c>
      <c r="C320" s="5" t="inlineStr">
        <is>
          <t>PROP 5-TON(ENCLOSED)</t>
        </is>
      </c>
      <c r="D320" s="5" t="inlineStr"/>
      <c r="E320" s="6" t="n">
        <v>32.36</v>
      </c>
      <c r="F320" s="5" t="n"/>
      <c r="G320" s="5" t="n"/>
      <c r="H320" s="5" t="n"/>
      <c r="I320" s="5" t="n"/>
      <c r="J320" s="7">
        <f>IF(AND(N(F320)&gt;0,N(I320)&gt;0),I320-F320-IF(N(G320)&gt;0,0.5,0)-IF(N(H320)&gt;0,0.5,0),0)</f>
        <v/>
      </c>
      <c r="K320" s="5" t="n"/>
      <c r="L320" s="7">
        <f>MIN(J320,8.0)</f>
        <v/>
      </c>
      <c r="M320" s="7">
        <f>MAX(0,MIN(J320,12)-8.0)</f>
        <v/>
      </c>
      <c r="N320" s="7">
        <f>MAX(0,J320-12)</f>
        <v/>
      </c>
      <c r="O320" s="5" t="n"/>
      <c r="P320" s="6">
        <f>E320*(L320+M320*1.5+N320*2+O320*3+N(K320))</f>
        <v/>
      </c>
      <c r="Q320" s="6" t="n">
        <v>501.58</v>
      </c>
      <c r="R320" s="6">
        <f>Q320-P320</f>
        <v/>
      </c>
    </row>
    <row r="321">
      <c r="A321" s="5" t="inlineStr">
        <is>
          <t>3503</t>
        </is>
      </c>
      <c r="B321" s="5" t="inlineStr"/>
      <c r="C321" s="5" t="inlineStr">
        <is>
          <t>WARDROBESTAKEBEDDRIVER#1</t>
        </is>
      </c>
      <c r="D321" s="5" t="inlineStr"/>
      <c r="E321" s="6" t="n">
        <v>37.99</v>
      </c>
      <c r="F321" s="5" t="n"/>
      <c r="G321" s="5" t="n"/>
      <c r="H321" s="5" t="n"/>
      <c r="I321" s="5" t="n"/>
      <c r="J321" s="7">
        <f>IF(AND(N(F321)&gt;0,N(I321)&gt;0),I321-F321-IF(N(G321)&gt;0,0.5,0)-IF(N(H321)&gt;0,0.5,0),0)</f>
        <v/>
      </c>
      <c r="K321" s="5" t="n"/>
      <c r="L321" s="7">
        <f>MIN(J321,8.0)</f>
        <v/>
      </c>
      <c r="M321" s="7">
        <f>MAX(0,MIN(J321,12)-8.0)</f>
        <v/>
      </c>
      <c r="N321" s="7">
        <f>MAX(0,J321-12)</f>
        <v/>
      </c>
      <c r="O321" s="5" t="n"/>
      <c r="P321" s="6">
        <f>E321*(L321+M321*1.5+N321*2+O321*3+N(K321))</f>
        <v/>
      </c>
      <c r="Q321" s="6" t="n">
        <v>588.85</v>
      </c>
      <c r="R321" s="6">
        <f>Q321-P321</f>
        <v/>
      </c>
    </row>
    <row r="322">
      <c r="A322" s="5" t="inlineStr">
        <is>
          <t>3503</t>
        </is>
      </c>
      <c r="B322" s="5" t="inlineStr"/>
      <c r="C322" s="5" t="inlineStr">
        <is>
          <t>MAKEUPHAIRTRAILERDRIVER</t>
        </is>
      </c>
      <c r="D322" s="5" t="inlineStr"/>
      <c r="E322" s="6" t="n">
        <v>32.36</v>
      </c>
      <c r="F322" s="5" t="n"/>
      <c r="G322" s="5" t="n"/>
      <c r="H322" s="5" t="n"/>
      <c r="I322" s="5" t="n"/>
      <c r="J322" s="7">
        <f>IF(AND(N(F322)&gt;0,N(I322)&gt;0),I322-F322-IF(N(G322)&gt;0,0.5,0)-IF(N(H322)&gt;0,0.5,0),0)</f>
        <v/>
      </c>
      <c r="K322" s="5" t="n"/>
      <c r="L322" s="7">
        <f>MIN(J322,8.0)</f>
        <v/>
      </c>
      <c r="M322" s="7">
        <f>MAX(0,MIN(J322,12)-8.0)</f>
        <v/>
      </c>
      <c r="N322" s="7">
        <f>MAX(0,J322-12)</f>
        <v/>
      </c>
      <c r="O322" s="5" t="n"/>
      <c r="P322" s="6">
        <f>E322*(L322+M322*1.5+N322*2+O322*3+N(K322))</f>
        <v/>
      </c>
      <c r="Q322" s="6" t="n">
        <v>501.58</v>
      </c>
      <c r="R322" s="6">
        <f>Q322-P322</f>
        <v/>
      </c>
    </row>
    <row r="323">
      <c r="A323" s="5" t="inlineStr">
        <is>
          <t>3503</t>
        </is>
      </c>
      <c r="B323" s="5" t="inlineStr"/>
      <c r="C323" s="5" t="inlineStr">
        <is>
          <t>ELECTRIC 10TONDRIVER(GENIEOPERATOR)</t>
        </is>
      </c>
      <c r="D323" s="5" t="inlineStr"/>
      <c r="E323" s="6" t="n">
        <v>37.99</v>
      </c>
      <c r="F323" s="5" t="n"/>
      <c r="G323" s="5" t="n"/>
      <c r="H323" s="5" t="n"/>
      <c r="I323" s="5" t="n"/>
      <c r="J323" s="7">
        <f>IF(AND(N(F323)&gt;0,N(I323)&gt;0),I323-F323-IF(N(G323)&gt;0,0.5,0)-IF(N(H323)&gt;0,0.5,0),0)</f>
        <v/>
      </c>
      <c r="K323" s="5" t="n"/>
      <c r="L323" s="7">
        <f>MIN(J323,8.0)</f>
        <v/>
      </c>
      <c r="M323" s="7">
        <f>MAX(0,MIN(J323,12)-8.0)</f>
        <v/>
      </c>
      <c r="N323" s="7">
        <f>MAX(0,J323-12)</f>
        <v/>
      </c>
      <c r="O323" s="5" t="n"/>
      <c r="P323" s="6">
        <f>E323*(L323+M323*1.5+N323*2+O323*3+N(K323))</f>
        <v/>
      </c>
      <c r="Q323" s="6" t="n">
        <v>588.85</v>
      </c>
      <c r="R323" s="6">
        <f>Q323-P323</f>
        <v/>
      </c>
    </row>
    <row r="324">
      <c r="A324" s="5" t="inlineStr">
        <is>
          <t>3503</t>
        </is>
      </c>
      <c r="B324" s="5" t="inlineStr"/>
      <c r="C324" s="5" t="inlineStr">
        <is>
          <t>SOUNDCCSTAKEBEDFUELTRUCKDRIVER</t>
        </is>
      </c>
      <c r="D324" s="5" t="inlineStr"/>
      <c r="E324" s="6" t="n">
        <v>32.36</v>
      </c>
      <c r="F324" s="5" t="n"/>
      <c r="G324" s="5" t="n"/>
      <c r="H324" s="5" t="n"/>
      <c r="I324" s="5" t="n"/>
      <c r="J324" s="7">
        <f>IF(AND(N(F324)&gt;0,N(I324)&gt;0),I324-F324-IF(N(G324)&gt;0,0.5,0)-IF(N(H324)&gt;0,0.5,0),0)</f>
        <v/>
      </c>
      <c r="K324" s="5" t="n"/>
      <c r="L324" s="7">
        <f>MIN(J324,8.0)</f>
        <v/>
      </c>
      <c r="M324" s="7">
        <f>MAX(0,MIN(J324,12)-8.0)</f>
        <v/>
      </c>
      <c r="N324" s="7">
        <f>MAX(0,J324-12)</f>
        <v/>
      </c>
      <c r="O324" s="5" t="n"/>
      <c r="P324" s="6">
        <f>E324*(L324+M324*1.5+N324*2+O324*3+N(K324))</f>
        <v/>
      </c>
      <c r="Q324" s="6" t="n">
        <v>501.58</v>
      </c>
      <c r="R324" s="6">
        <f>Q324-P324</f>
        <v/>
      </c>
    </row>
    <row r="325">
      <c r="A325" s="5" t="inlineStr">
        <is>
          <t>3503</t>
        </is>
      </c>
      <c r="B325" s="5" t="inlineStr"/>
      <c r="C325" s="5" t="inlineStr">
        <is>
          <t>9-ROOMHONEYWAGONTRACTORDRIVER</t>
        </is>
      </c>
      <c r="D325" s="5" t="inlineStr"/>
      <c r="E325" s="6" t="n">
        <v>32.36</v>
      </c>
      <c r="F325" s="5" t="n"/>
      <c r="G325" s="5" t="n"/>
      <c r="H325" s="5" t="n"/>
      <c r="I325" s="5" t="n"/>
      <c r="J325" s="7">
        <f>IF(AND(N(F325)&gt;0,N(I325)&gt;0),I325-F325-IF(N(G325)&gt;0,0.5,0)-IF(N(H325)&gt;0,0.5,0),0)</f>
        <v/>
      </c>
      <c r="K325" s="5" t="n"/>
      <c r="L325" s="7">
        <f>MIN(J325,8.0)</f>
        <v/>
      </c>
      <c r="M325" s="7">
        <f>MAX(0,MIN(J325,12)-8.0)</f>
        <v/>
      </c>
      <c r="N325" s="7">
        <f>MAX(0,J325-12)</f>
        <v/>
      </c>
      <c r="O325" s="5" t="n"/>
      <c r="P325" s="6">
        <f>E325*(L325+M325*1.5+N325*2+O325*3+N(K325))</f>
        <v/>
      </c>
      <c r="Q325" s="6" t="n">
        <v>501.58</v>
      </c>
      <c r="R325" s="6">
        <f>Q325-P325</f>
        <v/>
      </c>
    </row>
    <row r="326">
      <c r="A326" s="5" t="inlineStr">
        <is>
          <t>3503</t>
        </is>
      </c>
      <c r="B326" s="5" t="inlineStr"/>
      <c r="C326" s="5" t="inlineStr">
        <is>
          <t>FORDTRANSITVANDRIVER#1</t>
        </is>
      </c>
      <c r="D326" s="5" t="inlineStr"/>
      <c r="E326" s="6" t="n">
        <v>32.36</v>
      </c>
      <c r="F326" s="5" t="n"/>
      <c r="G326" s="5" t="n"/>
      <c r="H326" s="5" t="n"/>
      <c r="I326" s="5" t="n"/>
      <c r="J326" s="7">
        <f>IF(AND(N(F326)&gt;0,N(I326)&gt;0),I326-F326-IF(N(G326)&gt;0,0.5,0)-IF(N(H326)&gt;0,0.5,0),0)</f>
        <v/>
      </c>
      <c r="K326" s="5" t="n"/>
      <c r="L326" s="7">
        <f>MIN(J326,8.0)</f>
        <v/>
      </c>
      <c r="M326" s="7">
        <f>MAX(0,MIN(J326,12)-8.0)</f>
        <v/>
      </c>
      <c r="N326" s="7">
        <f>MAX(0,J326-12)</f>
        <v/>
      </c>
      <c r="O326" s="5" t="n"/>
      <c r="P326" s="6">
        <f>E326*(L326+M326*1.5+N326*2+O326*3+N(K326))</f>
        <v/>
      </c>
      <c r="Q326" s="6" t="n">
        <v>501.58</v>
      </c>
      <c r="R326" s="6">
        <f>Q326-P326</f>
        <v/>
      </c>
    </row>
    <row r="327">
      <c r="A327" s="5" t="inlineStr">
        <is>
          <t>3503</t>
        </is>
      </c>
      <c r="B327" s="5" t="inlineStr">
        <is>
          <t>Kaiser Clark</t>
        </is>
      </c>
      <c r="C327" s="5" t="inlineStr">
        <is>
          <t>CSETDECTRUCKDRIVER#1</t>
        </is>
      </c>
      <c r="D327" s="5" t="inlineStr"/>
      <c r="E327" s="6" t="n">
        <v>32.36</v>
      </c>
      <c r="F327" s="5" t="n"/>
      <c r="G327" s="5" t="n"/>
      <c r="H327" s="5" t="n"/>
      <c r="I327" s="5" t="n"/>
      <c r="J327" s="7">
        <f>IF(AND(N(F327)&gt;0,N(I327)&gt;0),I327-F327-IF(N(G327)&gt;0,0.5,0)-IF(N(H327)&gt;0,0.5,0),0)</f>
        <v/>
      </c>
      <c r="K327" s="5" t="n"/>
      <c r="L327" s="7">
        <f>MIN(J327,8.0)</f>
        <v/>
      </c>
      <c r="M327" s="7">
        <f>MAX(0,MIN(J327,12)-8.0)</f>
        <v/>
      </c>
      <c r="N327" s="7">
        <f>MAX(0,J327-12)</f>
        <v/>
      </c>
      <c r="O327" s="5" t="n"/>
      <c r="P327" s="6">
        <f>E327*(L327+M327*1.5+N327*2+O327*3+N(K327))</f>
        <v/>
      </c>
      <c r="Q327" s="6" t="n">
        <v>501.58</v>
      </c>
      <c r="R327" s="6">
        <f>Q327-P327</f>
        <v/>
      </c>
    </row>
    <row r="328">
      <c r="A328" s="5" t="inlineStr">
        <is>
          <t>3503</t>
        </is>
      </c>
      <c r="B328" s="5" t="inlineStr"/>
      <c r="C328" s="5" t="inlineStr">
        <is>
          <t>C 5-TONENCLOSEDRIGGINGGRIPDRIVER</t>
        </is>
      </c>
      <c r="D328" s="5" t="inlineStr"/>
      <c r="E328" s="6" t="n">
        <v>32.36</v>
      </c>
      <c r="F328" s="5" t="n"/>
      <c r="G328" s="5" t="n"/>
      <c r="H328" s="5" t="n"/>
      <c r="I328" s="5" t="n"/>
      <c r="J328" s="7">
        <f>IF(AND(N(F328)&gt;0,N(I328)&gt;0),I328-F328-IF(N(G328)&gt;0,0.5,0)-IF(N(H328)&gt;0,0.5,0),0)</f>
        <v/>
      </c>
      <c r="K328" s="5" t="n"/>
      <c r="L328" s="7">
        <f>MIN(J328,8.0)</f>
        <v/>
      </c>
      <c r="M328" s="7">
        <f>MAX(0,MIN(J328,12)-8.0)</f>
        <v/>
      </c>
      <c r="N328" s="7">
        <f>MAX(0,J328-12)</f>
        <v/>
      </c>
      <c r="O328" s="5" t="n"/>
      <c r="P328" s="6">
        <f>E328*(L328+M328*1.5+N328*2+O328*3+N(K328))</f>
        <v/>
      </c>
      <c r="Q328" s="5" t="n"/>
      <c r="R328" s="6">
        <f>Q328-P328</f>
        <v/>
      </c>
    </row>
    <row r="329">
      <c r="A329" s="5" t="inlineStr">
        <is>
          <t>3503</t>
        </is>
      </c>
      <c r="B329" s="5" t="inlineStr"/>
      <c r="C329" s="5" t="inlineStr">
        <is>
          <t>SCOUTBUS</t>
        </is>
      </c>
      <c r="D329" s="5" t="inlineStr"/>
      <c r="E329" s="6" t="n">
        <v>32.36</v>
      </c>
      <c r="F329" s="5" t="n"/>
      <c r="G329" s="5" t="n"/>
      <c r="H329" s="5" t="n"/>
      <c r="I329" s="5" t="n"/>
      <c r="J329" s="7">
        <f>IF(AND(N(F329)&gt;0,N(I329)&gt;0),I329-F329-IF(N(G329)&gt;0,0.5,0)-IF(N(H329)&gt;0,0.5,0),0)</f>
        <v/>
      </c>
      <c r="K329" s="5" t="n"/>
      <c r="L329" s="7">
        <f>MIN(J329,8.0)</f>
        <v/>
      </c>
      <c r="M329" s="7">
        <f>MAX(0,MIN(J329,12)-8.0)</f>
        <v/>
      </c>
      <c r="N329" s="7">
        <f>MAX(0,J329-12)</f>
        <v/>
      </c>
      <c r="O329" s="5" t="n"/>
      <c r="P329" s="6">
        <f>E329*(L329+M329*1.5+N329*2+O329*3+N(K329))</f>
        <v/>
      </c>
      <c r="Q329" s="5" t="n"/>
      <c r="R329" s="6">
        <f>Q329-P329</f>
        <v/>
      </c>
    </row>
    <row r="330">
      <c r="A330" s="5" t="inlineStr">
        <is>
          <t>3503</t>
        </is>
      </c>
      <c r="B330" s="5" t="inlineStr"/>
      <c r="C330" s="5" t="inlineStr">
        <is>
          <t>DRIVERMANDAYS</t>
        </is>
      </c>
      <c r="D330" s="5" t="inlineStr"/>
      <c r="E330" s="6" t="n">
        <v>32.36</v>
      </c>
      <c r="F330" s="5" t="n"/>
      <c r="G330" s="5" t="n"/>
      <c r="H330" s="5" t="n"/>
      <c r="I330" s="5" t="n"/>
      <c r="J330" s="7">
        <f>IF(AND(N(F330)&gt;0,N(I330)&gt;0),I330-F330-IF(N(G330)&gt;0,0.5,0)-IF(N(H330)&gt;0,0.5,0),0)</f>
        <v/>
      </c>
      <c r="K330" s="5" t="n"/>
      <c r="L330" s="7">
        <f>MIN(J330,8.0)</f>
        <v/>
      </c>
      <c r="M330" s="7">
        <f>MAX(0,MIN(J330,12)-8.0)</f>
        <v/>
      </c>
      <c r="N330" s="7">
        <f>MAX(0,J330-12)</f>
        <v/>
      </c>
      <c r="O330" s="5" t="n"/>
      <c r="P330" s="6">
        <f>E330*(L330+M330*1.5+N330*2+O330*3+N(K330))</f>
        <v/>
      </c>
      <c r="Q330" s="5" t="n"/>
      <c r="R330" s="6">
        <f>Q330-P330</f>
        <v/>
      </c>
    </row>
    <row r="331">
      <c r="P331" s="2" t="inlineStr">
        <is>
          <t>DRIVERS LABOR</t>
        </is>
      </c>
      <c r="R331" s="8">
        <f>SUM(R319:R330)</f>
        <v/>
      </c>
    </row>
    <row r="333">
      <c r="B333" s="2" t="inlineStr">
        <is>
          <t>LOCATIONSITEFEES</t>
        </is>
      </c>
    </row>
    <row r="334">
      <c r="A334" s="5" t="inlineStr">
        <is>
          <t>3607</t>
        </is>
      </c>
      <c r="B334" s="5" t="inlineStr"/>
      <c r="C334" s="5" t="inlineStr">
        <is>
          <t>Location#1(Hospital ER, LACountry Childrens Shelter, Shelter Dorm, Dept...</t>
        </is>
      </c>
      <c r="D334" s="5" t="inlineStr">
        <is>
          <t>Local400</t>
        </is>
      </c>
      <c r="E334" s="6" t="n">
        <v>50000</v>
      </c>
      <c r="F334" s="5" t="n"/>
      <c r="G334" s="5" t="n"/>
      <c r="H334" s="5" t="n"/>
      <c r="I334" s="5" t="n"/>
      <c r="J334" s="7">
        <f>IF(AND(N(F334)&gt;0,N(I334)&gt;0),I334-F334-IF(N(G334)&gt;0,0.5,0)-IF(N(H334)&gt;0,0.5,0),0)</f>
        <v/>
      </c>
      <c r="K334" s="5" t="n"/>
      <c r="L334" s="7">
        <f>MIN(J334,8.0)</f>
        <v/>
      </c>
      <c r="M334" s="7">
        <f>MAX(0,MIN(J334,12)-8.0)</f>
        <v/>
      </c>
      <c r="N334" s="7">
        <f>MAX(0,J334-12)</f>
        <v/>
      </c>
      <c r="O334" s="5" t="n"/>
      <c r="P334" s="6">
        <f>E334*(L334+M334*1.5+N334*2+O334*3+N(K334))</f>
        <v/>
      </c>
      <c r="Q334" s="6" t="n">
        <v>50000</v>
      </c>
      <c r="R334" s="6">
        <f>Q334-P334</f>
        <v/>
      </c>
    </row>
    <row r="335">
      <c r="P335" s="2" t="inlineStr">
        <is>
          <t>LOCATIONSITEFEES LABOR</t>
        </is>
      </c>
      <c r="R335" s="8">
        <f>SUM(R334:R334)</f>
        <v/>
      </c>
    </row>
    <row r="337">
      <c r="B337" s="2" t="inlineStr">
        <is>
          <t>CATERINGLABOR</t>
        </is>
      </c>
    </row>
    <row r="338">
      <c r="A338" s="5" t="inlineStr">
        <is>
          <t>3621</t>
        </is>
      </c>
      <c r="B338" s="5" t="inlineStr"/>
      <c r="C338" s="5" t="inlineStr">
        <is>
          <t>COOKDRIVER#1</t>
        </is>
      </c>
      <c r="D338" s="5" t="inlineStr">
        <is>
          <t>Local399</t>
        </is>
      </c>
      <c r="E338" s="6" t="n">
        <v>32.36</v>
      </c>
      <c r="F338" s="5" t="n"/>
      <c r="G338" s="5" t="n"/>
      <c r="H338" s="5" t="n"/>
      <c r="I338" s="5" t="n"/>
      <c r="J338" s="7">
        <f>IF(AND(N(F338)&gt;0,N(I338)&gt;0),I338-F338-IF(N(G338)&gt;0,0.5,0)-IF(N(H338)&gt;0,0.5,0),0)</f>
        <v/>
      </c>
      <c r="K338" s="5" t="n"/>
      <c r="L338" s="7">
        <f>MIN(J338,8.0)</f>
        <v/>
      </c>
      <c r="M338" s="7">
        <f>MAX(0,MIN(J338,12)-8.0)</f>
        <v/>
      </c>
      <c r="N338" s="7">
        <f>MAX(0,J338-12)</f>
        <v/>
      </c>
      <c r="O338" s="5" t="n"/>
      <c r="P338" s="6">
        <f>E338*(L338+M338*1.5+N338*2+O338*3+N(K338))</f>
        <v/>
      </c>
      <c r="Q338" s="6" t="n">
        <v>647.2</v>
      </c>
      <c r="R338" s="6">
        <f>Q338-P338</f>
        <v/>
      </c>
    </row>
    <row r="339">
      <c r="A339" s="5" t="inlineStr">
        <is>
          <t>3621</t>
        </is>
      </c>
      <c r="B339" s="5" t="inlineStr"/>
      <c r="C339" s="5" t="inlineStr">
        <is>
          <t>1STASSTCATERER#1</t>
        </is>
      </c>
      <c r="D339" s="5" t="inlineStr"/>
      <c r="E339" s="6" t="n">
        <v>17</v>
      </c>
      <c r="F339" s="5" t="n"/>
      <c r="G339" s="5" t="n"/>
      <c r="H339" s="5" t="n"/>
      <c r="I339" s="5" t="n"/>
      <c r="J339" s="7">
        <f>IF(AND(N(F339)&gt;0,N(I339)&gt;0),I339-F339-IF(N(G339)&gt;0,0.5,0)-IF(N(H339)&gt;0,0.5,0),0)</f>
        <v/>
      </c>
      <c r="K339" s="5" t="n"/>
      <c r="L339" s="7">
        <f>MIN(J339,8.0)</f>
        <v/>
      </c>
      <c r="M339" s="7">
        <f>MAX(0,MIN(J339,12)-8.0)</f>
        <v/>
      </c>
      <c r="N339" s="7">
        <f>MAX(0,J339-12)</f>
        <v/>
      </c>
      <c r="O339" s="5" t="n"/>
      <c r="P339" s="6">
        <f>E339*(L339+M339*1.5+N339*2+O339*3+N(K339))</f>
        <v/>
      </c>
      <c r="Q339" s="6" t="n">
        <v>340</v>
      </c>
      <c r="R339" s="6">
        <f>Q339-P339</f>
        <v/>
      </c>
    </row>
    <row r="340">
      <c r="A340" s="5" t="inlineStr">
        <is>
          <t>3621</t>
        </is>
      </c>
      <c r="B340" s="5" t="inlineStr"/>
      <c r="C340" s="5" t="inlineStr">
        <is>
          <t>1STASSTCATERER#2</t>
        </is>
      </c>
      <c r="D340" s="5" t="inlineStr"/>
      <c r="E340" s="6" t="n">
        <v>16</v>
      </c>
      <c r="F340" s="5" t="n"/>
      <c r="G340" s="5" t="n"/>
      <c r="H340" s="5" t="n"/>
      <c r="I340" s="5" t="n"/>
      <c r="J340" s="7">
        <f>IF(AND(N(F340)&gt;0,N(I340)&gt;0),I340-F340-IF(N(G340)&gt;0,0.5,0)-IF(N(H340)&gt;0,0.5,0),0)</f>
        <v/>
      </c>
      <c r="K340" s="5" t="n"/>
      <c r="L340" s="7">
        <f>MIN(J340,8.0)</f>
        <v/>
      </c>
      <c r="M340" s="7">
        <f>MAX(0,MIN(J340,12)-8.0)</f>
        <v/>
      </c>
      <c r="N340" s="7">
        <f>MAX(0,J340-12)</f>
        <v/>
      </c>
      <c r="O340" s="5" t="n"/>
      <c r="P340" s="6">
        <f>E340*(L340+M340*1.5+N340*2+O340*3+N(K340))</f>
        <v/>
      </c>
      <c r="Q340" s="6" t="n">
        <v>320</v>
      </c>
      <c r="R340" s="6">
        <f>Q340-P340</f>
        <v/>
      </c>
    </row>
    <row r="341">
      <c r="P341" s="2" t="inlineStr">
        <is>
          <t>CATERINGLABOR LABOR</t>
        </is>
      </c>
      <c r="R341" s="8">
        <f>SUM(R338:R340)</f>
        <v/>
      </c>
    </row>
    <row r="343">
      <c r="K343" s="9" t="inlineStr">
        <is>
          <t>TOTAL</t>
        </is>
      </c>
      <c r="P343" s="9" t="inlineStr">
        <is>
          <t>ACTUAL</t>
        </is>
      </c>
      <c r="Q343" s="9" t="inlineStr">
        <is>
          <t>BUDGET</t>
        </is>
      </c>
      <c r="R343" s="9" t="inlineStr">
        <is>
          <t>TOTAL VAR</t>
        </is>
      </c>
    </row>
    <row r="344">
      <c r="P344" s="9" t="inlineStr">
        <is>
          <t>DAY COST</t>
        </is>
      </c>
      <c r="Q344" s="9" t="inlineStr">
        <is>
          <t>DY COST</t>
        </is>
      </c>
      <c r="R344" s="9" t="inlineStr">
        <is>
          <t>(OVER) / UNDER</t>
        </is>
      </c>
    </row>
    <row r="345">
      <c r="P345" s="10">
        <f>SUM(P6:P6)+SUM(P10:P11)+SUM(P15:P17)+SUM(P21:P22)+SUM(P26:P32)+SUM(P36:P36)+SUM(P40:P41)+SUM(P45:P45)+SUM(P49:P49)+SUM(P53:P54)+SUM(P58:P58)+SUM(P62:P62)+SUM(P66:P67)+SUM(P71:P71)+SUM(P75:P75)+SUM(P79:P80)+SUM(P84:P84)+SUM(P88:P88)+SUM(P92:P93)+SUM(P97:P100)+SUM(P104:P104)+SUM(P108:P109)+SUM(P113:P113)+SUM(P117:P117)+SUM(P121:P121)+SUM(P125:P125)+SUM(P129:P130)+SUM(P134:P134)+SUM(P138:P139)+SUM(P143:P145)+SUM(P149:P149)+SUM(P153:P153)+SUM(P157:P158)+SUM(P162:P163)+SUM(P167:P167)+SUM(P171:P173)+SUM(P177:P177)+SUM(P181:P181)+SUM(P185:P187)+SUM(P191:P191)+SUM(P195:P195)+SUM(P199:P199)+SUM(P203:P203)+SUM(P207:P207)+SUM(P211:P211)+SUM(P215:P216)+SUM(P220:P220)+SUM(P224:P224)+SUM(P228:P228)+SUM(P232:P233)+SUM(P237:P237)+SUM(P241:P241)+SUM(P245:P245)+SUM(P249:P249)+SUM(P253:P254)+SUM(P258:P260)+SUM(P264:P264)+SUM(P268:P268)+SUM(P272:P272)+SUM(P276:P276)+SUM(P280:P281)+SUM(P285:P286)+SUM(P290:P290)+SUM(P294:P294)+SUM(P298:P298)+SUM(P302:P302)+SUM(P306:P306)+SUM(P310:P310)+SUM(P314:P315)+SUM(P319:P330)+SUM(P334:P334)+SUM(P338:P340)</f>
        <v/>
      </c>
      <c r="Q345" s="10">
        <f>SUM(Q6:Q6)+SUM(Q10:Q11)+SUM(Q15:Q17)+SUM(Q21:Q22)+SUM(Q26:Q32)+SUM(Q36:Q36)+SUM(Q40:Q41)+SUM(Q45:Q45)+SUM(Q49:Q49)+SUM(Q53:Q54)+SUM(Q58:Q58)+SUM(Q62:Q62)+SUM(Q66:Q67)+SUM(Q71:Q71)+SUM(Q75:Q75)+SUM(Q79:Q80)+SUM(Q84:Q84)+SUM(Q88:Q88)+SUM(Q92:Q93)+SUM(Q97:Q100)+SUM(Q104:Q104)+SUM(Q108:Q109)+SUM(Q113:Q113)+SUM(Q117:Q117)+SUM(Q121:Q121)+SUM(Q125:Q125)+SUM(Q129:Q130)+SUM(Q134:Q134)+SUM(Q138:Q139)+SUM(Q143:Q145)+SUM(Q149:Q149)+SUM(Q153:Q153)+SUM(Q157:Q158)+SUM(Q162:Q163)+SUM(Q167:Q167)+SUM(Q171:Q173)+SUM(Q177:Q177)+SUM(Q181:Q181)+SUM(Q185:Q187)+SUM(Q191:Q191)+SUM(Q195:Q195)+SUM(Q199:Q199)+SUM(Q203:Q203)+SUM(Q207:Q207)+SUM(Q211:Q211)+SUM(Q215:Q216)+SUM(Q220:Q220)+SUM(Q224:Q224)+SUM(Q228:Q228)+SUM(Q232:Q233)+SUM(Q237:Q237)+SUM(Q241:Q241)+SUM(Q245:Q245)+SUM(Q249:Q249)+SUM(Q253:Q254)+SUM(Q258:Q260)+SUM(Q264:Q264)+SUM(Q268:Q268)+SUM(Q272:Q272)+SUM(Q276:Q276)+SUM(Q280:Q281)+SUM(Q285:Q286)+SUM(Q290:Q290)+SUM(Q294:Q294)+SUM(Q298:Q298)+SUM(Q302:Q302)+SUM(Q306:Q306)+SUM(Q310:Q310)+SUM(Q314:Q315)+SUM(Q319:Q330)+SUM(Q334:Q334)+SUM(Q338:Q340)</f>
        <v/>
      </c>
      <c r="R345" s="10">
        <f>SUM(R6:R6)+SUM(R10:R11)+SUM(R15:R17)+SUM(R21:R22)+SUM(R26:R32)+SUM(R36:R36)+SUM(R40:R41)+SUM(R45:R45)+SUM(R49:R49)+SUM(R53:R54)+SUM(R58:R58)+SUM(R62:R62)+SUM(R66:R67)+SUM(R71:R71)+SUM(R75:R75)+SUM(R79:R80)+SUM(R84:R84)+SUM(R88:R88)+SUM(R92:R93)+SUM(R97:R100)+SUM(R104:R104)+SUM(R108:R109)+SUM(R113:R113)+SUM(R117:R117)+SUM(R121:R121)+SUM(R125:R125)+SUM(R129:R130)+SUM(R134:R134)+SUM(R138:R139)+SUM(R143:R145)+SUM(R149:R149)+SUM(R153:R153)+SUM(R157:R158)+SUM(R162:R163)+SUM(R167:R167)+SUM(R171:R173)+SUM(R177:R177)+SUM(R181:R181)+SUM(R185:R187)+SUM(R191:R191)+SUM(R195:R195)+SUM(R199:R199)+SUM(R203:R203)+SUM(R207:R207)+SUM(R211:R211)+SUM(R215:R216)+SUM(R220:R220)+SUM(R224:R224)+SUM(R228:R228)+SUM(R232:R233)+SUM(R237:R237)+SUM(R241:R241)+SUM(R245:R245)+SUM(R249:R249)+SUM(R253:R254)+SUM(R258:R260)+SUM(R264:R264)+SUM(R268:R268)+SUM(R272:R272)+SUM(R276:R276)+SUM(R280:R281)+SUM(R285:R286)+SUM(R290:R290)+SUM(R294:R294)+SUM(R298:R298)+SUM(R302:R302)+SUM(R306:R306)+SUM(R310:R310)+SUM(R314:R315)+SUM(R319:R330)+SUM(R334:R334)+SUM(R338:R340)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R34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20" customWidth="1" min="3" max="3"/>
    <col width="9" customWidth="1" min="4" max="4"/>
    <col width="9" customWidth="1" min="5" max="5"/>
    <col width="7" customWidth="1" min="6" max="6"/>
    <col width="7" customWidth="1" min="7" max="7"/>
    <col width="8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12" customWidth="1" min="16" max="16"/>
    <col width="13" customWidth="1" min="17" max="17"/>
    <col width="14" customWidth="1" min="18" max="18"/>
  </cols>
  <sheetData>
    <row r="1">
      <c r="A1" s="1" t="inlineStr">
        <is>
          <t>HOT COST</t>
        </is>
      </c>
      <c r="C1" t="inlineStr">
        <is>
          <t>Wednesday 08 Nov 2017</t>
        </is>
      </c>
      <c r="F1" s="2" t="inlineStr">
        <is>
          <t>DAY #18</t>
        </is>
      </c>
    </row>
    <row r="2">
      <c r="A2" s="3" t="inlineStr">
        <is>
          <t>enter CALL, LUNCH, WRAP as decimal hours (e.g. 7.5) — everything right of WRAP computes</t>
        </is>
      </c>
    </row>
    <row r="4">
      <c r="A4" s="4" t="inlineStr">
        <is>
          <t>ACCT</t>
        </is>
      </c>
      <c r="B4" s="4" t="inlineStr">
        <is>
          <t>NAME</t>
        </is>
      </c>
      <c r="C4" s="4" t="inlineStr">
        <is>
          <t>POSITION</t>
        </is>
      </c>
      <c r="D4" s="4" t="inlineStr">
        <is>
          <t>UNION</t>
        </is>
      </c>
      <c r="E4" s="4" t="inlineStr">
        <is>
          <t>RATE</t>
        </is>
      </c>
      <c r="F4" s="4" t="inlineStr">
        <is>
          <t>CALL</t>
        </is>
      </c>
      <c r="G4" s="4" t="inlineStr">
        <is>
          <t>LUNCH</t>
        </is>
      </c>
      <c r="H4" s="4" t="inlineStr">
        <is>
          <t>LUNCH 2</t>
        </is>
      </c>
      <c r="I4" s="4" t="inlineStr">
        <is>
          <t>WRAP</t>
        </is>
      </c>
      <c r="J4" s="4" t="inlineStr">
        <is>
          <t>HRS</t>
        </is>
      </c>
      <c r="K4" s="4" t="inlineStr">
        <is>
          <t>MP'S</t>
        </is>
      </c>
      <c r="L4" s="4" t="inlineStr">
        <is>
          <t>ST</t>
        </is>
      </c>
      <c r="M4" s="4" t="inlineStr">
        <is>
          <t>1.5X</t>
        </is>
      </c>
      <c r="N4" s="4" t="inlineStr">
        <is>
          <t>2X</t>
        </is>
      </c>
      <c r="O4" s="4" t="inlineStr">
        <is>
          <t>3X</t>
        </is>
      </c>
      <c r="P4" s="4" t="inlineStr">
        <is>
          <t>TOTAL / DAY</t>
        </is>
      </c>
      <c r="Q4" s="4" t="inlineStr">
        <is>
          <t>BUDGET / DAY</t>
        </is>
      </c>
      <c r="R4" s="4" t="inlineStr">
        <is>
          <t>(OVER) / UNDER</t>
        </is>
      </c>
    </row>
    <row r="5">
      <c r="B5" s="2" t="inlineStr">
        <is>
          <t>LEAD#</t>
        </is>
      </c>
    </row>
    <row r="6">
      <c r="A6" s="5" t="inlineStr">
        <is>
          <t>1401</t>
        </is>
      </c>
      <c r="B6" s="5" t="inlineStr">
        <is>
          <t>Linda Cardellini</t>
        </is>
      </c>
      <c r="C6" s="5" t="inlineStr">
        <is>
          <t>"ANNA"</t>
        </is>
      </c>
      <c r="D6" s="5" t="inlineStr"/>
      <c r="E6" s="6" t="n">
        <v>1211.8</v>
      </c>
      <c r="F6" s="5" t="n"/>
      <c r="G6" s="5" t="n"/>
      <c r="H6" s="5" t="n"/>
      <c r="I6" s="5" t="n"/>
      <c r="J6" s="7">
        <f>IF(AND(N(F6)&gt;0,N(I6)&gt;0),I6-F6-IF(N(G6)&gt;0,0.5,0)-IF(N(H6)&gt;0,0.5,0),0)</f>
        <v/>
      </c>
      <c r="K6" s="5" t="n"/>
      <c r="L6" s="7">
        <f>MIN(J6,8.0)</f>
        <v/>
      </c>
      <c r="M6" s="7">
        <f>MAX(0,MIN(J6,12)-8.0)</f>
        <v/>
      </c>
      <c r="N6" s="7">
        <f>MAX(0,J6-12)</f>
        <v/>
      </c>
      <c r="O6" s="5" t="n"/>
      <c r="P6" s="6">
        <f>E6*(L6+M6*1.5+N6*2+O6*3+N(K6))</f>
        <v/>
      </c>
      <c r="Q6" s="6" t="n">
        <v>1211.8</v>
      </c>
      <c r="R6" s="6">
        <f>Q6-P6</f>
        <v/>
      </c>
    </row>
    <row r="7">
      <c r="P7" s="2" t="inlineStr">
        <is>
          <t>LEAD# LABOR</t>
        </is>
      </c>
      <c r="R7" s="8">
        <f>SUM(R6:R6)</f>
        <v/>
      </c>
    </row>
    <row r="9">
      <c r="B9" s="2" t="inlineStr">
        <is>
          <t>LEAD#2&amp;#</t>
        </is>
      </c>
    </row>
    <row r="10">
      <c r="A10" s="5" t="inlineStr">
        <is>
          <t>1402</t>
        </is>
      </c>
      <c r="B10" s="5" t="inlineStr">
        <is>
          <t>Roman Christou</t>
        </is>
      </c>
      <c r="C10" s="5" t="inlineStr">
        <is>
          <t>"CHRIS"(Minor)</t>
        </is>
      </c>
      <c r="D10" s="5" t="inlineStr"/>
      <c r="E10" s="6" t="n">
        <v>755.4</v>
      </c>
      <c r="F10" s="5" t="n"/>
      <c r="G10" s="5" t="n"/>
      <c r="H10" s="5" t="n"/>
      <c r="I10" s="5" t="n"/>
      <c r="J10" s="7">
        <f>IF(AND(N(F10)&gt;0,N(I10)&gt;0),I10-F10-IF(N(G10)&gt;0,0.5,0)-IF(N(H10)&gt;0,0.5,0),0)</f>
        <v/>
      </c>
      <c r="K10" s="5" t="n"/>
      <c r="L10" s="7">
        <f>MIN(J10,8.0)</f>
        <v/>
      </c>
      <c r="M10" s="7">
        <f>MAX(0,MIN(J10,12)-8.0)</f>
        <v/>
      </c>
      <c r="N10" s="7">
        <f>MAX(0,J10-12)</f>
        <v/>
      </c>
      <c r="O10" s="5" t="n"/>
      <c r="P10" s="6">
        <f>E10*(L10+M10*1.5+N10*2+O10*3+N(K10))</f>
        <v/>
      </c>
      <c r="Q10" s="6" t="n">
        <v>755.4</v>
      </c>
      <c r="R10" s="6">
        <f>Q10-P10</f>
        <v/>
      </c>
    </row>
    <row r="11">
      <c r="A11" s="5" t="inlineStr">
        <is>
          <t>1402</t>
        </is>
      </c>
      <c r="B11" s="5" t="inlineStr">
        <is>
          <t>Jaynee Lynee Kinchen</t>
        </is>
      </c>
      <c r="C11" s="5" t="inlineStr">
        <is>
          <t>"SAMANTHA"(Minor)</t>
        </is>
      </c>
      <c r="D11" s="5" t="inlineStr"/>
      <c r="E11" s="6" t="n">
        <v>755.4</v>
      </c>
      <c r="F11" s="5" t="n"/>
      <c r="G11" s="5" t="n"/>
      <c r="H11" s="5" t="n"/>
      <c r="I11" s="5" t="n"/>
      <c r="J11" s="7">
        <f>IF(AND(N(F11)&gt;0,N(I11)&gt;0),I11-F11-IF(N(G11)&gt;0,0.5,0)-IF(N(H11)&gt;0,0.5,0),0)</f>
        <v/>
      </c>
      <c r="K11" s="5" t="n"/>
      <c r="L11" s="7">
        <f>MIN(J11,8.0)</f>
        <v/>
      </c>
      <c r="M11" s="7">
        <f>MAX(0,MIN(J11,12)-8.0)</f>
        <v/>
      </c>
      <c r="N11" s="7">
        <f>MAX(0,J11-12)</f>
        <v/>
      </c>
      <c r="O11" s="5" t="n"/>
      <c r="P11" s="6">
        <f>E11*(L11+M11*1.5+N11*2+O11*3+N(K11))</f>
        <v/>
      </c>
      <c r="Q11" s="6" t="n">
        <v>755.4</v>
      </c>
      <c r="R11" s="6">
        <f>Q11-P11</f>
        <v/>
      </c>
    </row>
    <row r="12">
      <c r="P12" s="2" t="inlineStr">
        <is>
          <t>LEAD#2&amp;# LABOR</t>
        </is>
      </c>
      <c r="R12" s="8">
        <f>SUM(R10:R11)</f>
        <v/>
      </c>
    </row>
    <row r="14">
      <c r="B14" s="2" t="inlineStr">
        <is>
          <t>OTHERLEADCAST</t>
        </is>
      </c>
    </row>
    <row r="15">
      <c r="A15" s="5" t="inlineStr">
        <is>
          <t>1403</t>
        </is>
      </c>
      <c r="B15" s="5" t="inlineStr">
        <is>
          <t>Raymond Cruz</t>
        </is>
      </c>
      <c r="C15" s="5" t="inlineStr">
        <is>
          <t>"RAFAELOLVERA"</t>
        </is>
      </c>
      <c r="D15" s="5" t="inlineStr"/>
      <c r="E15" s="6" t="n">
        <v>1211.8</v>
      </c>
      <c r="F15" s="5" t="n"/>
      <c r="G15" s="5" t="n"/>
      <c r="H15" s="5" t="n"/>
      <c r="I15" s="5" t="n"/>
      <c r="J15" s="7">
        <f>IF(AND(N(F15)&gt;0,N(I15)&gt;0),I15-F15-IF(N(G15)&gt;0,0.5,0)-IF(N(H15)&gt;0,0.5,0),0)</f>
        <v/>
      </c>
      <c r="K15" s="5" t="n"/>
      <c r="L15" s="7">
        <f>MIN(J15,8.0)</f>
        <v/>
      </c>
      <c r="M15" s="7">
        <f>MAX(0,MIN(J15,12)-8.0)</f>
        <v/>
      </c>
      <c r="N15" s="7">
        <f>MAX(0,J15-12)</f>
        <v/>
      </c>
      <c r="O15" s="5" t="n"/>
      <c r="P15" s="6">
        <f>E15*(L15+M15*1.5+N15*2+O15*3+N(K15))</f>
        <v/>
      </c>
      <c r="Q15" s="6" t="n">
        <v>1211.8</v>
      </c>
      <c r="R15" s="6">
        <f>Q15-P15</f>
        <v/>
      </c>
    </row>
    <row r="16">
      <c r="A16" s="5" t="inlineStr">
        <is>
          <t>1403</t>
        </is>
      </c>
      <c r="B16" s="5" t="inlineStr">
        <is>
          <t>Marisol Ramirez</t>
        </is>
      </c>
      <c r="C16" s="5" t="inlineStr">
        <is>
          <t>"LALLORONA"</t>
        </is>
      </c>
      <c r="D16" s="5" t="inlineStr"/>
      <c r="E16" s="6" t="n">
        <v>1211.8</v>
      </c>
      <c r="F16" s="5" t="n"/>
      <c r="G16" s="5" t="n"/>
      <c r="H16" s="5" t="n"/>
      <c r="I16" s="5" t="n"/>
      <c r="J16" s="7">
        <f>IF(AND(N(F16)&gt;0,N(I16)&gt;0),I16-F16-IF(N(G16)&gt;0,0.5,0)-IF(N(H16)&gt;0,0.5,0),0)</f>
        <v/>
      </c>
      <c r="K16" s="5" t="n"/>
      <c r="L16" s="7">
        <f>MIN(J16,8.0)</f>
        <v/>
      </c>
      <c r="M16" s="7">
        <f>MAX(0,MIN(J16,12)-8.0)</f>
        <v/>
      </c>
      <c r="N16" s="7">
        <f>MAX(0,J16-12)</f>
        <v/>
      </c>
      <c r="O16" s="5" t="n"/>
      <c r="P16" s="6">
        <f>E16*(L16+M16*1.5+N16*2+O16*3+N(K16))</f>
        <v/>
      </c>
      <c r="Q16" s="6" t="n">
        <v>1211.8</v>
      </c>
      <c r="R16" s="6">
        <f>Q16-P16</f>
        <v/>
      </c>
    </row>
    <row r="17">
      <c r="A17" s="5" t="inlineStr">
        <is>
          <t>1403</t>
        </is>
      </c>
      <c r="B17" s="5" t="inlineStr">
        <is>
          <t>Patrica Velasquez</t>
        </is>
      </c>
      <c r="C17" s="5" t="inlineStr">
        <is>
          <t>"PATRICIA"</t>
        </is>
      </c>
      <c r="D17" s="5" t="inlineStr"/>
      <c r="E17" s="6" t="n">
        <v>1972</v>
      </c>
      <c r="F17" s="5" t="n"/>
      <c r="G17" s="5" t="n"/>
      <c r="H17" s="5" t="n"/>
      <c r="I17" s="5" t="n"/>
      <c r="J17" s="7">
        <f>IF(AND(N(F17)&gt;0,N(I17)&gt;0),I17-F17-IF(N(G17)&gt;0,0.5,0)-IF(N(H17)&gt;0,0.5,0),0)</f>
        <v/>
      </c>
      <c r="K17" s="5" t="n"/>
      <c r="L17" s="7">
        <f>MIN(J17,8.0)</f>
        <v/>
      </c>
      <c r="M17" s="7">
        <f>MAX(0,MIN(J17,12)-8.0)</f>
        <v/>
      </c>
      <c r="N17" s="7">
        <f>MAX(0,J17-12)</f>
        <v/>
      </c>
      <c r="O17" s="5" t="n"/>
      <c r="P17" s="6">
        <f>E17*(L17+M17*1.5+N17*2+O17*3+N(K17))</f>
        <v/>
      </c>
      <c r="Q17" s="6" t="n">
        <v>1972</v>
      </c>
      <c r="R17" s="6">
        <f>Q17-P17</f>
        <v/>
      </c>
    </row>
    <row r="18">
      <c r="P18" s="2" t="inlineStr">
        <is>
          <t>OTHERLEADCAST LABOR</t>
        </is>
      </c>
      <c r="R18" s="8">
        <f>SUM(R15:R17)</f>
        <v/>
      </c>
    </row>
    <row r="20">
      <c r="B20" s="2" t="inlineStr">
        <is>
          <t>SUPPORTINGCAST</t>
        </is>
      </c>
    </row>
    <row r="21">
      <c r="A21" s="5" t="inlineStr">
        <is>
          <t>1404</t>
        </is>
      </c>
      <c r="B21" s="5" t="inlineStr">
        <is>
          <t>Sean Patrick Thomas</t>
        </is>
      </c>
      <c r="C21" s="5" t="inlineStr">
        <is>
          <t>DETCOOPER</t>
        </is>
      </c>
      <c r="D21" s="5" t="inlineStr"/>
      <c r="E21" s="6" t="n">
        <v>1211.8</v>
      </c>
      <c r="F21" s="5" t="n"/>
      <c r="G21" s="5" t="n"/>
      <c r="H21" s="5" t="n"/>
      <c r="I21" s="5" t="n"/>
      <c r="J21" s="7">
        <f>IF(AND(N(F21)&gt;0,N(I21)&gt;0),I21-F21-IF(N(G21)&gt;0,0.5,0)-IF(N(H21)&gt;0,0.5,0),0)</f>
        <v/>
      </c>
      <c r="K21" s="5" t="n"/>
      <c r="L21" s="7">
        <f>MIN(J21,8.0)</f>
        <v/>
      </c>
      <c r="M21" s="7">
        <f>MAX(0,MIN(J21,12)-8.0)</f>
        <v/>
      </c>
      <c r="N21" s="7">
        <f>MAX(0,J21-12)</f>
        <v/>
      </c>
      <c r="O21" s="5" t="n"/>
      <c r="P21" s="6">
        <f>E21*(L21+M21*1.5+N21*2+O21*3+N(K21))</f>
        <v/>
      </c>
      <c r="Q21" s="6" t="n">
        <v>1211.8</v>
      </c>
      <c r="R21" s="6">
        <f>Q21-P21</f>
        <v/>
      </c>
    </row>
    <row r="22">
      <c r="A22" s="5" t="inlineStr">
        <is>
          <t>1404</t>
        </is>
      </c>
      <c r="B22" s="5" t="inlineStr">
        <is>
          <t>Tony Amendola</t>
        </is>
      </c>
      <c r="C22" s="5" t="inlineStr">
        <is>
          <t>"FATHERPEREZ"</t>
        </is>
      </c>
      <c r="D22" s="5" t="inlineStr"/>
      <c r="E22" s="6" t="n">
        <v>1972</v>
      </c>
      <c r="F22" s="5" t="n"/>
      <c r="G22" s="5" t="n"/>
      <c r="H22" s="5" t="n"/>
      <c r="I22" s="5" t="n"/>
      <c r="J22" s="7">
        <f>IF(AND(N(F22)&gt;0,N(I22)&gt;0),I22-F22-IF(N(G22)&gt;0,0.5,0)-IF(N(H22)&gt;0,0.5,0),0)</f>
        <v/>
      </c>
      <c r="K22" s="5" t="n"/>
      <c r="L22" s="7">
        <f>MIN(J22,8.0)</f>
        <v/>
      </c>
      <c r="M22" s="7">
        <f>MAX(0,MIN(J22,12)-8.0)</f>
        <v/>
      </c>
      <c r="N22" s="7">
        <f>MAX(0,J22-12)</f>
        <v/>
      </c>
      <c r="O22" s="5" t="n"/>
      <c r="P22" s="6">
        <f>E22*(L22+M22*1.5+N22*2+O22*3+N(K22))</f>
        <v/>
      </c>
      <c r="Q22" s="6" t="n">
        <v>1972</v>
      </c>
      <c r="R22" s="6">
        <f>Q22-P22</f>
        <v/>
      </c>
    </row>
    <row r="23">
      <c r="P23" s="2" t="inlineStr">
        <is>
          <t>SUPPORTINGCAST LABOR</t>
        </is>
      </c>
      <c r="R23" s="8">
        <f>SUM(R21:R22)</f>
        <v/>
      </c>
    </row>
    <row r="25">
      <c r="B25" s="2" t="inlineStr">
        <is>
          <t>DAYPLAYERS</t>
        </is>
      </c>
    </row>
    <row r="26">
      <c r="A26" s="5" t="inlineStr">
        <is>
          <t>1405</t>
        </is>
      </c>
      <c r="B26" s="5" t="inlineStr">
        <is>
          <t>Kristy Keng(Drop/Pickup)</t>
        </is>
      </c>
      <c r="C26" s="5" t="inlineStr">
        <is>
          <t>"DONNA"</t>
        </is>
      </c>
      <c r="D26" s="5" t="inlineStr"/>
      <c r="E26" s="6" t="n">
        <v>1972</v>
      </c>
      <c r="F26" s="5" t="n"/>
      <c r="G26" s="5" t="n"/>
      <c r="H26" s="5" t="n"/>
      <c r="I26" s="5" t="n"/>
      <c r="J26" s="7">
        <f>IF(AND(N(F26)&gt;0,N(I26)&gt;0),I26-F26-IF(N(G26)&gt;0,0.5,0)-IF(N(H26)&gt;0,0.5,0),0)</f>
        <v/>
      </c>
      <c r="K26" s="5" t="n"/>
      <c r="L26" s="7">
        <f>MIN(J26,8.0)</f>
        <v/>
      </c>
      <c r="M26" s="7">
        <f>MAX(0,MIN(J26,12)-8.0)</f>
        <v/>
      </c>
      <c r="N26" s="7">
        <f>MAX(0,J26-12)</f>
        <v/>
      </c>
      <c r="O26" s="5" t="n"/>
      <c r="P26" s="6">
        <f>E26*(L26+M26*1.5+N26*2+O26*3+N(K26))</f>
        <v/>
      </c>
      <c r="Q26" s="6" t="n">
        <v>1972</v>
      </c>
      <c r="R26" s="6">
        <f>Q26-P26</f>
        <v/>
      </c>
    </row>
    <row r="27">
      <c r="A27" s="5" t="inlineStr">
        <is>
          <t>1405</t>
        </is>
      </c>
      <c r="B27" s="5" t="inlineStr">
        <is>
          <t>Oliver Alexander</t>
        </is>
      </c>
      <c r="C27" s="5" t="inlineStr">
        <is>
          <t>"CARLOS"(Minor)</t>
        </is>
      </c>
      <c r="D27" s="5" t="inlineStr"/>
      <c r="E27" s="6" t="n">
        <v>1249</v>
      </c>
      <c r="F27" s="5" t="n"/>
      <c r="G27" s="5" t="n"/>
      <c r="H27" s="5" t="n"/>
      <c r="I27" s="5" t="n"/>
      <c r="J27" s="7">
        <f>IF(AND(N(F27)&gt;0,N(I27)&gt;0),I27-F27-IF(N(G27)&gt;0,0.5,0)-IF(N(H27)&gt;0,0.5,0),0)</f>
        <v/>
      </c>
      <c r="K27" s="5" t="n"/>
      <c r="L27" s="7">
        <f>MIN(J27,8.0)</f>
        <v/>
      </c>
      <c r="M27" s="7">
        <f>MAX(0,MIN(J27,12)-8.0)</f>
        <v/>
      </c>
      <c r="N27" s="7">
        <f>MAX(0,J27-12)</f>
        <v/>
      </c>
      <c r="O27" s="5" t="n"/>
      <c r="P27" s="6">
        <f>E27*(L27+M27*1.5+N27*2+O27*3+N(K27))</f>
        <v/>
      </c>
      <c r="Q27" s="6" t="n">
        <v>1249</v>
      </c>
      <c r="R27" s="6">
        <f>Q27-P27</f>
        <v/>
      </c>
    </row>
    <row r="28">
      <c r="A28" s="5" t="inlineStr">
        <is>
          <t>1405</t>
        </is>
      </c>
      <c r="B28" s="5" t="inlineStr">
        <is>
          <t>Adam Lewandowski</t>
        </is>
      </c>
      <c r="C28" s="5" t="inlineStr">
        <is>
          <t>"TOMAS"(Minor)</t>
        </is>
      </c>
      <c r="D28" s="5" t="inlineStr"/>
      <c r="E28" s="6" t="n">
        <v>1249</v>
      </c>
      <c r="F28" s="5" t="n"/>
      <c r="G28" s="5" t="n"/>
      <c r="H28" s="5" t="n"/>
      <c r="I28" s="5" t="n"/>
      <c r="J28" s="7">
        <f>IF(AND(N(F28)&gt;0,N(I28)&gt;0),I28-F28-IF(N(G28)&gt;0,0.5,0)-IF(N(H28)&gt;0,0.5,0),0)</f>
        <v/>
      </c>
      <c r="K28" s="5" t="n"/>
      <c r="L28" s="7">
        <f>MIN(J28,8.0)</f>
        <v/>
      </c>
      <c r="M28" s="7">
        <f>MAX(0,MIN(J28,12)-8.0)</f>
        <v/>
      </c>
      <c r="N28" s="7">
        <f>MAX(0,J28-12)</f>
        <v/>
      </c>
      <c r="O28" s="5" t="n"/>
      <c r="P28" s="6">
        <f>E28*(L28+M28*1.5+N28*2+O28*3+N(K28))</f>
        <v/>
      </c>
      <c r="Q28" s="6" t="n">
        <v>1249</v>
      </c>
      <c r="R28" s="6">
        <f>Q28-P28</f>
        <v/>
      </c>
    </row>
    <row r="29">
      <c r="A29" s="5" t="inlineStr">
        <is>
          <t>1405</t>
        </is>
      </c>
      <c r="B29" s="5" t="inlineStr">
        <is>
          <t>Paul Rodriquez Jr.</t>
        </is>
      </c>
      <c r="C29" s="5" t="inlineStr">
        <is>
          <t>"OFFICERCLARO"</t>
        </is>
      </c>
      <c r="D29" s="5" t="inlineStr"/>
      <c r="E29" s="6" t="n">
        <v>1972</v>
      </c>
      <c r="F29" s="5" t="n"/>
      <c r="G29" s="5" t="n"/>
      <c r="H29" s="5" t="n"/>
      <c r="I29" s="5" t="n"/>
      <c r="J29" s="7">
        <f>IF(AND(N(F29)&gt;0,N(I29)&gt;0),I29-F29-IF(N(G29)&gt;0,0.5,0)-IF(N(H29)&gt;0,0.5,0),0)</f>
        <v/>
      </c>
      <c r="K29" s="5" t="n"/>
      <c r="L29" s="7">
        <f>MIN(J29,8.0)</f>
        <v/>
      </c>
      <c r="M29" s="7">
        <f>MAX(0,MIN(J29,12)-8.0)</f>
        <v/>
      </c>
      <c r="N29" s="7">
        <f>MAX(0,J29-12)</f>
        <v/>
      </c>
      <c r="O29" s="5" t="n"/>
      <c r="P29" s="6">
        <f>E29*(L29+M29*1.5+N29*2+O29*3+N(K29))</f>
        <v/>
      </c>
      <c r="Q29" s="6" t="n">
        <v>1972</v>
      </c>
      <c r="R29" s="6">
        <f>Q29-P29</f>
        <v/>
      </c>
    </row>
    <row r="30">
      <c r="A30" s="5" t="inlineStr">
        <is>
          <t>1405</t>
        </is>
      </c>
      <c r="B30" s="5" t="inlineStr">
        <is>
          <t>Sophia Santi</t>
        </is>
      </c>
      <c r="C30" s="5" t="inlineStr">
        <is>
          <t>"FEMALECUSTOMER"</t>
        </is>
      </c>
      <c r="D30" s="5" t="inlineStr"/>
      <c r="E30" s="6" t="n">
        <v>1972</v>
      </c>
      <c r="F30" s="5" t="n"/>
      <c r="G30" s="5" t="n"/>
      <c r="H30" s="5" t="n"/>
      <c r="I30" s="5" t="n"/>
      <c r="J30" s="7">
        <f>IF(AND(N(F30)&gt;0,N(I30)&gt;0),I30-F30-IF(N(G30)&gt;0,0.5,0)-IF(N(H30)&gt;0,0.5,0),0)</f>
        <v/>
      </c>
      <c r="K30" s="5" t="n"/>
      <c r="L30" s="7">
        <f>MIN(J30,8.0)</f>
        <v/>
      </c>
      <c r="M30" s="7">
        <f>MAX(0,MIN(J30,12)-8.0)</f>
        <v/>
      </c>
      <c r="N30" s="7">
        <f>MAX(0,J30-12)</f>
        <v/>
      </c>
      <c r="O30" s="5" t="n"/>
      <c r="P30" s="6">
        <f>E30*(L30+M30*1.5+N30*2+O30*3+N(K30))</f>
        <v/>
      </c>
      <c r="Q30" s="6" t="n">
        <v>1972</v>
      </c>
      <c r="R30" s="6">
        <f>Q30-P30</f>
        <v/>
      </c>
    </row>
    <row r="31">
      <c r="A31" s="5" t="inlineStr">
        <is>
          <t>1405</t>
        </is>
      </c>
      <c r="B31" s="5" t="inlineStr">
        <is>
          <t>John Marshall Jones</t>
        </is>
      </c>
      <c r="C31" s="5" t="inlineStr">
        <is>
          <t>"MRHANKINS"</t>
        </is>
      </c>
      <c r="D31" s="5" t="inlineStr"/>
      <c r="E31" s="6" t="n">
        <v>1972</v>
      </c>
      <c r="F31" s="5" t="n"/>
      <c r="G31" s="5" t="n"/>
      <c r="H31" s="5" t="n"/>
      <c r="I31" s="5" t="n"/>
      <c r="J31" s="7">
        <f>IF(AND(N(F31)&gt;0,N(I31)&gt;0),I31-F31-IF(N(G31)&gt;0,0.5,0)-IF(N(H31)&gt;0,0.5,0),0)</f>
        <v/>
      </c>
      <c r="K31" s="5" t="n"/>
      <c r="L31" s="7">
        <f>MIN(J31,8.0)</f>
        <v/>
      </c>
      <c r="M31" s="7">
        <f>MAX(0,MIN(J31,12)-8.0)</f>
        <v/>
      </c>
      <c r="N31" s="7">
        <f>MAX(0,J31-12)</f>
        <v/>
      </c>
      <c r="O31" s="5" t="n"/>
      <c r="P31" s="6">
        <f>E31*(L31+M31*1.5+N31*2+O31*3+N(K31))</f>
        <v/>
      </c>
      <c r="Q31" s="6" t="n">
        <v>1972</v>
      </c>
      <c r="R31" s="6">
        <f>Q31-P31</f>
        <v/>
      </c>
    </row>
    <row r="32">
      <c r="A32" s="5" t="inlineStr">
        <is>
          <t>1405</t>
        </is>
      </c>
      <c r="B32" s="5" t="inlineStr">
        <is>
          <t>Madeleine Mcgraw</t>
        </is>
      </c>
      <c r="C32" s="5" t="inlineStr">
        <is>
          <t>"APRIL"(Minor)</t>
        </is>
      </c>
      <c r="D32" s="5" t="inlineStr"/>
      <c r="E32" s="6" t="n">
        <v>1249</v>
      </c>
      <c r="F32" s="5" t="n"/>
      <c r="G32" s="5" t="n"/>
      <c r="H32" s="5" t="n"/>
      <c r="I32" s="5" t="n"/>
      <c r="J32" s="7">
        <f>IF(AND(N(F32)&gt;0,N(I32)&gt;0),I32-F32-IF(N(G32)&gt;0,0.5,0)-IF(N(H32)&gt;0,0.5,0),0)</f>
        <v/>
      </c>
      <c r="K32" s="5" t="n"/>
      <c r="L32" s="7">
        <f>MIN(J32,8.0)</f>
        <v/>
      </c>
      <c r="M32" s="7">
        <f>MAX(0,MIN(J32,12)-8.0)</f>
        <v/>
      </c>
      <c r="N32" s="7">
        <f>MAX(0,J32-12)</f>
        <v/>
      </c>
      <c r="O32" s="5" t="n"/>
      <c r="P32" s="6">
        <f>E32*(L32+M32*1.5+N32*2+O32*3+N(K32))</f>
        <v/>
      </c>
      <c r="Q32" s="6" t="n">
        <v>1249</v>
      </c>
      <c r="R32" s="6">
        <f>Q32-P32</f>
        <v/>
      </c>
    </row>
    <row r="33">
      <c r="P33" s="2" t="inlineStr">
        <is>
          <t>DAYPLAYERS LABOR</t>
        </is>
      </c>
      <c r="R33" s="8">
        <f>SUM(R26:R32)</f>
        <v/>
      </c>
    </row>
    <row r="35">
      <c r="B35" s="2" t="inlineStr">
        <is>
          <t>STUNTCOORD</t>
        </is>
      </c>
    </row>
    <row r="36">
      <c r="A36" s="5" t="inlineStr">
        <is>
          <t>1406</t>
        </is>
      </c>
      <c r="B36" s="5" t="inlineStr">
        <is>
          <t>Rob King</t>
        </is>
      </c>
      <c r="C36" s="5" t="inlineStr">
        <is>
          <t>STUNTCOORDINATOR</t>
        </is>
      </c>
      <c r="D36" s="5" t="inlineStr"/>
      <c r="E36" s="6" t="n">
        <v>1173</v>
      </c>
      <c r="F36" s="5" t="n"/>
      <c r="G36" s="5" t="n"/>
      <c r="H36" s="5" t="n"/>
      <c r="I36" s="5" t="n"/>
      <c r="J36" s="7">
        <f>IF(AND(N(F36)&gt;0,N(I36)&gt;0),I36-F36-IF(N(G36)&gt;0,0.5,0)-IF(N(H36)&gt;0,0.5,0),0)</f>
        <v/>
      </c>
      <c r="K36" s="5" t="n"/>
      <c r="L36" s="7">
        <f>MIN(J36,8.0)</f>
        <v/>
      </c>
      <c r="M36" s="7">
        <f>MAX(0,MIN(J36,12)-8.0)</f>
        <v/>
      </c>
      <c r="N36" s="7">
        <f>MAX(0,J36-12)</f>
        <v/>
      </c>
      <c r="O36" s="5" t="n"/>
      <c r="P36" s="6">
        <f>E36*(L36+M36*1.5+N36*2+O36*3+N(K36))</f>
        <v/>
      </c>
      <c r="Q36" s="6" t="n">
        <v>1173</v>
      </c>
      <c r="R36" s="6">
        <f>Q36-P36</f>
        <v/>
      </c>
    </row>
    <row r="37">
      <c r="P37" s="2" t="inlineStr">
        <is>
          <t>STUNTCOORD LABOR</t>
        </is>
      </c>
      <c r="R37" s="8">
        <f>SUM(R36:R36)</f>
        <v/>
      </c>
    </row>
    <row r="39">
      <c r="B39" s="2" t="inlineStr">
        <is>
          <t>TEACHER/WELFAREWORKER</t>
        </is>
      </c>
    </row>
    <row r="40">
      <c r="A40" s="5" t="inlineStr">
        <is>
          <t>1412</t>
        </is>
      </c>
      <c r="B40" s="5" t="inlineStr"/>
      <c r="C40" s="5" t="inlineStr">
        <is>
          <t>WELFAREWORKER</t>
        </is>
      </c>
      <c r="D40" s="5" t="inlineStr">
        <is>
          <t>Local884</t>
        </is>
      </c>
      <c r="E40" s="6" t="n">
        <v>25.5</v>
      </c>
      <c r="F40" s="5" t="n"/>
      <c r="G40" s="5" t="n"/>
      <c r="H40" s="5" t="n"/>
      <c r="I40" s="5" t="n"/>
      <c r="J40" s="7">
        <f>IF(AND(N(F40)&gt;0,N(I40)&gt;0),I40-F40-IF(N(G40)&gt;0,0.5,0)-IF(N(H40)&gt;0,0.5,0),0)</f>
        <v/>
      </c>
      <c r="K40" s="5" t="n"/>
      <c r="L40" s="7">
        <f>MIN(J40,8.0)</f>
        <v/>
      </c>
      <c r="M40" s="7">
        <f>MAX(0,MIN(J40,12)-8.0)</f>
        <v/>
      </c>
      <c r="N40" s="7">
        <f>MAX(0,J40-12)</f>
        <v/>
      </c>
      <c r="O40" s="5" t="n"/>
      <c r="P40" s="6">
        <f>E40*(L40+M40*1.5+N40*2+O40*3+N(K40))</f>
        <v/>
      </c>
      <c r="Q40" s="6" t="n">
        <v>280.5</v>
      </c>
      <c r="R40" s="6">
        <f>Q40-P40</f>
        <v/>
      </c>
    </row>
    <row r="41">
      <c r="A41" s="5" t="inlineStr">
        <is>
          <t>1412</t>
        </is>
      </c>
      <c r="B41" s="5" t="inlineStr"/>
      <c r="C41" s="5" t="inlineStr">
        <is>
          <t>ADDLWELFAREWORKER</t>
        </is>
      </c>
      <c r="D41" s="5" t="inlineStr">
        <is>
          <t>Local884</t>
        </is>
      </c>
      <c r="E41" s="6" t="n">
        <v>25.5</v>
      </c>
      <c r="F41" s="5" t="n"/>
      <c r="G41" s="5" t="n"/>
      <c r="H41" s="5" t="n"/>
      <c r="I41" s="5" t="n"/>
      <c r="J41" s="7">
        <f>IF(AND(N(F41)&gt;0,N(I41)&gt;0),I41-F41-IF(N(G41)&gt;0,0.5,0)-IF(N(H41)&gt;0,0.5,0),0)</f>
        <v/>
      </c>
      <c r="K41" s="5" t="n"/>
      <c r="L41" s="7">
        <f>MIN(J41,8.0)</f>
        <v/>
      </c>
      <c r="M41" s="7">
        <f>MAX(0,MIN(J41,12)-8.0)</f>
        <v/>
      </c>
      <c r="N41" s="7">
        <f>MAX(0,J41-12)</f>
        <v/>
      </c>
      <c r="O41" s="5" t="n"/>
      <c r="P41" s="6">
        <f>E41*(L41+M41*1.5+N41*2+O41*3+N(K41))</f>
        <v/>
      </c>
      <c r="Q41" s="6" t="n">
        <v>280.5</v>
      </c>
      <c r="R41" s="6">
        <f>Q41-P41</f>
        <v/>
      </c>
    </row>
    <row r="42">
      <c r="P42" s="2" t="inlineStr">
        <is>
          <t>TEACHER/WELFAREWORKER LABOR</t>
        </is>
      </c>
      <c r="R42" s="8">
        <f>SUM(R40:R41)</f>
        <v/>
      </c>
    </row>
    <row r="44">
      <c r="B44" s="2" t="inlineStr">
        <is>
          <t>CASTINGDIRECTORS</t>
        </is>
      </c>
    </row>
    <row r="45">
      <c r="A45" s="5" t="inlineStr">
        <is>
          <t>1413</t>
        </is>
      </c>
      <c r="B45" s="5" t="inlineStr">
        <is>
          <t>Rich Delia</t>
        </is>
      </c>
      <c r="C45" s="5" t="inlineStr">
        <is>
          <t>CASTINGDIRECTOR</t>
        </is>
      </c>
      <c r="D45" s="5" t="inlineStr"/>
      <c r="E45" s="6" t="n">
        <v>600</v>
      </c>
      <c r="F45" s="5" t="n"/>
      <c r="G45" s="5" t="n"/>
      <c r="H45" s="5" t="n"/>
      <c r="I45" s="5" t="n"/>
      <c r="J45" s="7">
        <f>IF(AND(N(F45)&gt;0,N(I45)&gt;0),I45-F45-IF(N(G45)&gt;0,0.5,0)-IF(N(H45)&gt;0,0.5,0),0)</f>
        <v/>
      </c>
      <c r="K45" s="5" t="n"/>
      <c r="L45" s="7">
        <f>MIN(J45,8.0)</f>
        <v/>
      </c>
      <c r="M45" s="7">
        <f>MAX(0,MIN(J45,12)-8.0)</f>
        <v/>
      </c>
      <c r="N45" s="7">
        <f>MAX(0,J45-12)</f>
        <v/>
      </c>
      <c r="O45" s="5" t="n"/>
      <c r="P45" s="6">
        <f>E45*(L45+M45*1.5+N45*2+O45*3+N(K45))</f>
        <v/>
      </c>
      <c r="Q45" s="5" t="n"/>
      <c r="R45" s="6">
        <f>Q45-P45</f>
        <v/>
      </c>
    </row>
    <row r="46">
      <c r="P46" s="2" t="inlineStr">
        <is>
          <t>CASTINGDIRECTORS LABOR</t>
        </is>
      </c>
      <c r="R46" s="8">
        <f>SUM(R45:R45)</f>
        <v/>
      </c>
    </row>
    <row r="48">
      <c r="B48" s="2" t="inlineStr">
        <is>
          <t>CASTINGASSOCIATES/ASSISTANTS</t>
        </is>
      </c>
    </row>
    <row r="49">
      <c r="A49" s="5" t="inlineStr">
        <is>
          <t>1414</t>
        </is>
      </c>
      <c r="B49" s="5" t="inlineStr">
        <is>
          <t>Adam Richards</t>
        </is>
      </c>
      <c r="C49" s="5" t="inlineStr">
        <is>
          <t>CASTINGASSOCIATE</t>
        </is>
      </c>
      <c r="D49" s="5" t="inlineStr"/>
      <c r="E49" s="6" t="n">
        <v>200</v>
      </c>
      <c r="F49" s="5" t="n"/>
      <c r="G49" s="5" t="n"/>
      <c r="H49" s="5" t="n"/>
      <c r="I49" s="5" t="n"/>
      <c r="J49" s="7">
        <f>IF(AND(N(F49)&gt;0,N(I49)&gt;0),I49-F49-IF(N(G49)&gt;0,0.5,0)-IF(N(H49)&gt;0,0.5,0),0)</f>
        <v/>
      </c>
      <c r="K49" s="5" t="n"/>
      <c r="L49" s="7">
        <f>MIN(J49,8.0)</f>
        <v/>
      </c>
      <c r="M49" s="7">
        <f>MAX(0,MIN(J49,12)-8.0)</f>
        <v/>
      </c>
      <c r="N49" s="7">
        <f>MAX(0,J49-12)</f>
        <v/>
      </c>
      <c r="O49" s="5" t="n"/>
      <c r="P49" s="6">
        <f>E49*(L49+M49*1.5+N49*2+O49*3+N(K49))</f>
        <v/>
      </c>
      <c r="Q49" s="5" t="n"/>
      <c r="R49" s="6">
        <f>Q49-P49</f>
        <v/>
      </c>
    </row>
    <row r="50">
      <c r="P50" s="2" t="inlineStr">
        <is>
          <t>CASTINGASSOCIATES/ASSISTANTS LABOR</t>
        </is>
      </c>
      <c r="R50" s="8">
        <f>SUM(R49:R49)</f>
        <v/>
      </c>
    </row>
    <row r="52">
      <c r="B52" s="2" t="inlineStr">
        <is>
          <t>CASTDRIVERS/VEHICLES</t>
        </is>
      </c>
    </row>
    <row r="53">
      <c r="A53" s="5" t="inlineStr">
        <is>
          <t>1455</t>
        </is>
      </c>
      <c r="B53" s="5" t="inlineStr"/>
      <c r="C53" s="5" t="inlineStr">
        <is>
          <t>CAST 3-RMDRIVER</t>
        </is>
      </c>
      <c r="D53" s="5" t="inlineStr">
        <is>
          <t>Local399</t>
        </is>
      </c>
      <c r="E53" s="6" t="n">
        <v>32.36</v>
      </c>
      <c r="F53" s="5" t="n"/>
      <c r="G53" s="5" t="n"/>
      <c r="H53" s="5" t="n"/>
      <c r="I53" s="5" t="n"/>
      <c r="J53" s="7">
        <f>IF(AND(N(F53)&gt;0,N(I53)&gt;0),I53-F53-IF(N(G53)&gt;0,0.5,0)-IF(N(H53)&gt;0,0.5,0),0)</f>
        <v/>
      </c>
      <c r="K53" s="5" t="n"/>
      <c r="L53" s="7">
        <f>MIN(J53,8.0)</f>
        <v/>
      </c>
      <c r="M53" s="7">
        <f>MAX(0,MIN(J53,12)-8.0)</f>
        <v/>
      </c>
      <c r="N53" s="7">
        <f>MAX(0,J53-12)</f>
        <v/>
      </c>
      <c r="O53" s="5" t="n"/>
      <c r="P53" s="6">
        <f>E53*(L53+M53*1.5+N53*2+O53*3+N(K53))</f>
        <v/>
      </c>
      <c r="Q53" s="6" t="n">
        <v>501.58</v>
      </c>
      <c r="R53" s="6">
        <f>Q53-P53</f>
        <v/>
      </c>
    </row>
    <row r="54">
      <c r="A54" s="5" t="inlineStr">
        <is>
          <t>1455</t>
        </is>
      </c>
      <c r="B54" s="5" t="inlineStr"/>
      <c r="C54" s="5" t="inlineStr">
        <is>
          <t>CASTMINIVANDRIVER</t>
        </is>
      </c>
      <c r="D54" s="5" t="inlineStr">
        <is>
          <t>Local399</t>
        </is>
      </c>
      <c r="E54" s="6" t="n">
        <v>32.36</v>
      </c>
      <c r="F54" s="5" t="n"/>
      <c r="G54" s="5" t="n"/>
      <c r="H54" s="5" t="n"/>
      <c r="I54" s="5" t="n"/>
      <c r="J54" s="7">
        <f>IF(AND(N(F54)&gt;0,N(I54)&gt;0),I54-F54-IF(N(G54)&gt;0,0.5,0)-IF(N(H54)&gt;0,0.5,0),0)</f>
        <v/>
      </c>
      <c r="K54" s="5" t="n"/>
      <c r="L54" s="7">
        <f>MIN(J54,8.0)</f>
        <v/>
      </c>
      <c r="M54" s="7">
        <f>MAX(0,MIN(J54,12)-8.0)</f>
        <v/>
      </c>
      <c r="N54" s="7">
        <f>MAX(0,J54-12)</f>
        <v/>
      </c>
      <c r="O54" s="5" t="n"/>
      <c r="P54" s="6">
        <f>E54*(L54+M54*1.5+N54*2+O54*3+N(K54))</f>
        <v/>
      </c>
      <c r="Q54" s="6" t="n">
        <v>501.58</v>
      </c>
      <c r="R54" s="6">
        <f>Q54-P54</f>
        <v/>
      </c>
    </row>
    <row r="55">
      <c r="P55" s="2" t="inlineStr">
        <is>
          <t>CASTDRIVERS/VEHICLES LABOR</t>
        </is>
      </c>
      <c r="R55" s="8">
        <f>SUM(R53:R54)</f>
        <v/>
      </c>
    </row>
    <row r="57">
      <c r="B57" s="2" t="inlineStr">
        <is>
          <t>PRODUCTIONMANAGER</t>
        </is>
      </c>
    </row>
    <row r="58">
      <c r="A58" s="5" t="inlineStr">
        <is>
          <t>2001</t>
        </is>
      </c>
      <c r="B58" s="5" t="inlineStr">
        <is>
          <t>Carrie Morrow</t>
        </is>
      </c>
      <c r="C58" s="5" t="inlineStr">
        <is>
          <t>UPM</t>
        </is>
      </c>
      <c r="D58" s="5" t="inlineStr">
        <is>
          <t>DGA</t>
        </is>
      </c>
      <c r="E58" s="6" t="n">
        <v>1063.6</v>
      </c>
      <c r="F58" s="5" t="n"/>
      <c r="G58" s="5" t="n"/>
      <c r="H58" s="5" t="n"/>
      <c r="I58" s="5" t="n"/>
      <c r="J58" s="7">
        <f>IF(AND(N(F58)&gt;0,N(I58)&gt;0),I58-F58-IF(N(G58)&gt;0,0.5,0)-IF(N(H58)&gt;0,0.5,0),0)</f>
        <v/>
      </c>
      <c r="K58" s="5" t="n"/>
      <c r="L58" s="7">
        <f>MIN(J58,8.0)</f>
        <v/>
      </c>
      <c r="M58" s="7">
        <f>MAX(0,MIN(J58,12)-8.0)</f>
        <v/>
      </c>
      <c r="N58" s="7">
        <f>MAX(0,J58-12)</f>
        <v/>
      </c>
      <c r="O58" s="5" t="n"/>
      <c r="P58" s="6">
        <f>E58*(L58+M58*1.5+N58*2+O58*3+N(K58))</f>
        <v/>
      </c>
      <c r="Q58" s="6" t="n">
        <v>1063.6</v>
      </c>
      <c r="R58" s="6">
        <f>Q58-P58</f>
        <v/>
      </c>
    </row>
    <row r="59">
      <c r="P59" s="2" t="inlineStr">
        <is>
          <t>PRODUCTIONMANAGER LABOR</t>
        </is>
      </c>
      <c r="R59" s="8">
        <f>SUM(R58:R58)</f>
        <v/>
      </c>
    </row>
    <row r="61">
      <c r="B61" s="2" t="inlineStr">
        <is>
          <t>1STASSTDIRECTOR</t>
        </is>
      </c>
    </row>
    <row r="62">
      <c r="A62" s="5" t="inlineStr">
        <is>
          <t>2002</t>
        </is>
      </c>
      <c r="B62" s="5" t="inlineStr">
        <is>
          <t>James Moran</t>
        </is>
      </c>
      <c r="C62" s="5" t="inlineStr">
        <is>
          <t>1STASSTDIRECTOR</t>
        </is>
      </c>
      <c r="D62" s="5" t="inlineStr">
        <is>
          <t>DGA</t>
        </is>
      </c>
      <c r="E62" s="6" t="n">
        <v>985.6</v>
      </c>
      <c r="F62" s="5" t="n"/>
      <c r="G62" s="5" t="n"/>
      <c r="H62" s="5" t="n"/>
      <c r="I62" s="5" t="n"/>
      <c r="J62" s="7">
        <f>IF(AND(N(F62)&gt;0,N(I62)&gt;0),I62-F62-IF(N(G62)&gt;0,0.5,0)-IF(N(H62)&gt;0,0.5,0),0)</f>
        <v/>
      </c>
      <c r="K62" s="5" t="n"/>
      <c r="L62" s="7">
        <f>MIN(J62,8.0)</f>
        <v/>
      </c>
      <c r="M62" s="7">
        <f>MAX(0,MIN(J62,12)-8.0)</f>
        <v/>
      </c>
      <c r="N62" s="7">
        <f>MAX(0,J62-12)</f>
        <v/>
      </c>
      <c r="O62" s="5" t="n"/>
      <c r="P62" s="6">
        <f>E62*(L62+M62*1.5+N62*2+O62*3+N(K62))</f>
        <v/>
      </c>
      <c r="Q62" s="6" t="n">
        <v>985.6</v>
      </c>
      <c r="R62" s="6">
        <f>Q62-P62</f>
        <v/>
      </c>
    </row>
    <row r="63">
      <c r="P63" s="2" t="inlineStr">
        <is>
          <t>1STASSTDIRECTOR LABOR</t>
        </is>
      </c>
      <c r="R63" s="8">
        <f>SUM(R62:R62)</f>
        <v/>
      </c>
    </row>
    <row r="65">
      <c r="B65" s="2" t="inlineStr">
        <is>
          <t>2NDASSTDIRECTORS</t>
        </is>
      </c>
    </row>
    <row r="66">
      <c r="A66" s="5" t="inlineStr">
        <is>
          <t>2003</t>
        </is>
      </c>
      <c r="B66" s="5" t="inlineStr">
        <is>
          <t>Mark Newland</t>
        </is>
      </c>
      <c r="C66" s="5" t="inlineStr">
        <is>
          <t>KEY 2NDA. D.</t>
        </is>
      </c>
      <c r="D66" s="5" t="inlineStr">
        <is>
          <t>DGA</t>
        </is>
      </c>
      <c r="E66" s="6" t="n">
        <v>674.6</v>
      </c>
      <c r="F66" s="5" t="n"/>
      <c r="G66" s="5" t="n"/>
      <c r="H66" s="5" t="n"/>
      <c r="I66" s="5" t="n"/>
      <c r="J66" s="7">
        <f>IF(AND(N(F66)&gt;0,N(I66)&gt;0),I66-F66-IF(N(G66)&gt;0,0.5,0)-IF(N(H66)&gt;0,0.5,0),0)</f>
        <v/>
      </c>
      <c r="K66" s="5" t="n"/>
      <c r="L66" s="7">
        <f>MIN(J66,8.0)</f>
        <v/>
      </c>
      <c r="M66" s="7">
        <f>MAX(0,MIN(J66,12)-8.0)</f>
        <v/>
      </c>
      <c r="N66" s="7">
        <f>MAX(0,J66-12)</f>
        <v/>
      </c>
      <c r="O66" s="5" t="n"/>
      <c r="P66" s="6">
        <f>E66*(L66+M66*1.5+N66*2+O66*3+N(K66))</f>
        <v/>
      </c>
      <c r="Q66" s="6" t="n">
        <v>674.6</v>
      </c>
      <c r="R66" s="6">
        <f>Q66-P66</f>
        <v/>
      </c>
    </row>
    <row r="67">
      <c r="A67" s="5" t="inlineStr">
        <is>
          <t>2003</t>
        </is>
      </c>
      <c r="B67" s="5" t="inlineStr"/>
      <c r="C67" s="5" t="inlineStr">
        <is>
          <t>2ND 2NDA. D.</t>
        </is>
      </c>
      <c r="D67" s="5" t="inlineStr">
        <is>
          <t>DGA</t>
        </is>
      </c>
      <c r="E67" s="6" t="n">
        <v>526</v>
      </c>
      <c r="F67" s="5" t="n"/>
      <c r="G67" s="5" t="n"/>
      <c r="H67" s="5" t="n"/>
      <c r="I67" s="5" t="n"/>
      <c r="J67" s="7">
        <f>IF(AND(N(F67)&gt;0,N(I67)&gt;0),I67-F67-IF(N(G67)&gt;0,0.5,0)-IF(N(H67)&gt;0,0.5,0),0)</f>
        <v/>
      </c>
      <c r="K67" s="5" t="n"/>
      <c r="L67" s="7">
        <f>MIN(J67,8.0)</f>
        <v/>
      </c>
      <c r="M67" s="7">
        <f>MAX(0,MIN(J67,12)-8.0)</f>
        <v/>
      </c>
      <c r="N67" s="7">
        <f>MAX(0,J67-12)</f>
        <v/>
      </c>
      <c r="O67" s="5" t="n"/>
      <c r="P67" s="6">
        <f>E67*(L67+M67*1.5+N67*2+O67*3+N(K67))</f>
        <v/>
      </c>
      <c r="Q67" s="6" t="n">
        <v>526</v>
      </c>
      <c r="R67" s="6">
        <f>Q67-P67</f>
        <v/>
      </c>
    </row>
    <row r="68">
      <c r="P68" s="2" t="inlineStr">
        <is>
          <t>2NDASSTDIRECTORS LABOR</t>
        </is>
      </c>
      <c r="R68" s="8">
        <f>SUM(R66:R67)</f>
        <v/>
      </c>
    </row>
    <row r="70">
      <c r="B70" s="2" t="inlineStr">
        <is>
          <t>SCRIPTSUPERVISOR</t>
        </is>
      </c>
    </row>
    <row r="71">
      <c r="A71" s="5" t="inlineStr">
        <is>
          <t>2005</t>
        </is>
      </c>
      <c r="B71" s="5" t="inlineStr">
        <is>
          <t>Renata Amador</t>
        </is>
      </c>
      <c r="C71" s="5" t="inlineStr">
        <is>
          <t>SCRIPTSUPERVISOR</t>
        </is>
      </c>
      <c r="D71" s="5" t="inlineStr">
        <is>
          <t>Local871</t>
        </is>
      </c>
      <c r="E71" s="6" t="n">
        <v>25.5</v>
      </c>
      <c r="F71" s="5" t="n"/>
      <c r="G71" s="5" t="n"/>
      <c r="H71" s="5" t="n"/>
      <c r="I71" s="5" t="n"/>
      <c r="J71" s="7">
        <f>IF(AND(N(F71)&gt;0,N(I71)&gt;0),I71-F71-IF(N(G71)&gt;0,0.5,0)-IF(N(H71)&gt;0,0.5,0),0)</f>
        <v/>
      </c>
      <c r="K71" s="5" t="n"/>
      <c r="L71" s="7">
        <f>MIN(J71,10.0)</f>
        <v/>
      </c>
      <c r="M71" s="7">
        <f>MAX(0,MIN(J71,12)-10.0)</f>
        <v/>
      </c>
      <c r="N71" s="7">
        <f>MAX(0,J71-12)</f>
        <v/>
      </c>
      <c r="O71" s="5" t="n"/>
      <c r="P71" s="6">
        <f>E71*(L71+M71*1.5+N71*2+O71*3+N(K71))</f>
        <v/>
      </c>
      <c r="Q71" s="6" t="n">
        <v>439.87</v>
      </c>
      <c r="R71" s="6">
        <f>Q71-P71</f>
        <v/>
      </c>
    </row>
    <row r="72">
      <c r="P72" s="2" t="inlineStr">
        <is>
          <t>SCRIPTSUPERVISOR LABOR</t>
        </is>
      </c>
      <c r="R72" s="8">
        <f>SUM(R71:R71)</f>
        <v/>
      </c>
    </row>
    <row r="74">
      <c r="B74" s="2" t="inlineStr">
        <is>
          <t>LOCATIONMANAGERS</t>
        </is>
      </c>
    </row>
    <row r="75">
      <c r="A75" s="5" t="inlineStr">
        <is>
          <t>2007</t>
        </is>
      </c>
      <c r="B75" s="5" t="inlineStr">
        <is>
          <t>Stacey Brashear-Rodriquez</t>
        </is>
      </c>
      <c r="C75" s="5" t="inlineStr">
        <is>
          <t>LOCATIONMANAGER</t>
        </is>
      </c>
      <c r="D75" s="5" t="inlineStr">
        <is>
          <t>Local399</t>
        </is>
      </c>
      <c r="E75" s="6" t="n">
        <v>557.6</v>
      </c>
      <c r="F75" s="5" t="n"/>
      <c r="G75" s="5" t="n"/>
      <c r="H75" s="5" t="n"/>
      <c r="I75" s="5" t="n"/>
      <c r="J75" s="7">
        <f>IF(AND(N(F75)&gt;0,N(I75)&gt;0),I75-F75-IF(N(G75)&gt;0,0.5,0)-IF(N(H75)&gt;0,0.5,0),0)</f>
        <v/>
      </c>
      <c r="K75" s="5" t="n"/>
      <c r="L75" s="7">
        <f>MIN(J75,8.0)</f>
        <v/>
      </c>
      <c r="M75" s="7">
        <f>MAX(0,MIN(J75,12)-8.0)</f>
        <v/>
      </c>
      <c r="N75" s="7">
        <f>MAX(0,J75-12)</f>
        <v/>
      </c>
      <c r="O75" s="5" t="n"/>
      <c r="P75" s="6">
        <f>E75*(L75+M75*1.5+N75*2+O75*3+N(K75))</f>
        <v/>
      </c>
      <c r="Q75" s="6" t="n">
        <v>557.6</v>
      </c>
      <c r="R75" s="6">
        <f>Q75-P75</f>
        <v/>
      </c>
    </row>
    <row r="76">
      <c r="P76" s="2" t="inlineStr">
        <is>
          <t>LOCATIONMANAGERS LABOR</t>
        </is>
      </c>
      <c r="R76" s="8">
        <f>SUM(R75:R75)</f>
        <v/>
      </c>
    </row>
    <row r="78">
      <c r="B78" s="2" t="inlineStr">
        <is>
          <t>ASSISTANTLOCATIONMANAGERS</t>
        </is>
      </c>
    </row>
    <row r="79">
      <c r="A79" s="5" t="inlineStr">
        <is>
          <t>2008</t>
        </is>
      </c>
      <c r="B79" s="5" t="inlineStr">
        <is>
          <t>Rich Heichel</t>
        </is>
      </c>
      <c r="C79" s="5" t="inlineStr">
        <is>
          <t>KEYASSTLOCATIONMGR#1</t>
        </is>
      </c>
      <c r="D79" s="5" t="inlineStr">
        <is>
          <t>Local399</t>
        </is>
      </c>
      <c r="E79" s="6" t="n">
        <v>334.2</v>
      </c>
      <c r="F79" s="5" t="n"/>
      <c r="G79" s="5" t="n"/>
      <c r="H79" s="5" t="n"/>
      <c r="I79" s="5" t="n"/>
      <c r="J79" s="7">
        <f>IF(AND(N(F79)&gt;0,N(I79)&gt;0),I79-F79-IF(N(G79)&gt;0,0.5,0)-IF(N(H79)&gt;0,0.5,0),0)</f>
        <v/>
      </c>
      <c r="K79" s="5" t="n"/>
      <c r="L79" s="7">
        <f>MIN(J79,8.0)</f>
        <v/>
      </c>
      <c r="M79" s="7">
        <f>MAX(0,MIN(J79,12)-8.0)</f>
        <v/>
      </c>
      <c r="N79" s="7">
        <f>MAX(0,J79-12)</f>
        <v/>
      </c>
      <c r="O79" s="5" t="n"/>
      <c r="P79" s="6">
        <f>E79*(L79+M79*1.5+N79*2+O79*3+N(K79))</f>
        <v/>
      </c>
      <c r="Q79" s="6" t="n">
        <v>334.2</v>
      </c>
      <c r="R79" s="6">
        <f>Q79-P79</f>
        <v/>
      </c>
    </row>
    <row r="80">
      <c r="A80" s="5" t="inlineStr">
        <is>
          <t>2008</t>
        </is>
      </c>
      <c r="B80" s="5" t="inlineStr">
        <is>
          <t>Jason Mc Cauley</t>
        </is>
      </c>
      <c r="C80" s="5" t="inlineStr">
        <is>
          <t>LOCATIONASST</t>
        </is>
      </c>
      <c r="D80" s="5" t="inlineStr">
        <is>
          <t>Local399</t>
        </is>
      </c>
      <c r="E80" s="6" t="n">
        <v>229</v>
      </c>
      <c r="F80" s="5" t="n"/>
      <c r="G80" s="5" t="n"/>
      <c r="H80" s="5" t="n"/>
      <c r="I80" s="5" t="n"/>
      <c r="J80" s="7">
        <f>IF(AND(N(F80)&gt;0,N(I80)&gt;0),I80-F80-IF(N(G80)&gt;0,0.5,0)-IF(N(H80)&gt;0,0.5,0),0)</f>
        <v/>
      </c>
      <c r="K80" s="5" t="n"/>
      <c r="L80" s="7">
        <f>MIN(J80,8.0)</f>
        <v/>
      </c>
      <c r="M80" s="7">
        <f>MAX(0,MIN(J80,12)-8.0)</f>
        <v/>
      </c>
      <c r="N80" s="7">
        <f>MAX(0,J80-12)</f>
        <v/>
      </c>
      <c r="O80" s="5" t="n"/>
      <c r="P80" s="6">
        <f>E80*(L80+M80*1.5+N80*2+O80*3+N(K80))</f>
        <v/>
      </c>
      <c r="Q80" s="6" t="n">
        <v>229</v>
      </c>
      <c r="R80" s="6">
        <f>Q80-P80</f>
        <v/>
      </c>
    </row>
    <row r="81">
      <c r="P81" s="2" t="inlineStr">
        <is>
          <t>ASSISTANTLOCATIONMANAGERS LABOR</t>
        </is>
      </c>
      <c r="R81" s="8">
        <f>SUM(R79:R80)</f>
        <v/>
      </c>
    </row>
    <row r="83">
      <c r="B83" s="2" t="inlineStr">
        <is>
          <t>PRODUCTIONCOORDINATOR</t>
        </is>
      </c>
    </row>
    <row r="84">
      <c r="A84" s="5" t="inlineStr">
        <is>
          <t>2009</t>
        </is>
      </c>
      <c r="B84" s="5" t="inlineStr">
        <is>
          <t>Ali Griffith</t>
        </is>
      </c>
      <c r="C84" s="5" t="inlineStr">
        <is>
          <t>PRODUCTIONOFCCOORD</t>
        </is>
      </c>
      <c r="D84" s="5" t="inlineStr"/>
      <c r="E84" s="6" t="n">
        <v>360</v>
      </c>
      <c r="F84" s="5" t="n"/>
      <c r="G84" s="5" t="n"/>
      <c r="H84" s="5" t="n"/>
      <c r="I84" s="5" t="n"/>
      <c r="J84" s="7">
        <f>IF(AND(N(F84)&gt;0,N(I84)&gt;0),I84-F84-IF(N(G84)&gt;0,0.5,0)-IF(N(H84)&gt;0,0.5,0),0)</f>
        <v/>
      </c>
      <c r="K84" s="5" t="n"/>
      <c r="L84" s="7">
        <f>MIN(J84,8.0)</f>
        <v/>
      </c>
      <c r="M84" s="7">
        <f>MAX(0,MIN(J84,12)-8.0)</f>
        <v/>
      </c>
      <c r="N84" s="7">
        <f>MAX(0,J84-12)</f>
        <v/>
      </c>
      <c r="O84" s="5" t="n"/>
      <c r="P84" s="6">
        <f>E84*(L84+M84*1.5+N84*2+O84*3+N(K84))</f>
        <v/>
      </c>
      <c r="Q84" s="6" t="n">
        <v>360</v>
      </c>
      <c r="R84" s="6">
        <f>Q84-P84</f>
        <v/>
      </c>
    </row>
    <row r="85">
      <c r="P85" s="2" t="inlineStr">
        <is>
          <t>PRODUCTIONCOORDINATOR LABOR</t>
        </is>
      </c>
      <c r="R85" s="8">
        <f>SUM(R84:R84)</f>
        <v/>
      </c>
    </row>
    <row r="87">
      <c r="B87" s="2" t="inlineStr">
        <is>
          <t>ASSTPRODUCTIONCOORDINATOR</t>
        </is>
      </c>
    </row>
    <row r="88">
      <c r="A88" s="5" t="inlineStr">
        <is>
          <t>2010</t>
        </is>
      </c>
      <c r="B88" s="5" t="inlineStr">
        <is>
          <t>Holly Dellocono</t>
        </is>
      </c>
      <c r="C88" s="5" t="inlineStr">
        <is>
          <t>APOC</t>
        </is>
      </c>
      <c r="D88" s="5" t="inlineStr">
        <is>
          <t>Local871</t>
        </is>
      </c>
      <c r="E88" s="6" t="n">
        <v>20.57</v>
      </c>
      <c r="F88" s="5" t="n"/>
      <c r="G88" s="5" t="n"/>
      <c r="H88" s="5" t="n"/>
      <c r="I88" s="5" t="n"/>
      <c r="J88" s="7">
        <f>IF(AND(N(F88)&gt;0,N(I88)&gt;0),I88-F88-IF(N(G88)&gt;0,0.5,0)-IF(N(H88)&gt;0,0.5,0),0)</f>
        <v/>
      </c>
      <c r="K88" s="5" t="n"/>
      <c r="L88" s="7">
        <f>MIN(J88,10.0)</f>
        <v/>
      </c>
      <c r="M88" s="7">
        <f>MAX(0,MIN(J88,12)-10.0)</f>
        <v/>
      </c>
      <c r="N88" s="7">
        <f>MAX(0,J88-12)</f>
        <v/>
      </c>
      <c r="O88" s="5" t="n"/>
      <c r="P88" s="6">
        <f>E88*(L88+M88*1.5+N88*2+O88*3+N(K88))</f>
        <v/>
      </c>
      <c r="Q88" s="6" t="n">
        <v>287.98</v>
      </c>
      <c r="R88" s="6">
        <f>Q88-P88</f>
        <v/>
      </c>
    </row>
    <row r="89">
      <c r="P89" s="2" t="inlineStr">
        <is>
          <t>ASSTPRODUCTIONCOORDINATOR LABOR</t>
        </is>
      </c>
      <c r="R89" s="8">
        <f>SUM(R88:R88)</f>
        <v/>
      </c>
    </row>
    <row r="91">
      <c r="B91" s="2" t="inlineStr">
        <is>
          <t>OFFICESTAFFASSISTANTS</t>
        </is>
      </c>
    </row>
    <row r="92">
      <c r="A92" s="5" t="inlineStr">
        <is>
          <t>2011</t>
        </is>
      </c>
      <c r="B92" s="5" t="inlineStr">
        <is>
          <t>John Humber</t>
        </is>
      </c>
      <c r="C92" s="5" t="inlineStr">
        <is>
          <t>OFFICEPA#1</t>
        </is>
      </c>
      <c r="D92" s="5" t="inlineStr"/>
      <c r="E92" s="6" t="n">
        <v>22.5</v>
      </c>
      <c r="F92" s="5" t="n"/>
      <c r="G92" s="5" t="n"/>
      <c r="H92" s="5" t="n"/>
      <c r="I92" s="5" t="n"/>
      <c r="J92" s="7">
        <f>IF(AND(N(F92)&gt;0,N(I92)&gt;0),I92-F92-IF(N(G92)&gt;0,0.5,0)-IF(N(H92)&gt;0,0.5,0),0)</f>
        <v/>
      </c>
      <c r="K92" s="5" t="n"/>
      <c r="L92" s="7">
        <f>MIN(J92,8.0)</f>
        <v/>
      </c>
      <c r="M92" s="7">
        <f>MAX(0,MIN(J92,12)-8.0)</f>
        <v/>
      </c>
      <c r="N92" s="7">
        <f>MAX(0,J92-12)</f>
        <v/>
      </c>
      <c r="O92" s="5" t="n"/>
      <c r="P92" s="6">
        <f>E92*(L92+M92*1.5+N92*2+O92*3+N(K92))</f>
        <v/>
      </c>
      <c r="Q92" s="6" t="n">
        <v>168</v>
      </c>
      <c r="R92" s="6">
        <f>Q92-P92</f>
        <v/>
      </c>
    </row>
    <row r="93">
      <c r="A93" s="5" t="inlineStr">
        <is>
          <t>2011</t>
        </is>
      </c>
      <c r="B93" s="5" t="inlineStr">
        <is>
          <t>Sarah Semenas</t>
        </is>
      </c>
      <c r="C93" s="5" t="inlineStr">
        <is>
          <t>OFFICEPA#2</t>
        </is>
      </c>
      <c r="D93" s="5" t="inlineStr"/>
      <c r="E93" s="6" t="n">
        <v>22.5</v>
      </c>
      <c r="F93" s="5" t="n"/>
      <c r="G93" s="5" t="n"/>
      <c r="H93" s="5" t="n"/>
      <c r="I93" s="5" t="n"/>
      <c r="J93" s="7">
        <f>IF(AND(N(F93)&gt;0,N(I93)&gt;0),I93-F93-IF(N(G93)&gt;0,0.5,0)-IF(N(H93)&gt;0,0.5,0),0)</f>
        <v/>
      </c>
      <c r="K93" s="5" t="n"/>
      <c r="L93" s="7">
        <f>MIN(J93,8.0)</f>
        <v/>
      </c>
      <c r="M93" s="7">
        <f>MAX(0,MIN(J93,12)-8.0)</f>
        <v/>
      </c>
      <c r="N93" s="7">
        <f>MAX(0,J93-12)</f>
        <v/>
      </c>
      <c r="O93" s="5" t="n"/>
      <c r="P93" s="6">
        <f>E93*(L93+M93*1.5+N93*2+O93*3+N(K93))</f>
        <v/>
      </c>
      <c r="Q93" s="6" t="n">
        <v>168</v>
      </c>
      <c r="R93" s="6">
        <f>Q93-P93</f>
        <v/>
      </c>
    </row>
    <row r="94">
      <c r="P94" s="2" t="inlineStr">
        <is>
          <t>OFFICESTAFFASSISTANTS LABOR</t>
        </is>
      </c>
      <c r="R94" s="8">
        <f>SUM(R92:R93)</f>
        <v/>
      </c>
    </row>
    <row r="96">
      <c r="B96" s="2" t="inlineStr">
        <is>
          <t>SETSTAFFASSISTANTS</t>
        </is>
      </c>
    </row>
    <row r="97">
      <c r="A97" s="5" t="inlineStr">
        <is>
          <t>2012</t>
        </is>
      </c>
      <c r="B97" s="5" t="inlineStr">
        <is>
          <t>Paula Henry</t>
        </is>
      </c>
      <c r="C97" s="5" t="inlineStr">
        <is>
          <t>KEYSETPA</t>
        </is>
      </c>
      <c r="D97" s="5" t="inlineStr"/>
      <c r="E97" s="6" t="n">
        <v>12</v>
      </c>
      <c r="F97" s="5" t="n"/>
      <c r="G97" s="5" t="n"/>
      <c r="H97" s="5" t="n"/>
      <c r="I97" s="5" t="n"/>
      <c r="J97" s="7">
        <f>IF(AND(N(F97)&gt;0,N(I97)&gt;0),I97-F97-IF(N(G97)&gt;0,0.5,0)-IF(N(H97)&gt;0,0.5,0),0)</f>
        <v/>
      </c>
      <c r="K97" s="5" t="n"/>
      <c r="L97" s="7">
        <f>MIN(J97,8.0)</f>
        <v/>
      </c>
      <c r="M97" s="7">
        <f>MAX(0,MIN(J97,12)-8.0)</f>
        <v/>
      </c>
      <c r="N97" s="7">
        <f>MAX(0,J97-12)</f>
        <v/>
      </c>
      <c r="O97" s="5" t="n"/>
      <c r="P97" s="6">
        <f>E97*(L97+M97*1.5+N97*2+O97*3+N(K97))</f>
        <v/>
      </c>
      <c r="Q97" s="6" t="n">
        <v>216</v>
      </c>
      <c r="R97" s="6">
        <f>Q97-P97</f>
        <v/>
      </c>
    </row>
    <row r="98">
      <c r="A98" s="5" t="inlineStr">
        <is>
          <t>2012</t>
        </is>
      </c>
      <c r="B98" s="5" t="inlineStr"/>
      <c r="C98" s="5" t="inlineStr">
        <is>
          <t>SETPA#2</t>
        </is>
      </c>
      <c r="D98" s="5" t="inlineStr"/>
      <c r="E98" s="6" t="n">
        <v>12</v>
      </c>
      <c r="F98" s="5" t="n"/>
      <c r="G98" s="5" t="n"/>
      <c r="H98" s="5" t="n"/>
      <c r="I98" s="5" t="n"/>
      <c r="J98" s="7">
        <f>IF(AND(N(F98)&gt;0,N(I98)&gt;0),I98-F98-IF(N(G98)&gt;0,0.5,0)-IF(N(H98)&gt;0,0.5,0),0)</f>
        <v/>
      </c>
      <c r="K98" s="5" t="n"/>
      <c r="L98" s="7">
        <f>MIN(J98,8.0)</f>
        <v/>
      </c>
      <c r="M98" s="7">
        <f>MAX(0,MIN(J98,12)-8.0)</f>
        <v/>
      </c>
      <c r="N98" s="7">
        <f>MAX(0,J98-12)</f>
        <v/>
      </c>
      <c r="O98" s="5" t="n"/>
      <c r="P98" s="6">
        <f>E98*(L98+M98*1.5+N98*2+O98*3+N(K98))</f>
        <v/>
      </c>
      <c r="Q98" s="6" t="n">
        <v>216</v>
      </c>
      <c r="R98" s="6">
        <f>Q98-P98</f>
        <v/>
      </c>
    </row>
    <row r="99">
      <c r="A99" s="5" t="inlineStr">
        <is>
          <t>2012</t>
        </is>
      </c>
      <c r="B99" s="5" t="inlineStr"/>
      <c r="C99" s="5" t="inlineStr">
        <is>
          <t>SETPA#3</t>
        </is>
      </c>
      <c r="D99" s="5" t="inlineStr"/>
      <c r="E99" s="6" t="n">
        <v>12</v>
      </c>
      <c r="F99" s="5" t="n"/>
      <c r="G99" s="5" t="n"/>
      <c r="H99" s="5" t="n"/>
      <c r="I99" s="5" t="n"/>
      <c r="J99" s="7">
        <f>IF(AND(N(F99)&gt;0,N(I99)&gt;0),I99-F99-IF(N(G99)&gt;0,0.5,0)-IF(N(H99)&gt;0,0.5,0),0)</f>
        <v/>
      </c>
      <c r="K99" s="5" t="n"/>
      <c r="L99" s="7">
        <f>MIN(J99,8.0)</f>
        <v/>
      </c>
      <c r="M99" s="7">
        <f>MAX(0,MIN(J99,12)-8.0)</f>
        <v/>
      </c>
      <c r="N99" s="7">
        <f>MAX(0,J99-12)</f>
        <v/>
      </c>
      <c r="O99" s="5" t="n"/>
      <c r="P99" s="6">
        <f>E99*(L99+M99*1.5+N99*2+O99*3+N(K99))</f>
        <v/>
      </c>
      <c r="Q99" s="6" t="n">
        <v>216</v>
      </c>
      <c r="R99" s="6">
        <f>Q99-P99</f>
        <v/>
      </c>
    </row>
    <row r="100">
      <c r="A100" s="5" t="inlineStr">
        <is>
          <t>2012</t>
        </is>
      </c>
      <c r="B100" s="5" t="inlineStr"/>
      <c r="C100" s="5" t="inlineStr">
        <is>
          <t>SETPA#4</t>
        </is>
      </c>
      <c r="D100" s="5" t="inlineStr"/>
      <c r="E100" s="6" t="n">
        <v>12</v>
      </c>
      <c r="F100" s="5" t="n"/>
      <c r="G100" s="5" t="n"/>
      <c r="H100" s="5" t="n"/>
      <c r="I100" s="5" t="n"/>
      <c r="J100" s="7">
        <f>IF(AND(N(F100)&gt;0,N(I100)&gt;0),I100-F100-IF(N(G100)&gt;0,0.5,0)-IF(N(H100)&gt;0,0.5,0),0)</f>
        <v/>
      </c>
      <c r="K100" s="5" t="n"/>
      <c r="L100" s="7">
        <f>MIN(J100,8.0)</f>
        <v/>
      </c>
      <c r="M100" s="7">
        <f>MAX(0,MIN(J100,12)-8.0)</f>
        <v/>
      </c>
      <c r="N100" s="7">
        <f>MAX(0,J100-12)</f>
        <v/>
      </c>
      <c r="O100" s="5" t="n"/>
      <c r="P100" s="6">
        <f>E100*(L100+M100*1.5+N100*2+O100*3+N(K100))</f>
        <v/>
      </c>
      <c r="Q100" s="6" t="n">
        <v>216</v>
      </c>
      <c r="R100" s="6">
        <f>Q100-P100</f>
        <v/>
      </c>
    </row>
    <row r="101">
      <c r="P101" s="2" t="inlineStr">
        <is>
          <t>SETSTAFFASSISTANTS LABOR</t>
        </is>
      </c>
      <c r="R101" s="8">
        <f>SUM(R97:R100)</f>
        <v/>
      </c>
    </row>
    <row r="103">
      <c r="B103" s="2" t="inlineStr">
        <is>
          <t>PRODUCTIONACCOUNTANT</t>
        </is>
      </c>
    </row>
    <row r="104">
      <c r="A104" s="5" t="inlineStr">
        <is>
          <t>2013</t>
        </is>
      </c>
      <c r="B104" s="5" t="inlineStr">
        <is>
          <t>Joel Tokarsky</t>
        </is>
      </c>
      <c r="C104" s="5" t="inlineStr">
        <is>
          <t>PRODUCTIONACCOUNTANT</t>
        </is>
      </c>
      <c r="D104" s="5" t="inlineStr">
        <is>
          <t>Local871</t>
        </is>
      </c>
      <c r="E104" s="6" t="n">
        <v>740</v>
      </c>
      <c r="F104" s="5" t="n"/>
      <c r="G104" s="5" t="n"/>
      <c r="H104" s="5" t="n"/>
      <c r="I104" s="5" t="n"/>
      <c r="J104" s="7">
        <f>IF(AND(N(F104)&gt;0,N(I104)&gt;0),I104-F104-IF(N(G104)&gt;0,0.5,0)-IF(N(H104)&gt;0,0.5,0),0)</f>
        <v/>
      </c>
      <c r="K104" s="5" t="n"/>
      <c r="L104" s="7">
        <f>MIN(J104,10.0)</f>
        <v/>
      </c>
      <c r="M104" s="7">
        <f>MAX(0,MIN(J104,12)-10.0)</f>
        <v/>
      </c>
      <c r="N104" s="7">
        <f>MAX(0,J104-12)</f>
        <v/>
      </c>
      <c r="O104" s="5" t="n"/>
      <c r="P104" s="6">
        <f>E104*(L104+M104*1.5+N104*2+O104*3+N(K104))</f>
        <v/>
      </c>
      <c r="Q104" s="6" t="n">
        <v>740</v>
      </c>
      <c r="R104" s="6">
        <f>Q104-P104</f>
        <v/>
      </c>
    </row>
    <row r="105">
      <c r="P105" s="2" t="inlineStr">
        <is>
          <t>PRODUCTIONACCOUNTANT LABOR</t>
        </is>
      </c>
      <c r="R105" s="8">
        <f>SUM(R104:R104)</f>
        <v/>
      </c>
    </row>
    <row r="107">
      <c r="B107" s="2" t="inlineStr">
        <is>
          <t>ASSTPRODUCTIONACCOUNTANTS</t>
        </is>
      </c>
    </row>
    <row r="108">
      <c r="A108" s="5" t="inlineStr">
        <is>
          <t>2014</t>
        </is>
      </c>
      <c r="B108" s="5" t="inlineStr">
        <is>
          <t>Co-Co Aiello</t>
        </is>
      </c>
      <c r="C108" s="5" t="inlineStr">
        <is>
          <t>1STASSTACCT</t>
        </is>
      </c>
      <c r="D108" s="5" t="inlineStr">
        <is>
          <t>Local871</t>
        </is>
      </c>
      <c r="E108" s="6" t="n">
        <v>480</v>
      </c>
      <c r="F108" s="5" t="n"/>
      <c r="G108" s="5" t="n"/>
      <c r="H108" s="5" t="n"/>
      <c r="I108" s="5" t="n"/>
      <c r="J108" s="7">
        <f>IF(AND(N(F108)&gt;0,N(I108)&gt;0),I108-F108-IF(N(G108)&gt;0,0.5,0)-IF(N(H108)&gt;0,0.5,0),0)</f>
        <v/>
      </c>
      <c r="K108" s="5" t="n"/>
      <c r="L108" s="7">
        <f>MIN(J108,10.0)</f>
        <v/>
      </c>
      <c r="M108" s="7">
        <f>MAX(0,MIN(J108,12)-10.0)</f>
        <v/>
      </c>
      <c r="N108" s="7">
        <f>MAX(0,J108-12)</f>
        <v/>
      </c>
      <c r="O108" s="5" t="n"/>
      <c r="P108" s="6">
        <f>E108*(L108+M108*1.5+N108*2+O108*3+N(K108))</f>
        <v/>
      </c>
      <c r="Q108" s="6" t="n">
        <v>480</v>
      </c>
      <c r="R108" s="6">
        <f>Q108-P108</f>
        <v/>
      </c>
    </row>
    <row r="109">
      <c r="A109" s="5" t="inlineStr">
        <is>
          <t>2014</t>
        </is>
      </c>
      <c r="B109" s="5" t="inlineStr">
        <is>
          <t>Steve Goldstein</t>
        </is>
      </c>
      <c r="C109" s="5" t="inlineStr">
        <is>
          <t>PAYROLLACCT</t>
        </is>
      </c>
      <c r="D109" s="5" t="inlineStr">
        <is>
          <t>Local871</t>
        </is>
      </c>
      <c r="E109" s="6" t="n">
        <v>420</v>
      </c>
      <c r="F109" s="5" t="n"/>
      <c r="G109" s="5" t="n"/>
      <c r="H109" s="5" t="n"/>
      <c r="I109" s="5" t="n"/>
      <c r="J109" s="7">
        <f>IF(AND(N(F109)&gt;0,N(I109)&gt;0),I109-F109-IF(N(G109)&gt;0,0.5,0)-IF(N(H109)&gt;0,0.5,0),0)</f>
        <v/>
      </c>
      <c r="K109" s="5" t="n"/>
      <c r="L109" s="7">
        <f>MIN(J109,10.0)</f>
        <v/>
      </c>
      <c r="M109" s="7">
        <f>MAX(0,MIN(J109,12)-10.0)</f>
        <v/>
      </c>
      <c r="N109" s="7">
        <f>MAX(0,J109-12)</f>
        <v/>
      </c>
      <c r="O109" s="5" t="n"/>
      <c r="P109" s="6">
        <f>E109*(L109+M109*1.5+N109*2+O109*3+N(K109))</f>
        <v/>
      </c>
      <c r="Q109" s="6" t="n">
        <v>420</v>
      </c>
      <c r="R109" s="6">
        <f>Q109-P109</f>
        <v/>
      </c>
    </row>
    <row r="110">
      <c r="P110" s="2" t="inlineStr">
        <is>
          <t>ASSTPRODUCTIONACCOUNTANTS LABOR</t>
        </is>
      </c>
      <c r="R110" s="8">
        <f>SUM(R108:R109)</f>
        <v/>
      </c>
    </row>
    <row r="112">
      <c r="B112" s="2" t="inlineStr">
        <is>
          <t>CONSTRUCTIONCOORDINATOR</t>
        </is>
      </c>
    </row>
    <row r="113">
      <c r="A113" s="5" t="inlineStr">
        <is>
          <t>2302</t>
        </is>
      </c>
      <c r="B113" s="5" t="inlineStr">
        <is>
          <t>Drew Rebelin</t>
        </is>
      </c>
      <c r="C113" s="5" t="inlineStr">
        <is>
          <t>CONSTCOORDINATOR</t>
        </is>
      </c>
      <c r="D113" s="5" t="inlineStr">
        <is>
          <t>Local44</t>
        </is>
      </c>
      <c r="E113" s="6" t="n">
        <v>400</v>
      </c>
      <c r="F113" s="5" t="n"/>
      <c r="G113" s="5" t="n"/>
      <c r="H113" s="5" t="n"/>
      <c r="I113" s="5" t="n"/>
      <c r="J113" s="7">
        <f>IF(AND(N(F113)&gt;0,N(I113)&gt;0),I113-F113-IF(N(G113)&gt;0,0.5,0)-IF(N(H113)&gt;0,0.5,0),0)</f>
        <v/>
      </c>
      <c r="K113" s="5" t="n"/>
      <c r="L113" s="7">
        <f>MIN(J113,10.0)</f>
        <v/>
      </c>
      <c r="M113" s="7">
        <f>MAX(0,MIN(J113,12)-10.0)</f>
        <v/>
      </c>
      <c r="N113" s="7">
        <f>MAX(0,J113-12)</f>
        <v/>
      </c>
      <c r="O113" s="5" t="n"/>
      <c r="P113" s="6">
        <f>E113*(L113+M113*1.5+N113*2+O113*3+N(K113))</f>
        <v/>
      </c>
      <c r="Q113" s="5" t="n"/>
      <c r="R113" s="6">
        <f>Q113-P113</f>
        <v/>
      </c>
    </row>
    <row r="114">
      <c r="P114" s="2" t="inlineStr">
        <is>
          <t>CONSTRUCTIONCOORDINATOR LABOR</t>
        </is>
      </c>
      <c r="R114" s="8">
        <f>SUM(R113:R113)</f>
        <v/>
      </c>
    </row>
    <row r="116">
      <c r="B116" s="2" t="inlineStr">
        <is>
          <t>PAINTFOREMAN</t>
        </is>
      </c>
    </row>
    <row r="117">
      <c r="A117" s="5" t="inlineStr">
        <is>
          <t>2304</t>
        </is>
      </c>
      <c r="B117" s="5" t="inlineStr">
        <is>
          <t>Kristeen Reimnitz</t>
        </is>
      </c>
      <c r="C117" s="5" t="inlineStr">
        <is>
          <t>PAINTER</t>
        </is>
      </c>
      <c r="D117" s="5" t="inlineStr">
        <is>
          <t>Local729</t>
        </is>
      </c>
      <c r="E117" s="6" t="n">
        <v>23.04</v>
      </c>
      <c r="F117" s="5" t="n"/>
      <c r="G117" s="5" t="n"/>
      <c r="H117" s="5" t="n"/>
      <c r="I117" s="5" t="n"/>
      <c r="J117" s="7">
        <f>IF(AND(N(F117)&gt;0,N(I117)&gt;0),I117-F117-IF(N(G117)&gt;0,0.5,0)-IF(N(H117)&gt;0,0.5,0),0)</f>
        <v/>
      </c>
      <c r="K117" s="5" t="n"/>
      <c r="L117" s="7">
        <f>MIN(J117,10.0)</f>
        <v/>
      </c>
      <c r="M117" s="7">
        <f>MAX(0,MIN(J117,12)-10.0)</f>
        <v/>
      </c>
      <c r="N117" s="7">
        <f>MAX(0,J117-12)</f>
        <v/>
      </c>
      <c r="O117" s="5" t="n"/>
      <c r="P117" s="6">
        <f>E117*(L117+M117*1.5+N117*2+O117*3+N(K117))</f>
        <v/>
      </c>
      <c r="Q117" s="5" t="n"/>
      <c r="R117" s="6">
        <f>Q117-P117</f>
        <v/>
      </c>
    </row>
    <row r="118">
      <c r="P118" s="2" t="inlineStr">
        <is>
          <t>PAINTFOREMAN LABOR</t>
        </is>
      </c>
      <c r="R118" s="8">
        <f>SUM(R117:R117)</f>
        <v/>
      </c>
    </row>
    <row r="120">
      <c r="B120" s="2" t="inlineStr">
        <is>
          <t>FIRSTAIDLABOR</t>
        </is>
      </c>
    </row>
    <row r="121">
      <c r="A121" s="5" t="inlineStr">
        <is>
          <t>2310</t>
        </is>
      </c>
      <c r="B121" s="5" t="inlineStr"/>
      <c r="C121" s="5" t="inlineStr">
        <is>
          <t>CONSTRUCTIONMEDIC</t>
        </is>
      </c>
      <c r="D121" s="5" t="inlineStr">
        <is>
          <t>Local80</t>
        </is>
      </c>
      <c r="E121" s="6" t="n">
        <v>23.04</v>
      </c>
      <c r="F121" s="5" t="n"/>
      <c r="G121" s="5" t="n"/>
      <c r="H121" s="5" t="n"/>
      <c r="I121" s="5" t="n"/>
      <c r="J121" s="7">
        <f>IF(AND(N(F121)&gt;0,N(I121)&gt;0),I121-F121-IF(N(G121)&gt;0,0.5,0)-IF(N(H121)&gt;0,0.5,0),0)</f>
        <v/>
      </c>
      <c r="K121" s="5" t="n"/>
      <c r="L121" s="7">
        <f>MIN(J121,10.0)</f>
        <v/>
      </c>
      <c r="M121" s="7">
        <f>MAX(0,MIN(J121,12)-10.0)</f>
        <v/>
      </c>
      <c r="N121" s="7">
        <f>MAX(0,J121-12)</f>
        <v/>
      </c>
      <c r="O121" s="5" t="n"/>
      <c r="P121" s="6">
        <f>E121*(L121+M121*1.5+N121*2+O121*3+N(K121))</f>
        <v/>
      </c>
      <c r="Q121" s="5" t="n"/>
      <c r="R121" s="6">
        <f>Q121-P121</f>
        <v/>
      </c>
    </row>
    <row r="122">
      <c r="P122" s="2" t="inlineStr">
        <is>
          <t>FIRSTAIDLABOR LABOR</t>
        </is>
      </c>
      <c r="R122" s="8">
        <f>SUM(R121:R121)</f>
        <v/>
      </c>
    </row>
    <row r="124">
      <c r="B124" s="2" t="inlineStr">
        <is>
          <t>KEYGRIP</t>
        </is>
      </c>
    </row>
    <row r="125">
      <c r="A125" s="5" t="inlineStr">
        <is>
          <t>2501</t>
        </is>
      </c>
      <c r="B125" s="5" t="inlineStr">
        <is>
          <t>Pat O'Mara</t>
        </is>
      </c>
      <c r="C125" s="5" t="inlineStr">
        <is>
          <t>KEYGRIP</t>
        </is>
      </c>
      <c r="D125" s="5" t="inlineStr">
        <is>
          <t>Local80</t>
        </is>
      </c>
      <c r="E125" s="6" t="n">
        <v>25.5</v>
      </c>
      <c r="F125" s="5" t="n"/>
      <c r="G125" s="5" t="n"/>
      <c r="H125" s="5" t="n"/>
      <c r="I125" s="5" t="n"/>
      <c r="J125" s="7">
        <f>IF(AND(N(F125)&gt;0,N(I125)&gt;0),I125-F125-IF(N(G125)&gt;0,0.5,0)-IF(N(H125)&gt;0,0.5,0),0)</f>
        <v/>
      </c>
      <c r="K125" s="5" t="n"/>
      <c r="L125" s="7">
        <f>MIN(J125,10.0)</f>
        <v/>
      </c>
      <c r="M125" s="7">
        <f>MAX(0,MIN(J125,12)-10.0)</f>
        <v/>
      </c>
      <c r="N125" s="7">
        <f>MAX(0,J125-12)</f>
        <v/>
      </c>
      <c r="O125" s="5" t="n"/>
      <c r="P125" s="6">
        <f>E125*(L125+M125*1.5+N125*2+O125*3+N(K125))</f>
        <v/>
      </c>
      <c r="Q125" s="6" t="n">
        <v>395.25</v>
      </c>
      <c r="R125" s="6">
        <f>Q125-P125</f>
        <v/>
      </c>
    </row>
    <row r="126">
      <c r="P126" s="2" t="inlineStr">
        <is>
          <t>KEYGRIP LABOR</t>
        </is>
      </c>
      <c r="R126" s="8">
        <f>SUM(R125:R125)</f>
        <v/>
      </c>
    </row>
    <row r="128">
      <c r="B128" s="2" t="inlineStr">
        <is>
          <t>BESTBOYGRIP</t>
        </is>
      </c>
    </row>
    <row r="129">
      <c r="A129" s="5" t="inlineStr">
        <is>
          <t>2502</t>
        </is>
      </c>
      <c r="B129" s="5" t="inlineStr">
        <is>
          <t>Aaron Fairley</t>
        </is>
      </c>
      <c r="C129" s="5" t="inlineStr">
        <is>
          <t>BESTBOYGRIP</t>
        </is>
      </c>
      <c r="D129" s="5" t="inlineStr">
        <is>
          <t>Local80</t>
        </is>
      </c>
      <c r="E129" s="6" t="n">
        <v>23.04</v>
      </c>
      <c r="F129" s="5" t="n"/>
      <c r="G129" s="5" t="n"/>
      <c r="H129" s="5" t="n"/>
      <c r="I129" s="5" t="n"/>
      <c r="J129" s="7">
        <f>IF(AND(N(F129)&gt;0,N(I129)&gt;0),I129-F129-IF(N(G129)&gt;0,0.5,0)-IF(N(H129)&gt;0,0.5,0),0)</f>
        <v/>
      </c>
      <c r="K129" s="5" t="n"/>
      <c r="L129" s="7">
        <f>MIN(J129,10.0)</f>
        <v/>
      </c>
      <c r="M129" s="7">
        <f>MAX(0,MIN(J129,12)-10.0)</f>
        <v/>
      </c>
      <c r="N129" s="7">
        <f>MAX(0,J129-12)</f>
        <v/>
      </c>
      <c r="O129" s="5" t="n"/>
      <c r="P129" s="6">
        <f>E129*(L129+M129*1.5+N129*2+O129*3+N(K129))</f>
        <v/>
      </c>
      <c r="Q129" s="6" t="n">
        <v>357.12</v>
      </c>
      <c r="R129" s="6">
        <f>Q129-P129</f>
        <v/>
      </c>
    </row>
    <row r="130">
      <c r="A130" s="5" t="inlineStr">
        <is>
          <t>2502</t>
        </is>
      </c>
      <c r="B130" s="5" t="inlineStr"/>
      <c r="C130" s="5" t="inlineStr">
        <is>
          <t>STUDIOBESTBOYGRIP</t>
        </is>
      </c>
      <c r="D130" s="5" t="inlineStr">
        <is>
          <t>Local80</t>
        </is>
      </c>
      <c r="E130" s="6" t="n">
        <v>43.05</v>
      </c>
      <c r="F130" s="5" t="n"/>
      <c r="G130" s="5" t="n"/>
      <c r="H130" s="5" t="n"/>
      <c r="I130" s="5" t="n"/>
      <c r="J130" s="7">
        <f>IF(AND(N(F130)&gt;0,N(I130)&gt;0),I130-F130-IF(N(G130)&gt;0,0.5,0)-IF(N(H130)&gt;0,0.5,0),0)</f>
        <v/>
      </c>
      <c r="K130" s="5" t="n"/>
      <c r="L130" s="7">
        <f>MIN(J130,10.0)</f>
        <v/>
      </c>
      <c r="M130" s="7">
        <f>MAX(0,MIN(J130,12)-10.0)</f>
        <v/>
      </c>
      <c r="N130" s="7">
        <f>MAX(0,J130-12)</f>
        <v/>
      </c>
      <c r="O130" s="5" t="n"/>
      <c r="P130" s="6">
        <f>E130*(L130+M130*1.5+N130*2+O130*3+N(K130))</f>
        <v/>
      </c>
      <c r="Q130" s="6" t="n">
        <v>667.27</v>
      </c>
      <c r="R130" s="6">
        <f>Q130-P130</f>
        <v/>
      </c>
    </row>
    <row r="131">
      <c r="P131" s="2" t="inlineStr">
        <is>
          <t>BESTBOYGRIP LABOR</t>
        </is>
      </c>
      <c r="R131" s="8">
        <f>SUM(R129:R130)</f>
        <v/>
      </c>
    </row>
    <row r="133">
      <c r="B133" s="2" t="inlineStr">
        <is>
          <t>DOLLYGRIP</t>
        </is>
      </c>
    </row>
    <row r="134">
      <c r="A134" s="5" t="inlineStr">
        <is>
          <t>2503</t>
        </is>
      </c>
      <c r="B134" s="5" t="inlineStr">
        <is>
          <t>Peter Weidenfeller</t>
        </is>
      </c>
      <c r="C134" s="5" t="inlineStr">
        <is>
          <t>"A"DOLLYGRIP</t>
        </is>
      </c>
      <c r="D134" s="5" t="inlineStr">
        <is>
          <t>Local80</t>
        </is>
      </c>
      <c r="E134" s="6" t="n">
        <v>23.04</v>
      </c>
      <c r="F134" s="5" t="n"/>
      <c r="G134" s="5" t="n"/>
      <c r="H134" s="5" t="n"/>
      <c r="I134" s="5" t="n"/>
      <c r="J134" s="7">
        <f>IF(AND(N(F134)&gt;0,N(I134)&gt;0),I134-F134-IF(N(G134)&gt;0,0.5,0)-IF(N(H134)&gt;0,0.5,0),0)</f>
        <v/>
      </c>
      <c r="K134" s="5" t="n"/>
      <c r="L134" s="7">
        <f>MIN(J134,10.0)</f>
        <v/>
      </c>
      <c r="M134" s="7">
        <f>MAX(0,MIN(J134,12)-10.0)</f>
        <v/>
      </c>
      <c r="N134" s="7">
        <f>MAX(0,J134-12)</f>
        <v/>
      </c>
      <c r="O134" s="5" t="n"/>
      <c r="P134" s="6">
        <f>E134*(L134+M134*1.5+N134*2+O134*3+N(K134))</f>
        <v/>
      </c>
      <c r="Q134" s="6" t="n">
        <v>357.12</v>
      </c>
      <c r="R134" s="6">
        <f>Q134-P134</f>
        <v/>
      </c>
    </row>
    <row r="135">
      <c r="P135" s="2" t="inlineStr">
        <is>
          <t>DOLLYGRIP LABOR</t>
        </is>
      </c>
      <c r="R135" s="8">
        <f>SUM(R134:R134)</f>
        <v/>
      </c>
    </row>
    <row r="137">
      <c r="B137" s="2" t="inlineStr">
        <is>
          <t>CRANEGRIPS</t>
        </is>
      </c>
    </row>
    <row r="138">
      <c r="A138" s="5" t="inlineStr">
        <is>
          <t>2504</t>
        </is>
      </c>
      <c r="B138" s="5" t="inlineStr"/>
      <c r="C138" s="5" t="inlineStr">
        <is>
          <t>CRANEOPERATOR</t>
        </is>
      </c>
      <c r="D138" s="5" t="inlineStr">
        <is>
          <t>Local80</t>
        </is>
      </c>
      <c r="E138" s="6" t="n">
        <v>792</v>
      </c>
      <c r="F138" s="5" t="n"/>
      <c r="G138" s="5" t="n"/>
      <c r="H138" s="5" t="n"/>
      <c r="I138" s="5" t="n"/>
      <c r="J138" s="7">
        <f>IF(AND(N(F138)&gt;0,N(I138)&gt;0),I138-F138-IF(N(G138)&gt;0,0.5,0)-IF(N(H138)&gt;0,0.5,0),0)</f>
        <v/>
      </c>
      <c r="K138" s="5" t="n"/>
      <c r="L138" s="7">
        <f>MIN(J138,10.0)</f>
        <v/>
      </c>
      <c r="M138" s="7">
        <f>MAX(0,MIN(J138,12)-10.0)</f>
        <v/>
      </c>
      <c r="N138" s="7">
        <f>MAX(0,J138-12)</f>
        <v/>
      </c>
      <c r="O138" s="5" t="n"/>
      <c r="P138" s="6">
        <f>E138*(L138+M138*1.5+N138*2+O138*3+N(K138))</f>
        <v/>
      </c>
      <c r="Q138" s="6" t="n">
        <v>924</v>
      </c>
      <c r="R138" s="6">
        <f>Q138-P138</f>
        <v/>
      </c>
    </row>
    <row r="139">
      <c r="A139" s="5" t="inlineStr">
        <is>
          <t>2504</t>
        </is>
      </c>
      <c r="B139" s="5" t="inlineStr"/>
      <c r="C139" s="5" t="inlineStr">
        <is>
          <t>CRANEASSISTANT</t>
        </is>
      </c>
      <c r="D139" s="5" t="inlineStr">
        <is>
          <t>Local80</t>
        </is>
      </c>
      <c r="E139" s="6" t="n">
        <v>660</v>
      </c>
      <c r="F139" s="5" t="n"/>
      <c r="G139" s="5" t="n"/>
      <c r="H139" s="5" t="n"/>
      <c r="I139" s="5" t="n"/>
      <c r="J139" s="7">
        <f>IF(AND(N(F139)&gt;0,N(I139)&gt;0),I139-F139-IF(N(G139)&gt;0,0.5,0)-IF(N(H139)&gt;0,0.5,0),0)</f>
        <v/>
      </c>
      <c r="K139" s="5" t="n"/>
      <c r="L139" s="7">
        <f>MIN(J139,10.0)</f>
        <v/>
      </c>
      <c r="M139" s="7">
        <f>MAX(0,MIN(J139,12)-10.0)</f>
        <v/>
      </c>
      <c r="N139" s="7">
        <f>MAX(0,J139-12)</f>
        <v/>
      </c>
      <c r="O139" s="5" t="n"/>
      <c r="P139" s="6">
        <f>E139*(L139+M139*1.5+N139*2+O139*3+N(K139))</f>
        <v/>
      </c>
      <c r="Q139" s="6" t="n">
        <v>770</v>
      </c>
      <c r="R139" s="6">
        <f>Q139-P139</f>
        <v/>
      </c>
    </row>
    <row r="140">
      <c r="P140" s="2" t="inlineStr">
        <is>
          <t>CRANEGRIPS LABOR</t>
        </is>
      </c>
      <c r="R140" s="8">
        <f>SUM(R138:R139)</f>
        <v/>
      </c>
    </row>
    <row r="142">
      <c r="B142" s="2" t="inlineStr">
        <is>
          <t>COMPANYGRIPS</t>
        </is>
      </c>
    </row>
    <row r="143">
      <c r="A143" s="5" t="inlineStr">
        <is>
          <t>2505</t>
        </is>
      </c>
      <c r="B143" s="5" t="inlineStr"/>
      <c r="C143" s="5" t="inlineStr">
        <is>
          <t>GRIP#1</t>
        </is>
      </c>
      <c r="D143" s="5" t="inlineStr">
        <is>
          <t>Local80</t>
        </is>
      </c>
      <c r="E143" s="6" t="n">
        <v>20.57</v>
      </c>
      <c r="F143" s="5" t="n"/>
      <c r="G143" s="5" t="n"/>
      <c r="H143" s="5" t="n"/>
      <c r="I143" s="5" t="n"/>
      <c r="J143" s="7">
        <f>IF(AND(N(F143)&gt;0,N(I143)&gt;0),I143-F143-IF(N(G143)&gt;0,0.5,0)-IF(N(H143)&gt;0,0.5,0),0)</f>
        <v/>
      </c>
      <c r="K143" s="5" t="n"/>
      <c r="L143" s="7">
        <f>MIN(J143,10.0)</f>
        <v/>
      </c>
      <c r="M143" s="7">
        <f>MAX(0,MIN(J143,12)-10.0)</f>
        <v/>
      </c>
      <c r="N143" s="7">
        <f>MAX(0,J143-12)</f>
        <v/>
      </c>
      <c r="O143" s="5" t="n"/>
      <c r="P143" s="6">
        <f>E143*(L143+M143*1.5+N143*2+O143*3+N(K143))</f>
        <v/>
      </c>
      <c r="Q143" s="6" t="n">
        <v>318.83</v>
      </c>
      <c r="R143" s="6">
        <f>Q143-P143</f>
        <v/>
      </c>
    </row>
    <row r="144">
      <c r="A144" s="5" t="inlineStr">
        <is>
          <t>2505</t>
        </is>
      </c>
      <c r="B144" s="5" t="inlineStr"/>
      <c r="C144" s="5" t="inlineStr">
        <is>
          <t>GRIP#2</t>
        </is>
      </c>
      <c r="D144" s="5" t="inlineStr">
        <is>
          <t>Local80</t>
        </is>
      </c>
      <c r="E144" s="6" t="n">
        <v>20.57</v>
      </c>
      <c r="F144" s="5" t="n"/>
      <c r="G144" s="5" t="n"/>
      <c r="H144" s="5" t="n"/>
      <c r="I144" s="5" t="n"/>
      <c r="J144" s="7">
        <f>IF(AND(N(F144)&gt;0,N(I144)&gt;0),I144-F144-IF(N(G144)&gt;0,0.5,0)-IF(N(H144)&gt;0,0.5,0),0)</f>
        <v/>
      </c>
      <c r="K144" s="5" t="n"/>
      <c r="L144" s="7">
        <f>MIN(J144,10.0)</f>
        <v/>
      </c>
      <c r="M144" s="7">
        <f>MAX(0,MIN(J144,12)-10.0)</f>
        <v/>
      </c>
      <c r="N144" s="7">
        <f>MAX(0,J144-12)</f>
        <v/>
      </c>
      <c r="O144" s="5" t="n"/>
      <c r="P144" s="6">
        <f>E144*(L144+M144*1.5+N144*2+O144*3+N(K144))</f>
        <v/>
      </c>
      <c r="Q144" s="6" t="n">
        <v>318.83</v>
      </c>
      <c r="R144" s="6">
        <f>Q144-P144</f>
        <v/>
      </c>
    </row>
    <row r="145">
      <c r="A145" s="5" t="inlineStr">
        <is>
          <t>2505</t>
        </is>
      </c>
      <c r="B145" s="5" t="inlineStr"/>
      <c r="C145" s="5" t="inlineStr">
        <is>
          <t>GRIP#3</t>
        </is>
      </c>
      <c r="D145" s="5" t="inlineStr">
        <is>
          <t>Local80</t>
        </is>
      </c>
      <c r="E145" s="6" t="n">
        <v>20.57</v>
      </c>
      <c r="F145" s="5" t="n"/>
      <c r="G145" s="5" t="n"/>
      <c r="H145" s="5" t="n"/>
      <c r="I145" s="5" t="n"/>
      <c r="J145" s="7">
        <f>IF(AND(N(F145)&gt;0,N(I145)&gt;0),I145-F145-IF(N(G145)&gt;0,0.5,0)-IF(N(H145)&gt;0,0.5,0),0)</f>
        <v/>
      </c>
      <c r="K145" s="5" t="n"/>
      <c r="L145" s="7">
        <f>MIN(J145,10.0)</f>
        <v/>
      </c>
      <c r="M145" s="7">
        <f>MAX(0,MIN(J145,12)-10.0)</f>
        <v/>
      </c>
      <c r="N145" s="7">
        <f>MAX(0,J145-12)</f>
        <v/>
      </c>
      <c r="O145" s="5" t="n"/>
      <c r="P145" s="6">
        <f>E145*(L145+M145*1.5+N145*2+O145*3+N(K145))</f>
        <v/>
      </c>
      <c r="Q145" s="6" t="n">
        <v>318.83</v>
      </c>
      <c r="R145" s="6">
        <f>Q145-P145</f>
        <v/>
      </c>
    </row>
    <row r="146">
      <c r="P146" s="2" t="inlineStr">
        <is>
          <t>COMPANYGRIPS LABOR</t>
        </is>
      </c>
      <c r="R146" s="8">
        <f>SUM(R143:R145)</f>
        <v/>
      </c>
    </row>
    <row r="148">
      <c r="B148" s="2" t="inlineStr">
        <is>
          <t>OTHERLABOR</t>
        </is>
      </c>
    </row>
    <row r="149">
      <c r="A149" s="5" t="inlineStr">
        <is>
          <t>2506</t>
        </is>
      </c>
      <c r="B149" s="5" t="inlineStr"/>
      <c r="C149" s="5" t="inlineStr">
        <is>
          <t>GRIPMANDAYS&amp;RIGGINGMANDAYS</t>
        </is>
      </c>
      <c r="D149" s="5" t="inlineStr">
        <is>
          <t>Local80</t>
        </is>
      </c>
      <c r="E149" s="6" t="n">
        <v>20.57</v>
      </c>
      <c r="F149" s="5" t="n"/>
      <c r="G149" s="5" t="n"/>
      <c r="H149" s="5" t="n"/>
      <c r="I149" s="5" t="n"/>
      <c r="J149" s="7">
        <f>IF(AND(N(F149)&gt;0,N(I149)&gt;0),I149-F149-IF(N(G149)&gt;0,0.5,0)-IF(N(H149)&gt;0,0.5,0),0)</f>
        <v/>
      </c>
      <c r="K149" s="5" t="n"/>
      <c r="L149" s="7">
        <f>MIN(J149,10.0)</f>
        <v/>
      </c>
      <c r="M149" s="7">
        <f>MAX(0,MIN(J149,12)-10.0)</f>
        <v/>
      </c>
      <c r="N149" s="7">
        <f>MAX(0,J149-12)</f>
        <v/>
      </c>
      <c r="O149" s="5" t="n"/>
      <c r="P149" s="6">
        <f>E149*(L149+M149*1.5+N149*2+O149*3+N(K149))</f>
        <v/>
      </c>
      <c r="Q149" s="6" t="n">
        <v>318.83</v>
      </c>
      <c r="R149" s="6">
        <f>Q149-P149</f>
        <v/>
      </c>
    </row>
    <row r="150">
      <c r="P150" s="2" t="inlineStr">
        <is>
          <t>OTHERLABOR LABOR</t>
        </is>
      </c>
      <c r="R150" s="8">
        <f>SUM(R149:R149)</f>
        <v/>
      </c>
    </row>
    <row r="152">
      <c r="B152" s="2" t="inlineStr">
        <is>
          <t>STANDBYLABOR</t>
        </is>
      </c>
    </row>
    <row r="153">
      <c r="A153" s="5" t="inlineStr">
        <is>
          <t>2510</t>
        </is>
      </c>
      <c r="B153" s="5" t="inlineStr"/>
      <c r="C153" s="5" t="inlineStr">
        <is>
          <t>LAYOUTBOARD</t>
        </is>
      </c>
      <c r="D153" s="5" t="inlineStr">
        <is>
          <t>Local729</t>
        </is>
      </c>
      <c r="E153" s="6" t="n">
        <v>25.5</v>
      </c>
      <c r="F153" s="5" t="n"/>
      <c r="G153" s="5" t="n"/>
      <c r="H153" s="5" t="n"/>
      <c r="I153" s="5" t="n"/>
      <c r="J153" s="7">
        <f>IF(AND(N(F153)&gt;0,N(I153)&gt;0),I153-F153-IF(N(G153)&gt;0,0.5,0)-IF(N(H153)&gt;0,0.5,0),0)</f>
        <v/>
      </c>
      <c r="K153" s="5" t="n"/>
      <c r="L153" s="7">
        <f>MIN(J153,10.0)</f>
        <v/>
      </c>
      <c r="M153" s="7">
        <f>MAX(0,MIN(J153,12)-10.0)</f>
        <v/>
      </c>
      <c r="N153" s="7">
        <f>MAX(0,J153-12)</f>
        <v/>
      </c>
      <c r="O153" s="5" t="n"/>
      <c r="P153" s="6">
        <f>E153*(L153+M153*1.5+N153*2+O153*3+N(K153))</f>
        <v/>
      </c>
      <c r="Q153" s="6" t="n">
        <v>395.25</v>
      </c>
      <c r="R153" s="6">
        <f>Q153-P153</f>
        <v/>
      </c>
    </row>
    <row r="154">
      <c r="P154" s="2" t="inlineStr">
        <is>
          <t>STANDBYLABOR LABOR</t>
        </is>
      </c>
      <c r="R154" s="8">
        <f>SUM(R153:R153)</f>
        <v/>
      </c>
    </row>
    <row r="156">
      <c r="B156" s="2" t="inlineStr">
        <is>
          <t>SETCRAFTSERVICELABOR</t>
        </is>
      </c>
    </row>
    <row r="157">
      <c r="A157" s="5" t="inlineStr">
        <is>
          <t>2511</t>
        </is>
      </c>
      <c r="B157" s="5" t="inlineStr">
        <is>
          <t>Maurico Solis</t>
        </is>
      </c>
      <c r="C157" s="5" t="inlineStr">
        <is>
          <t>KEYCRAFTSERVICE</t>
        </is>
      </c>
      <c r="D157" s="5" t="inlineStr">
        <is>
          <t>Local80</t>
        </is>
      </c>
      <c r="E157" s="6" t="n">
        <v>25.5</v>
      </c>
      <c r="F157" s="5" t="n"/>
      <c r="G157" s="5" t="n"/>
      <c r="H157" s="5" t="n"/>
      <c r="I157" s="5" t="n"/>
      <c r="J157" s="7">
        <f>IF(AND(N(F157)&gt;0,N(I157)&gt;0),I157-F157-IF(N(G157)&gt;0,0.5,0)-IF(N(H157)&gt;0,0.5,0),0)</f>
        <v/>
      </c>
      <c r="K157" s="5" t="n"/>
      <c r="L157" s="7">
        <f>MIN(J157,10.0)</f>
        <v/>
      </c>
      <c r="M157" s="7">
        <f>MAX(0,MIN(J157,12)-10.0)</f>
        <v/>
      </c>
      <c r="N157" s="7">
        <f>MAX(0,J157-12)</f>
        <v/>
      </c>
      <c r="O157" s="5" t="n"/>
      <c r="P157" s="6">
        <f>E157*(L157+M157*1.5+N157*2+O157*3+N(K157))</f>
        <v/>
      </c>
      <c r="Q157" s="6" t="n">
        <v>439.87</v>
      </c>
      <c r="R157" s="6">
        <f>Q157-P157</f>
        <v/>
      </c>
    </row>
    <row r="158">
      <c r="A158" s="5" t="inlineStr">
        <is>
          <t>2511</t>
        </is>
      </c>
      <c r="B158" s="5" t="inlineStr"/>
      <c r="C158" s="5" t="inlineStr">
        <is>
          <t>ASSTCRAFTSERVICE</t>
        </is>
      </c>
      <c r="D158" s="5" t="inlineStr">
        <is>
          <t>Local80</t>
        </is>
      </c>
      <c r="E158" s="6" t="n">
        <v>23.04</v>
      </c>
      <c r="F158" s="5" t="n"/>
      <c r="G158" s="5" t="n"/>
      <c r="H158" s="5" t="n"/>
      <c r="I158" s="5" t="n"/>
      <c r="J158" s="7">
        <f>IF(AND(N(F158)&gt;0,N(I158)&gt;0),I158-F158-IF(N(G158)&gt;0,0.5,0)-IF(N(H158)&gt;0,0.5,0),0)</f>
        <v/>
      </c>
      <c r="K158" s="5" t="n"/>
      <c r="L158" s="7">
        <f>MIN(J158,10.0)</f>
        <v/>
      </c>
      <c r="M158" s="7">
        <f>MAX(0,MIN(J158,12)-10.0)</f>
        <v/>
      </c>
      <c r="N158" s="7">
        <f>MAX(0,J158-12)</f>
        <v/>
      </c>
      <c r="O158" s="5" t="n"/>
      <c r="P158" s="6">
        <f>E158*(L158+M158*1.5+N158*2+O158*3+N(K158))</f>
        <v/>
      </c>
      <c r="Q158" s="6" t="n">
        <v>397.43</v>
      </c>
      <c r="R158" s="6">
        <f>Q158-P158</f>
        <v/>
      </c>
    </row>
    <row r="159">
      <c r="P159" s="2" t="inlineStr">
        <is>
          <t>SETCRAFTSERVICELABOR LABOR</t>
        </is>
      </c>
      <c r="R159" s="8">
        <f>SUM(R157:R158)</f>
        <v/>
      </c>
    </row>
    <row r="161">
      <c r="B161" s="2" t="inlineStr">
        <is>
          <t>SETFIRSTAIDLABOR</t>
        </is>
      </c>
    </row>
    <row r="162">
      <c r="A162" s="5" t="inlineStr">
        <is>
          <t>2514</t>
        </is>
      </c>
      <c r="B162" s="5" t="inlineStr">
        <is>
          <t>Robert Hill</t>
        </is>
      </c>
      <c r="C162" s="5" t="inlineStr">
        <is>
          <t>SETMEDIC</t>
        </is>
      </c>
      <c r="D162" s="5" t="inlineStr">
        <is>
          <t>Local80</t>
        </is>
      </c>
      <c r="E162" s="6" t="n">
        <v>23.04</v>
      </c>
      <c r="F162" s="5" t="n"/>
      <c r="G162" s="5" t="n"/>
      <c r="H162" s="5" t="n"/>
      <c r="I162" s="5" t="n"/>
      <c r="J162" s="7">
        <f>IF(AND(N(F162)&gt;0,N(I162)&gt;0),I162-F162-IF(N(G162)&gt;0,0.5,0)-IF(N(H162)&gt;0,0.5,0),0)</f>
        <v/>
      </c>
      <c r="K162" s="5" t="n"/>
      <c r="L162" s="7">
        <f>MIN(J162,10.0)</f>
        <v/>
      </c>
      <c r="M162" s="7">
        <f>MAX(0,MIN(J162,12)-10.0)</f>
        <v/>
      </c>
      <c r="N162" s="7">
        <f>MAX(0,J162-12)</f>
        <v/>
      </c>
      <c r="O162" s="5" t="n"/>
      <c r="P162" s="6">
        <f>E162*(L162+M162*1.5+N162*2+O162*3+N(K162))</f>
        <v/>
      </c>
      <c r="Q162" s="6" t="n">
        <v>397.43</v>
      </c>
      <c r="R162" s="6">
        <f>Q162-P162</f>
        <v/>
      </c>
    </row>
    <row r="163">
      <c r="A163" s="5" t="inlineStr">
        <is>
          <t>2514</t>
        </is>
      </c>
      <c r="B163" s="5" t="inlineStr"/>
      <c r="C163" s="5" t="inlineStr">
        <is>
          <t>RIGGINGMEDICMANDAYS</t>
        </is>
      </c>
      <c r="D163" s="5" t="inlineStr">
        <is>
          <t>Local80</t>
        </is>
      </c>
      <c r="E163" s="6" t="n">
        <v>23.04</v>
      </c>
      <c r="F163" s="5" t="n"/>
      <c r="G163" s="5" t="n"/>
      <c r="H163" s="5" t="n"/>
      <c r="I163" s="5" t="n"/>
      <c r="J163" s="7">
        <f>IF(AND(N(F163)&gt;0,N(I163)&gt;0),I163-F163-IF(N(G163)&gt;0,0.5,0)-IF(N(H163)&gt;0,0.5,0),0)</f>
        <v/>
      </c>
      <c r="K163" s="5" t="n"/>
      <c r="L163" s="7">
        <f>MIN(J163,10.0)</f>
        <v/>
      </c>
      <c r="M163" s="7">
        <f>MAX(0,MIN(J163,12)-10.0)</f>
        <v/>
      </c>
      <c r="N163" s="7">
        <f>MAX(0,J163-12)</f>
        <v/>
      </c>
      <c r="O163" s="5" t="n"/>
      <c r="P163" s="6">
        <f>E163*(L163+M163*1.5+N163*2+O163*3+N(K163))</f>
        <v/>
      </c>
      <c r="Q163" s="5" t="n"/>
      <c r="R163" s="6">
        <f>Q163-P163</f>
        <v/>
      </c>
    </row>
    <row r="164">
      <c r="P164" s="2" t="inlineStr">
        <is>
          <t>SETFIRSTAIDLABOR LABOR</t>
        </is>
      </c>
      <c r="R164" s="8">
        <f>SUM(R162:R163)</f>
        <v/>
      </c>
    </row>
    <row r="166">
      <c r="B166" s="2" t="inlineStr">
        <is>
          <t>SFXCOORDINATOR</t>
        </is>
      </c>
    </row>
    <row r="167">
      <c r="A167" s="5" t="inlineStr">
        <is>
          <t>2601</t>
        </is>
      </c>
      <c r="B167" s="5" t="inlineStr">
        <is>
          <t>Zak Knight</t>
        </is>
      </c>
      <c r="C167" s="5" t="inlineStr">
        <is>
          <t>SPFXCOORDINATOR</t>
        </is>
      </c>
      <c r="D167" s="5" t="inlineStr">
        <is>
          <t>Local44</t>
        </is>
      </c>
      <c r="E167" s="6" t="n">
        <v>42</v>
      </c>
      <c r="F167" s="5" t="n"/>
      <c r="G167" s="5" t="n"/>
      <c r="H167" s="5" t="n"/>
      <c r="I167" s="5" t="n"/>
      <c r="J167" s="7">
        <f>IF(AND(N(F167)&gt;0,N(I167)&gt;0),I167-F167-IF(N(G167)&gt;0,0.5,0)-IF(N(H167)&gt;0,0.5,0),0)</f>
        <v/>
      </c>
      <c r="K167" s="5" t="n"/>
      <c r="L167" s="7">
        <f>MIN(J167,10.0)</f>
        <v/>
      </c>
      <c r="M167" s="7">
        <f>MAX(0,MIN(J167,12)-10.0)</f>
        <v/>
      </c>
      <c r="N167" s="7">
        <f>MAX(0,J167-12)</f>
        <v/>
      </c>
      <c r="O167" s="5" t="n"/>
      <c r="P167" s="6">
        <f>E167*(L167+M167*1.5+N167*2+O167*3+N(K167))</f>
        <v/>
      </c>
      <c r="Q167" s="6" t="n">
        <v>651</v>
      </c>
      <c r="R167" s="6">
        <f>Q167-P167</f>
        <v/>
      </c>
    </row>
    <row r="168">
      <c r="P168" s="2" t="inlineStr">
        <is>
          <t>SFXCOORDINATOR LABOR</t>
        </is>
      </c>
      <c r="R168" s="8">
        <f>SUM(R167:R167)</f>
        <v/>
      </c>
    </row>
    <row r="170">
      <c r="B170" s="2" t="inlineStr">
        <is>
          <t>SFXTECHMANDAYS</t>
        </is>
      </c>
    </row>
    <row r="171">
      <c r="A171" s="5" t="inlineStr">
        <is>
          <t>2609</t>
        </is>
      </c>
      <c r="B171" s="5" t="inlineStr"/>
      <c r="C171" s="5" t="inlineStr">
        <is>
          <t>SPFXTECHMANDAYS</t>
        </is>
      </c>
      <c r="D171" s="5" t="inlineStr">
        <is>
          <t>Local44</t>
        </is>
      </c>
      <c r="E171" s="6" t="n">
        <v>40</v>
      </c>
      <c r="F171" s="5" t="n"/>
      <c r="G171" s="5" t="n"/>
      <c r="H171" s="5" t="n"/>
      <c r="I171" s="5" t="n"/>
      <c r="J171" s="7">
        <f>IF(AND(N(F171)&gt;0,N(I171)&gt;0),I171-F171-IF(N(G171)&gt;0,0.5,0)-IF(N(H171)&gt;0,0.5,0),0)</f>
        <v/>
      </c>
      <c r="K171" s="5" t="n"/>
      <c r="L171" s="7">
        <f>MIN(J171,10.0)</f>
        <v/>
      </c>
      <c r="M171" s="7">
        <f>MAX(0,MIN(J171,12)-10.0)</f>
        <v/>
      </c>
      <c r="N171" s="7">
        <f>MAX(0,J171-12)</f>
        <v/>
      </c>
      <c r="O171" s="5" t="n"/>
      <c r="P171" s="6">
        <f>E171*(L171+M171*1.5+N171*2+O171*3+N(K171))</f>
        <v/>
      </c>
      <c r="Q171" s="6" t="n">
        <v>620</v>
      </c>
      <c r="R171" s="6">
        <f>Q171-P171</f>
        <v/>
      </c>
    </row>
    <row r="172">
      <c r="A172" s="5" t="inlineStr">
        <is>
          <t>2609</t>
        </is>
      </c>
      <c r="B172" s="5" t="inlineStr"/>
      <c r="C172" s="5" t="inlineStr">
        <is>
          <t>SPFXASSISTANTMANDAYS</t>
        </is>
      </c>
      <c r="D172" s="5" t="inlineStr">
        <is>
          <t>Local44</t>
        </is>
      </c>
      <c r="E172" s="6" t="n">
        <v>25.5</v>
      </c>
      <c r="F172" s="5" t="n"/>
      <c r="G172" s="5" t="n"/>
      <c r="H172" s="5" t="n"/>
      <c r="I172" s="5" t="n"/>
      <c r="J172" s="7">
        <f>IF(AND(N(F172)&gt;0,N(I172)&gt;0),I172-F172-IF(N(G172)&gt;0,0.5,0)-IF(N(H172)&gt;0,0.5,0),0)</f>
        <v/>
      </c>
      <c r="K172" s="5" t="n"/>
      <c r="L172" s="7">
        <f>MIN(J172,10.0)</f>
        <v/>
      </c>
      <c r="M172" s="7">
        <f>MAX(0,MIN(J172,12)-10.0)</f>
        <v/>
      </c>
      <c r="N172" s="7">
        <f>MAX(0,J172-12)</f>
        <v/>
      </c>
      <c r="O172" s="5" t="n"/>
      <c r="P172" s="6">
        <f>E172*(L172+M172*1.5+N172*2+O172*3+N(K172))</f>
        <v/>
      </c>
      <c r="Q172" s="6" t="n">
        <v>395.25</v>
      </c>
      <c r="R172" s="6">
        <f>Q172-P172</f>
        <v/>
      </c>
    </row>
    <row r="173">
      <c r="A173" s="5" t="inlineStr">
        <is>
          <t>2609</t>
        </is>
      </c>
      <c r="B173" s="5" t="inlineStr"/>
      <c r="C173" s="5" t="inlineStr">
        <is>
          <t>PYROMANDAYS</t>
        </is>
      </c>
      <c r="D173" s="5" t="inlineStr">
        <is>
          <t>Local44</t>
        </is>
      </c>
      <c r="E173" s="6" t="n">
        <v>68.18000000000001</v>
      </c>
      <c r="F173" s="5" t="n"/>
      <c r="G173" s="5" t="n"/>
      <c r="H173" s="5" t="n"/>
      <c r="I173" s="5" t="n"/>
      <c r="J173" s="7">
        <f>IF(AND(N(F173)&gt;0,N(I173)&gt;0),I173-F173-IF(N(G173)&gt;0,0.5,0)-IF(N(H173)&gt;0,0.5,0),0)</f>
        <v/>
      </c>
      <c r="K173" s="5" t="n"/>
      <c r="L173" s="7">
        <f>MIN(J173,10.0)</f>
        <v/>
      </c>
      <c r="M173" s="7">
        <f>MAX(0,MIN(J173,12)-10.0)</f>
        <v/>
      </c>
      <c r="N173" s="7">
        <f>MAX(0,J173-12)</f>
        <v/>
      </c>
      <c r="O173" s="5" t="n"/>
      <c r="P173" s="6">
        <f>E173*(L173+M173*1.5+N173*2+O173*3+N(K173))</f>
        <v/>
      </c>
      <c r="Q173" s="6" t="n">
        <v>749.98</v>
      </c>
      <c r="R173" s="6">
        <f>Q173-P173</f>
        <v/>
      </c>
    </row>
    <row r="174">
      <c r="P174" s="2" t="inlineStr">
        <is>
          <t>SFXTECHMANDAYS LABOR</t>
        </is>
      </c>
      <c r="R174" s="8">
        <f>SUM(R171:R173)</f>
        <v/>
      </c>
    </row>
    <row r="176">
      <c r="B176" s="2" t="inlineStr">
        <is>
          <t>SETDECORATOR</t>
        </is>
      </c>
    </row>
    <row r="177">
      <c r="A177" s="5" t="inlineStr">
        <is>
          <t>2701</t>
        </is>
      </c>
      <c r="B177" s="5" t="inlineStr">
        <is>
          <t>Sandy Skora</t>
        </is>
      </c>
      <c r="C177" s="5" t="inlineStr">
        <is>
          <t>SETDECORATOR</t>
        </is>
      </c>
      <c r="D177" s="5" t="inlineStr">
        <is>
          <t>Local44</t>
        </is>
      </c>
      <c r="E177" s="6" t="n">
        <v>400</v>
      </c>
      <c r="F177" s="5" t="n"/>
      <c r="G177" s="5" t="n"/>
      <c r="H177" s="5" t="n"/>
      <c r="I177" s="5" t="n"/>
      <c r="J177" s="7">
        <f>IF(AND(N(F177)&gt;0,N(I177)&gt;0),I177-F177-IF(N(G177)&gt;0,0.5,0)-IF(N(H177)&gt;0,0.5,0),0)</f>
        <v/>
      </c>
      <c r="K177" s="5" t="n"/>
      <c r="L177" s="7">
        <f>MIN(J177,10.0)</f>
        <v/>
      </c>
      <c r="M177" s="7">
        <f>MAX(0,MIN(J177,12)-10.0)</f>
        <v/>
      </c>
      <c r="N177" s="7">
        <f>MAX(0,J177-12)</f>
        <v/>
      </c>
      <c r="O177" s="5" t="n"/>
      <c r="P177" s="6">
        <f>E177*(L177+M177*1.5+N177*2+O177*3+N(K177))</f>
        <v/>
      </c>
      <c r="Q177" s="6" t="n">
        <v>400</v>
      </c>
      <c r="R177" s="6">
        <f>Q177-P177</f>
        <v/>
      </c>
    </row>
    <row r="178">
      <c r="P178" s="2" t="inlineStr">
        <is>
          <t>SETDECORATOR LABOR</t>
        </is>
      </c>
      <c r="R178" s="8">
        <f>SUM(R177:R177)</f>
        <v/>
      </c>
    </row>
    <row r="180">
      <c r="B180" s="2" t="inlineStr">
        <is>
          <t>LEADPERSON</t>
        </is>
      </c>
    </row>
    <row r="181">
      <c r="A181" s="5" t="inlineStr">
        <is>
          <t>2702</t>
        </is>
      </c>
      <c r="B181" s="5" t="inlineStr">
        <is>
          <t>Josh Richmond</t>
        </is>
      </c>
      <c r="C181" s="5" t="inlineStr">
        <is>
          <t>LEADPERSON</t>
        </is>
      </c>
      <c r="D181" s="5" t="inlineStr">
        <is>
          <t>Local44</t>
        </is>
      </c>
      <c r="E181" s="6" t="n">
        <v>23.04</v>
      </c>
      <c r="F181" s="5" t="n"/>
      <c r="G181" s="5" t="n"/>
      <c r="H181" s="5" t="n"/>
      <c r="I181" s="5" t="n"/>
      <c r="J181" s="7">
        <f>IF(AND(N(F181)&gt;0,N(I181)&gt;0),I181-F181-IF(N(G181)&gt;0,0.5,0)-IF(N(H181)&gt;0,0.5,0),0)</f>
        <v/>
      </c>
      <c r="K181" s="5" t="n"/>
      <c r="L181" s="7">
        <f>MIN(J181,10.0)</f>
        <v/>
      </c>
      <c r="M181" s="7">
        <f>MAX(0,MIN(J181,12)-10.0)</f>
        <v/>
      </c>
      <c r="N181" s="7">
        <f>MAX(0,J181-12)</f>
        <v/>
      </c>
      <c r="O181" s="5" t="n"/>
      <c r="P181" s="6">
        <f>E181*(L181+M181*1.5+N181*2+O181*3+N(K181))</f>
        <v/>
      </c>
      <c r="Q181" s="6" t="n">
        <v>322.56</v>
      </c>
      <c r="R181" s="6">
        <f>Q181-P181</f>
        <v/>
      </c>
    </row>
    <row r="182">
      <c r="P182" s="2" t="inlineStr">
        <is>
          <t>LEADPERSON LABOR</t>
        </is>
      </c>
      <c r="R182" s="8">
        <f>SUM(R181:R181)</f>
        <v/>
      </c>
    </row>
    <row r="184">
      <c r="B184" s="2" t="inlineStr">
        <is>
          <t>SWINGLABOR</t>
        </is>
      </c>
    </row>
    <row r="185">
      <c r="A185" s="5" t="inlineStr">
        <is>
          <t>2703</t>
        </is>
      </c>
      <c r="B185" s="5" t="inlineStr">
        <is>
          <t>Tim Dodge</t>
        </is>
      </c>
      <c r="C185" s="5" t="inlineStr">
        <is>
          <t>SWING#1</t>
        </is>
      </c>
      <c r="D185" s="5" t="inlineStr">
        <is>
          <t>Local44</t>
        </is>
      </c>
      <c r="E185" s="6" t="n">
        <v>20.57</v>
      </c>
      <c r="F185" s="5" t="n"/>
      <c r="G185" s="5" t="n"/>
      <c r="H185" s="5" t="n"/>
      <c r="I185" s="5" t="n"/>
      <c r="J185" s="7">
        <f>IF(AND(N(F185)&gt;0,N(I185)&gt;0),I185-F185-IF(N(G185)&gt;0,0.5,0)-IF(N(H185)&gt;0,0.5,0),0)</f>
        <v/>
      </c>
      <c r="K185" s="5" t="n"/>
      <c r="L185" s="7">
        <f>MIN(J185,10.0)</f>
        <v/>
      </c>
      <c r="M185" s="7">
        <f>MAX(0,MIN(J185,12)-10.0)</f>
        <v/>
      </c>
      <c r="N185" s="7">
        <f>MAX(0,J185-12)</f>
        <v/>
      </c>
      <c r="O185" s="5" t="n"/>
      <c r="P185" s="6">
        <f>E185*(L185+M185*1.5+N185*2+O185*3+N(K185))</f>
        <v/>
      </c>
      <c r="Q185" s="6" t="n">
        <v>287.98</v>
      </c>
      <c r="R185" s="6">
        <f>Q185-P185</f>
        <v/>
      </c>
    </row>
    <row r="186">
      <c r="A186" s="5" t="inlineStr">
        <is>
          <t>2703</t>
        </is>
      </c>
      <c r="B186" s="5" t="inlineStr"/>
      <c r="C186" s="5" t="inlineStr">
        <is>
          <t>SWING#2</t>
        </is>
      </c>
      <c r="D186" s="5" t="inlineStr">
        <is>
          <t>Local44</t>
        </is>
      </c>
      <c r="E186" s="6" t="n">
        <v>20.57</v>
      </c>
      <c r="F186" s="5" t="n"/>
      <c r="G186" s="5" t="n"/>
      <c r="H186" s="5" t="n"/>
      <c r="I186" s="5" t="n"/>
      <c r="J186" s="7">
        <f>IF(AND(N(F186)&gt;0,N(I186)&gt;0),I186-F186-IF(N(G186)&gt;0,0.5,0)-IF(N(H186)&gt;0,0.5,0),0)</f>
        <v/>
      </c>
      <c r="K186" s="5" t="n"/>
      <c r="L186" s="7">
        <f>MIN(J186,10.0)</f>
        <v/>
      </c>
      <c r="M186" s="7">
        <f>MAX(0,MIN(J186,12)-10.0)</f>
        <v/>
      </c>
      <c r="N186" s="7">
        <f>MAX(0,J186-12)</f>
        <v/>
      </c>
      <c r="O186" s="5" t="n"/>
      <c r="P186" s="6">
        <f>E186*(L186+M186*1.5+N186*2+O186*3+N(K186))</f>
        <v/>
      </c>
      <c r="Q186" s="6" t="n">
        <v>287.98</v>
      </c>
      <c r="R186" s="6">
        <f>Q186-P186</f>
        <v/>
      </c>
    </row>
    <row r="187">
      <c r="A187" s="5" t="inlineStr">
        <is>
          <t>2703</t>
        </is>
      </c>
      <c r="B187" s="5" t="inlineStr"/>
      <c r="C187" s="5" t="inlineStr">
        <is>
          <t>ADDITIONALSWINGMANDAYS</t>
        </is>
      </c>
      <c r="D187" s="5" t="inlineStr">
        <is>
          <t>Local44</t>
        </is>
      </c>
      <c r="E187" s="6" t="n">
        <v>20.57</v>
      </c>
      <c r="F187" s="5" t="n"/>
      <c r="G187" s="5" t="n"/>
      <c r="H187" s="5" t="n"/>
      <c r="I187" s="5" t="n"/>
      <c r="J187" s="7">
        <f>IF(AND(N(F187)&gt;0,N(I187)&gt;0),I187-F187-IF(N(G187)&gt;0,0.5,0)-IF(N(H187)&gt;0,0.5,0),0)</f>
        <v/>
      </c>
      <c r="K187" s="5" t="n"/>
      <c r="L187" s="7">
        <f>MIN(J187,10.0)</f>
        <v/>
      </c>
      <c r="M187" s="7">
        <f>MAX(0,MIN(J187,12)-10.0)</f>
        <v/>
      </c>
      <c r="N187" s="7">
        <f>MAX(0,J187-12)</f>
        <v/>
      </c>
      <c r="O187" s="5" t="n"/>
      <c r="P187" s="6">
        <f>E187*(L187+M187*1.5+N187*2+O187*3+N(K187))</f>
        <v/>
      </c>
      <c r="Q187" s="6" t="n">
        <v>287.98</v>
      </c>
      <c r="R187" s="6">
        <f>Q187-P187</f>
        <v/>
      </c>
    </row>
    <row r="188">
      <c r="P188" s="2" t="inlineStr">
        <is>
          <t>SWINGLABOR LABOR</t>
        </is>
      </c>
      <c r="R188" s="8">
        <f>SUM(R185:R187)</f>
        <v/>
      </c>
    </row>
    <row r="190">
      <c r="B190" s="2" t="inlineStr">
        <is>
          <t>ON-SETDRESSER</t>
        </is>
      </c>
    </row>
    <row r="191">
      <c r="A191" s="5" t="inlineStr">
        <is>
          <t>2705</t>
        </is>
      </c>
      <c r="B191" s="5" t="inlineStr">
        <is>
          <t>Khamisi Thurman</t>
        </is>
      </c>
      <c r="C191" s="5" t="inlineStr">
        <is>
          <t>ON-SETDRESSER</t>
        </is>
      </c>
      <c r="D191" s="5" t="inlineStr">
        <is>
          <t>Local44</t>
        </is>
      </c>
      <c r="E191" s="6" t="n">
        <v>20.57</v>
      </c>
      <c r="F191" s="5" t="n"/>
      <c r="G191" s="5" t="n"/>
      <c r="H191" s="5" t="n"/>
      <c r="I191" s="5" t="n"/>
      <c r="J191" s="7">
        <f>IF(AND(N(F191)&gt;0,N(I191)&gt;0),I191-F191-IF(N(G191)&gt;0,0.5,0)-IF(N(H191)&gt;0,0.5,0),0)</f>
        <v/>
      </c>
      <c r="K191" s="5" t="n"/>
      <c r="L191" s="7">
        <f>MIN(J191,10.0)</f>
        <v/>
      </c>
      <c r="M191" s="7">
        <f>MAX(0,MIN(J191,12)-10.0)</f>
        <v/>
      </c>
      <c r="N191" s="7">
        <f>MAX(0,J191-12)</f>
        <v/>
      </c>
      <c r="O191" s="5" t="n"/>
      <c r="P191" s="6">
        <f>E191*(L191+M191*1.5+N191*2+O191*3+N(K191))</f>
        <v/>
      </c>
      <c r="Q191" s="6" t="n">
        <v>318.83</v>
      </c>
      <c r="R191" s="6">
        <f>Q191-P191</f>
        <v/>
      </c>
    </row>
    <row r="192">
      <c r="P192" s="2" t="inlineStr">
        <is>
          <t>ON-SETDRESSER LABOR</t>
        </is>
      </c>
      <c r="R192" s="8">
        <f>SUM(R191:R191)</f>
        <v/>
      </c>
    </row>
    <row r="194">
      <c r="B194" s="2" t="inlineStr">
        <is>
          <t>BUYERS</t>
        </is>
      </c>
    </row>
    <row r="195">
      <c r="A195" s="5" t="inlineStr">
        <is>
          <t>2706</t>
        </is>
      </c>
      <c r="B195" s="5" t="inlineStr">
        <is>
          <t>Sarah Hickman</t>
        </is>
      </c>
      <c r="C195" s="5" t="inlineStr">
        <is>
          <t>BUYER</t>
        </is>
      </c>
      <c r="D195" s="5" t="inlineStr">
        <is>
          <t>Local44</t>
        </is>
      </c>
      <c r="E195" s="6" t="n">
        <v>23.04</v>
      </c>
      <c r="F195" s="5" t="n"/>
      <c r="G195" s="5" t="n"/>
      <c r="H195" s="5" t="n"/>
      <c r="I195" s="5" t="n"/>
      <c r="J195" s="7">
        <f>IF(AND(N(F195)&gt;0,N(I195)&gt;0),I195-F195-IF(N(G195)&gt;0,0.5,0)-IF(N(H195)&gt;0,0.5,0),0)</f>
        <v/>
      </c>
      <c r="K195" s="5" t="n"/>
      <c r="L195" s="7">
        <f>MIN(J195,10.0)</f>
        <v/>
      </c>
      <c r="M195" s="7">
        <f>MAX(0,MIN(J195,12)-10.0)</f>
        <v/>
      </c>
      <c r="N195" s="7">
        <f>MAX(0,J195-12)</f>
        <v/>
      </c>
      <c r="O195" s="5" t="n"/>
      <c r="P195" s="6">
        <f>E195*(L195+M195*1.5+N195*2+O195*3+N(K195))</f>
        <v/>
      </c>
      <c r="Q195" s="5" t="n"/>
      <c r="R195" s="6">
        <f>Q195-P195</f>
        <v/>
      </c>
    </row>
    <row r="196">
      <c r="P196" s="2" t="inlineStr">
        <is>
          <t>BUYERS LABOR</t>
        </is>
      </c>
      <c r="R196" s="8">
        <f>SUM(R195:R195)</f>
        <v/>
      </c>
    </row>
    <row r="198">
      <c r="B198" s="2" t="inlineStr">
        <is>
          <t>PROPMASTER</t>
        </is>
      </c>
    </row>
    <row r="199">
      <c r="A199" s="5" t="inlineStr">
        <is>
          <t>2801</t>
        </is>
      </c>
      <c r="B199" s="5" t="inlineStr">
        <is>
          <t>Annie Brandt</t>
        </is>
      </c>
      <c r="C199" s="5" t="inlineStr">
        <is>
          <t>PROPMASTER</t>
        </is>
      </c>
      <c r="D199" s="5" t="inlineStr">
        <is>
          <t>Local44</t>
        </is>
      </c>
      <c r="E199" s="6" t="n">
        <v>25.5</v>
      </c>
      <c r="F199" s="5" t="n"/>
      <c r="G199" s="5" t="n"/>
      <c r="H199" s="5" t="n"/>
      <c r="I199" s="5" t="n"/>
      <c r="J199" s="7">
        <f>IF(AND(N(F199)&gt;0,N(I199)&gt;0),I199-F199-IF(N(G199)&gt;0,0.5,0)-IF(N(H199)&gt;0,0.5,0),0)</f>
        <v/>
      </c>
      <c r="K199" s="5" t="n"/>
      <c r="L199" s="7">
        <f>MIN(J199,10.0)</f>
        <v/>
      </c>
      <c r="M199" s="7">
        <f>MAX(0,MIN(J199,12)-10.0)</f>
        <v/>
      </c>
      <c r="N199" s="7">
        <f>MAX(0,J199-12)</f>
        <v/>
      </c>
      <c r="O199" s="5" t="n"/>
      <c r="P199" s="6">
        <f>E199*(L199+M199*1.5+N199*2+O199*3+N(K199))</f>
        <v/>
      </c>
      <c r="Q199" s="6" t="n">
        <v>395.25</v>
      </c>
      <c r="R199" s="6">
        <f>Q199-P199</f>
        <v/>
      </c>
    </row>
    <row r="200">
      <c r="P200" s="2" t="inlineStr">
        <is>
          <t>PROPMASTER LABOR</t>
        </is>
      </c>
      <c r="R200" s="8">
        <f>SUM(R199:R199)</f>
        <v/>
      </c>
    </row>
    <row r="202">
      <c r="B202" s="2" t="inlineStr">
        <is>
          <t>ASSTPROPMASTER</t>
        </is>
      </c>
    </row>
    <row r="203">
      <c r="A203" s="5" t="inlineStr">
        <is>
          <t>2802</t>
        </is>
      </c>
      <c r="B203" s="5" t="inlineStr">
        <is>
          <t>Nate Bakes</t>
        </is>
      </c>
      <c r="C203" s="5" t="inlineStr">
        <is>
          <t>ASSTPROPMASTER</t>
        </is>
      </c>
      <c r="D203" s="5" t="inlineStr">
        <is>
          <t>Local44</t>
        </is>
      </c>
      <c r="E203" s="6" t="n">
        <v>23.04</v>
      </c>
      <c r="F203" s="5" t="n"/>
      <c r="G203" s="5" t="n"/>
      <c r="H203" s="5" t="n"/>
      <c r="I203" s="5" t="n"/>
      <c r="J203" s="7">
        <f>IF(AND(N(F203)&gt;0,N(I203)&gt;0),I203-F203-IF(N(G203)&gt;0,0.5,0)-IF(N(H203)&gt;0,0.5,0),0)</f>
        <v/>
      </c>
      <c r="K203" s="5" t="n"/>
      <c r="L203" s="7">
        <f>MIN(J203,10.0)</f>
        <v/>
      </c>
      <c r="M203" s="7">
        <f>MAX(0,MIN(J203,12)-10.0)</f>
        <v/>
      </c>
      <c r="N203" s="7">
        <f>MAX(0,J203-12)</f>
        <v/>
      </c>
      <c r="O203" s="5" t="n"/>
      <c r="P203" s="6">
        <f>E203*(L203+M203*1.5+N203*2+O203*3+N(K203))</f>
        <v/>
      </c>
      <c r="Q203" s="6" t="n">
        <v>357.12</v>
      </c>
      <c r="R203" s="6">
        <f>Q203-P203</f>
        <v/>
      </c>
    </row>
    <row r="204">
      <c r="P204" s="2" t="inlineStr">
        <is>
          <t>ASSTPROPMASTER LABOR</t>
        </is>
      </c>
      <c r="R204" s="8">
        <f>SUM(R203:R203)</f>
        <v/>
      </c>
    </row>
    <row r="206">
      <c r="B206" s="2" t="inlineStr">
        <is>
          <t>COSTUMEDESIGNER</t>
        </is>
      </c>
    </row>
    <row r="207">
      <c r="A207" s="5" t="inlineStr">
        <is>
          <t>2901</t>
        </is>
      </c>
      <c r="B207" s="5" t="inlineStr">
        <is>
          <t>Megan Spatz</t>
        </is>
      </c>
      <c r="C207" s="5" t="inlineStr">
        <is>
          <t>COSTUMEDESIGNER</t>
        </is>
      </c>
      <c r="D207" s="5" t="inlineStr">
        <is>
          <t>Local892</t>
        </is>
      </c>
      <c r="E207" s="6" t="n">
        <v>540</v>
      </c>
      <c r="F207" s="5" t="n"/>
      <c r="G207" s="5" t="n"/>
      <c r="H207" s="5" t="n"/>
      <c r="I207" s="5" t="n"/>
      <c r="J207" s="7">
        <f>IF(AND(N(F207)&gt;0,N(I207)&gt;0),I207-F207-IF(N(G207)&gt;0,0.5,0)-IF(N(H207)&gt;0,0.5,0),0)</f>
        <v/>
      </c>
      <c r="K207" s="5" t="n"/>
      <c r="L207" s="7">
        <f>MIN(J207,8.0)</f>
        <v/>
      </c>
      <c r="M207" s="7">
        <f>MAX(0,MIN(J207,12)-8.0)</f>
        <v/>
      </c>
      <c r="N207" s="7">
        <f>MAX(0,J207-12)</f>
        <v/>
      </c>
      <c r="O207" s="5" t="n"/>
      <c r="P207" s="6">
        <f>E207*(L207+M207*1.5+N207*2+O207*3+N(K207))</f>
        <v/>
      </c>
      <c r="Q207" s="6" t="n">
        <v>540</v>
      </c>
      <c r="R207" s="6">
        <f>Q207-P207</f>
        <v/>
      </c>
    </row>
    <row r="208">
      <c r="P208" s="2" t="inlineStr">
        <is>
          <t>COSTUMEDESIGNER LABOR</t>
        </is>
      </c>
      <c r="R208" s="8">
        <f>SUM(R207:R207)</f>
        <v/>
      </c>
    </row>
    <row r="210">
      <c r="B210" s="2" t="inlineStr">
        <is>
          <t>COSTUMESUPERVISOR</t>
        </is>
      </c>
    </row>
    <row r="211">
      <c r="A211" s="5" t="inlineStr">
        <is>
          <t>2903</t>
        </is>
      </c>
      <c r="B211" s="5" t="inlineStr">
        <is>
          <t>Danielle Schuck</t>
        </is>
      </c>
      <c r="C211" s="5" t="inlineStr">
        <is>
          <t>COSTUMESUPERVISOR</t>
        </is>
      </c>
      <c r="D211" s="5" t="inlineStr">
        <is>
          <t>Local705</t>
        </is>
      </c>
      <c r="E211" s="6" t="n">
        <v>25.5</v>
      </c>
      <c r="F211" s="5" t="n"/>
      <c r="G211" s="5" t="n"/>
      <c r="H211" s="5" t="n"/>
      <c r="I211" s="5" t="n"/>
      <c r="J211" s="7">
        <f>IF(AND(N(F211)&gt;0,N(I211)&gt;0),I211-F211-IF(N(G211)&gt;0,0.5,0)-IF(N(H211)&gt;0,0.5,0),0)</f>
        <v/>
      </c>
      <c r="K211" s="5" t="n"/>
      <c r="L211" s="7">
        <f>MIN(J211,8.0)</f>
        <v/>
      </c>
      <c r="M211" s="7">
        <f>MAX(0,MIN(J211,12)-8.0)</f>
        <v/>
      </c>
      <c r="N211" s="7">
        <f>MAX(0,J211-12)</f>
        <v/>
      </c>
      <c r="O211" s="5" t="n"/>
      <c r="P211" s="6">
        <f>E211*(L211+M211*1.5+N211*2+O211*3+N(K211))</f>
        <v/>
      </c>
      <c r="Q211" s="6" t="n">
        <v>395.25</v>
      </c>
      <c r="R211" s="6">
        <f>Q211-P211</f>
        <v/>
      </c>
    </row>
    <row r="212">
      <c r="P212" s="2" t="inlineStr">
        <is>
          <t>COSTUMESUPERVISOR LABOR</t>
        </is>
      </c>
      <c r="R212" s="8">
        <f>SUM(R211:R211)</f>
        <v/>
      </c>
    </row>
    <row r="214">
      <c r="B214" s="2" t="inlineStr">
        <is>
          <t>SETCOSTUMERS</t>
        </is>
      </c>
    </row>
    <row r="215">
      <c r="A215" s="5" t="inlineStr">
        <is>
          <t>2905</t>
        </is>
      </c>
      <c r="B215" s="5" t="inlineStr">
        <is>
          <t>Monavie Tutop</t>
        </is>
      </c>
      <c r="C215" s="5" t="inlineStr">
        <is>
          <t>COSTUMER#1</t>
        </is>
      </c>
      <c r="D215" s="5" t="inlineStr">
        <is>
          <t>Local705</t>
        </is>
      </c>
      <c r="E215" s="6" t="n">
        <v>23.04</v>
      </c>
      <c r="F215" s="5" t="n"/>
      <c r="G215" s="5" t="n"/>
      <c r="H215" s="5" t="n"/>
      <c r="I215" s="5" t="n"/>
      <c r="J215" s="7">
        <f>IF(AND(N(F215)&gt;0,N(I215)&gt;0),I215-F215-IF(N(G215)&gt;0,0.5,0)-IF(N(H215)&gt;0,0.5,0),0)</f>
        <v/>
      </c>
      <c r="K215" s="5" t="n"/>
      <c r="L215" s="7">
        <f>MIN(J215,8.0)</f>
        <v/>
      </c>
      <c r="M215" s="7">
        <f>MAX(0,MIN(J215,12)-8.0)</f>
        <v/>
      </c>
      <c r="N215" s="7">
        <f>MAX(0,J215-12)</f>
        <v/>
      </c>
      <c r="O215" s="5" t="n"/>
      <c r="P215" s="6">
        <f>E215*(L215+M215*1.5+N215*2+O215*3+N(K215))</f>
        <v/>
      </c>
      <c r="Q215" s="6" t="n">
        <v>397.43</v>
      </c>
      <c r="R215" s="6">
        <f>Q215-P215</f>
        <v/>
      </c>
    </row>
    <row r="216">
      <c r="A216" s="5" t="inlineStr">
        <is>
          <t>2905</t>
        </is>
      </c>
      <c r="B216" s="5" t="inlineStr"/>
      <c r="C216" s="5" t="inlineStr">
        <is>
          <t>COSTUMER#2</t>
        </is>
      </c>
      <c r="D216" s="5" t="inlineStr">
        <is>
          <t>Local705</t>
        </is>
      </c>
      <c r="E216" s="6" t="n">
        <v>20.57</v>
      </c>
      <c r="F216" s="5" t="n"/>
      <c r="G216" s="5" t="n"/>
      <c r="H216" s="5" t="n"/>
      <c r="I216" s="5" t="n"/>
      <c r="J216" s="7">
        <f>IF(AND(N(F216)&gt;0,N(I216)&gt;0),I216-F216-IF(N(G216)&gt;0,0.5,0)-IF(N(H216)&gt;0,0.5,0),0)</f>
        <v/>
      </c>
      <c r="K216" s="5" t="n"/>
      <c r="L216" s="7">
        <f>MIN(J216,8.0)</f>
        <v/>
      </c>
      <c r="M216" s="7">
        <f>MAX(0,MIN(J216,12)-8.0)</f>
        <v/>
      </c>
      <c r="N216" s="7">
        <f>MAX(0,J216-12)</f>
        <v/>
      </c>
      <c r="O216" s="5" t="n"/>
      <c r="P216" s="6">
        <f>E216*(L216+M216*1.5+N216*2+O216*3+N(K216))</f>
        <v/>
      </c>
      <c r="Q216" s="6" t="n">
        <v>354.83</v>
      </c>
      <c r="R216" s="6">
        <f>Q216-P216</f>
        <v/>
      </c>
    </row>
    <row r="217">
      <c r="P217" s="2" t="inlineStr">
        <is>
          <t>SETCOSTUMERS LABOR</t>
        </is>
      </c>
      <c r="R217" s="8">
        <f>SUM(R215:R216)</f>
        <v/>
      </c>
    </row>
    <row r="219">
      <c r="B219" s="2" t="inlineStr">
        <is>
          <t>KEYMAKE-UP</t>
        </is>
      </c>
    </row>
    <row r="220">
      <c r="A220" s="5" t="inlineStr">
        <is>
          <t>3101</t>
        </is>
      </c>
      <c r="B220" s="5" t="inlineStr">
        <is>
          <t>Eleanor Sabaduquia</t>
        </is>
      </c>
      <c r="C220" s="5" t="inlineStr">
        <is>
          <t>KEYMAKEUPARTIST</t>
        </is>
      </c>
      <c r="D220" s="5" t="inlineStr">
        <is>
          <t>Local706</t>
        </is>
      </c>
      <c r="E220" s="6" t="n">
        <v>25.5</v>
      </c>
      <c r="F220" s="5" t="n"/>
      <c r="G220" s="5" t="n"/>
      <c r="H220" s="5" t="n"/>
      <c r="I220" s="5" t="n"/>
      <c r="J220" s="7">
        <f>IF(AND(N(F220)&gt;0,N(I220)&gt;0),I220-F220-IF(N(G220)&gt;0,0.5,0)-IF(N(H220)&gt;0,0.5,0),0)</f>
        <v/>
      </c>
      <c r="K220" s="5" t="n"/>
      <c r="L220" s="7">
        <f>MIN(J220,10.0)</f>
        <v/>
      </c>
      <c r="M220" s="7">
        <f>MAX(0,MIN(J220,12)-10.0)</f>
        <v/>
      </c>
      <c r="N220" s="7">
        <f>MAX(0,J220-12)</f>
        <v/>
      </c>
      <c r="O220" s="5" t="n"/>
      <c r="P220" s="6">
        <f>E220*(L220+M220*1.5+N220*2+O220*3+N(K220))</f>
        <v/>
      </c>
      <c r="Q220" s="6" t="n">
        <v>439.87</v>
      </c>
      <c r="R220" s="6">
        <f>Q220-P220</f>
        <v/>
      </c>
    </row>
    <row r="221">
      <c r="P221" s="2" t="inlineStr">
        <is>
          <t>KEYMAKE-UP LABOR</t>
        </is>
      </c>
      <c r="R221" s="8">
        <f>SUM(R220:R220)</f>
        <v/>
      </c>
    </row>
    <row r="223">
      <c r="B223" s="2" t="inlineStr">
        <is>
          <t>ASSTMAKE-UP</t>
        </is>
      </c>
    </row>
    <row r="224">
      <c r="A224" s="5" t="inlineStr">
        <is>
          <t>3102</t>
        </is>
      </c>
      <c r="B224" s="5" t="inlineStr">
        <is>
          <t>Yoko Nobushi</t>
        </is>
      </c>
      <c r="C224" s="5" t="inlineStr">
        <is>
          <t>ASSTMAKEUPARTIST#1</t>
        </is>
      </c>
      <c r="D224" s="5" t="inlineStr">
        <is>
          <t>Local706</t>
        </is>
      </c>
      <c r="E224" s="6" t="n">
        <v>23.04</v>
      </c>
      <c r="F224" s="5" t="n"/>
      <c r="G224" s="5" t="n"/>
      <c r="H224" s="5" t="n"/>
      <c r="I224" s="5" t="n"/>
      <c r="J224" s="7">
        <f>IF(AND(N(F224)&gt;0,N(I224)&gt;0),I224-F224-IF(N(G224)&gt;0,0.5,0)-IF(N(H224)&gt;0,0.5,0),0)</f>
        <v/>
      </c>
      <c r="K224" s="5" t="n"/>
      <c r="L224" s="7">
        <f>MIN(J224,10.0)</f>
        <v/>
      </c>
      <c r="M224" s="7">
        <f>MAX(0,MIN(J224,12)-10.0)</f>
        <v/>
      </c>
      <c r="N224" s="7">
        <f>MAX(0,J224-12)</f>
        <v/>
      </c>
      <c r="O224" s="5" t="n"/>
      <c r="P224" s="6">
        <f>E224*(L224+M224*1.5+N224*2+O224*3+N(K224))</f>
        <v/>
      </c>
      <c r="Q224" s="6" t="n">
        <v>397.43</v>
      </c>
      <c r="R224" s="6">
        <f>Q224-P224</f>
        <v/>
      </c>
    </row>
    <row r="225">
      <c r="P225" s="2" t="inlineStr">
        <is>
          <t>ASSTMAKE-UP LABOR</t>
        </is>
      </c>
      <c r="R225" s="8">
        <f>SUM(R224:R224)</f>
        <v/>
      </c>
    </row>
    <row r="227">
      <c r="B227" s="2" t="inlineStr">
        <is>
          <t>ADDITIONALMAKE-UPLABOR</t>
        </is>
      </c>
    </row>
    <row r="228">
      <c r="A228" s="5" t="inlineStr">
        <is>
          <t>3103</t>
        </is>
      </c>
      <c r="B228" s="5" t="inlineStr"/>
      <c r="C228" s="5" t="inlineStr">
        <is>
          <t>ADDLMAKEUPARTISTDAYS</t>
        </is>
      </c>
      <c r="D228" s="5" t="inlineStr">
        <is>
          <t>Local706</t>
        </is>
      </c>
      <c r="E228" s="6" t="n">
        <v>23.04</v>
      </c>
      <c r="F228" s="5" t="n"/>
      <c r="G228" s="5" t="n"/>
      <c r="H228" s="5" t="n"/>
      <c r="I228" s="5" t="n"/>
      <c r="J228" s="7">
        <f>IF(AND(N(F228)&gt;0,N(I228)&gt;0),I228-F228-IF(N(G228)&gt;0,0.5,0)-IF(N(H228)&gt;0,0.5,0),0)</f>
        <v/>
      </c>
      <c r="K228" s="5" t="n"/>
      <c r="L228" s="7">
        <f>MIN(J228,10.0)</f>
        <v/>
      </c>
      <c r="M228" s="7">
        <f>MAX(0,MIN(J228,12)-10.0)</f>
        <v/>
      </c>
      <c r="N228" s="7">
        <f>MAX(0,J228-12)</f>
        <v/>
      </c>
      <c r="O228" s="5" t="n"/>
      <c r="P228" s="6">
        <f>E228*(L228+M228*1.5+N228*2+O228*3+N(K228))</f>
        <v/>
      </c>
      <c r="Q228" s="6" t="n">
        <v>397.43</v>
      </c>
      <c r="R228" s="6">
        <f>Q228-P228</f>
        <v/>
      </c>
    </row>
    <row r="229">
      <c r="P229" s="2" t="inlineStr">
        <is>
          <t>ADDITIONALMAKE-UPLABOR LABOR</t>
        </is>
      </c>
      <c r="R229" s="8">
        <f>SUM(R228:R228)</f>
        <v/>
      </c>
    </row>
    <row r="231">
      <c r="B231" s="2" t="inlineStr">
        <is>
          <t>PROSTHETICS</t>
        </is>
      </c>
    </row>
    <row r="232">
      <c r="A232" s="5" t="inlineStr">
        <is>
          <t>3105</t>
        </is>
      </c>
      <c r="B232" s="5" t="inlineStr"/>
      <c r="C232" s="5" t="inlineStr">
        <is>
          <t>PROSTHETICMAKEUPARTIST</t>
        </is>
      </c>
      <c r="D232" s="5" t="inlineStr">
        <is>
          <t>Local706</t>
        </is>
      </c>
      <c r="E232" s="6" t="n">
        <v>25.5</v>
      </c>
      <c r="F232" s="5" t="n"/>
      <c r="G232" s="5" t="n"/>
      <c r="H232" s="5" t="n"/>
      <c r="I232" s="5" t="n"/>
      <c r="J232" s="7">
        <f>IF(AND(N(F232)&gt;0,N(I232)&gt;0),I232-F232-IF(N(G232)&gt;0,0.5,0)-IF(N(H232)&gt;0,0.5,0),0)</f>
        <v/>
      </c>
      <c r="K232" s="5" t="n"/>
      <c r="L232" s="7">
        <f>MIN(J232,10.0)</f>
        <v/>
      </c>
      <c r="M232" s="7">
        <f>MAX(0,MIN(J232,12)-10.0)</f>
        <v/>
      </c>
      <c r="N232" s="7">
        <f>MAX(0,J232-12)</f>
        <v/>
      </c>
      <c r="O232" s="5" t="n"/>
      <c r="P232" s="6">
        <f>E232*(L232+M232*1.5+N232*2+O232*3+N(K232))</f>
        <v/>
      </c>
      <c r="Q232" s="6" t="n">
        <v>439.87</v>
      </c>
      <c r="R232" s="6">
        <f>Q232-P232</f>
        <v/>
      </c>
    </row>
    <row r="233">
      <c r="A233" s="5" t="inlineStr">
        <is>
          <t>3105</t>
        </is>
      </c>
      <c r="B233" s="5" t="inlineStr"/>
      <c r="C233" s="5" t="inlineStr">
        <is>
          <t>LENSCONSULTANT</t>
        </is>
      </c>
      <c r="D233" s="5" t="inlineStr"/>
      <c r="E233" s="6" t="n">
        <v>50</v>
      </c>
      <c r="F233" s="5" t="n"/>
      <c r="G233" s="5" t="n"/>
      <c r="H233" s="5" t="n"/>
      <c r="I233" s="5" t="n"/>
      <c r="J233" s="7">
        <f>IF(AND(N(F233)&gt;0,N(I233)&gt;0),I233-F233-IF(N(G233)&gt;0,0.5,0)-IF(N(H233)&gt;0,0.5,0),0)</f>
        <v/>
      </c>
      <c r="K233" s="5" t="n"/>
      <c r="L233" s="7">
        <f>MIN(J233,8.0)</f>
        <v/>
      </c>
      <c r="M233" s="7">
        <f>MAX(0,MIN(J233,12)-8.0)</f>
        <v/>
      </c>
      <c r="N233" s="7">
        <f>MAX(0,J233-12)</f>
        <v/>
      </c>
      <c r="O233" s="5" t="n"/>
      <c r="P233" s="6">
        <f>E233*(L233+M233*1.5+N233*2+O233*3+N(K233))</f>
        <v/>
      </c>
      <c r="Q233" s="6" t="n">
        <v>862.53</v>
      </c>
      <c r="R233" s="6">
        <f>Q233-P233</f>
        <v/>
      </c>
    </row>
    <row r="234">
      <c r="P234" s="2" t="inlineStr">
        <is>
          <t>PROSTHETICS LABOR</t>
        </is>
      </c>
      <c r="R234" s="8">
        <f>SUM(R232:R233)</f>
        <v/>
      </c>
    </row>
    <row r="236">
      <c r="B236" s="2" t="inlineStr">
        <is>
          <t>KEYHAIR</t>
        </is>
      </c>
    </row>
    <row r="237">
      <c r="A237" s="5" t="inlineStr">
        <is>
          <t>3111</t>
        </is>
      </c>
      <c r="B237" s="5" t="inlineStr">
        <is>
          <t>Traci Smithe</t>
        </is>
      </c>
      <c r="C237" s="5" t="inlineStr">
        <is>
          <t>KEYHAIR</t>
        </is>
      </c>
      <c r="D237" s="5" t="inlineStr">
        <is>
          <t>Local706</t>
        </is>
      </c>
      <c r="E237" s="6" t="n">
        <v>25.5</v>
      </c>
      <c r="F237" s="5" t="n"/>
      <c r="G237" s="5" t="n"/>
      <c r="H237" s="5" t="n"/>
      <c r="I237" s="5" t="n"/>
      <c r="J237" s="7">
        <f>IF(AND(N(F237)&gt;0,N(I237)&gt;0),I237-F237-IF(N(G237)&gt;0,0.5,0)-IF(N(H237)&gt;0,0.5,0),0)</f>
        <v/>
      </c>
      <c r="K237" s="5" t="n"/>
      <c r="L237" s="7">
        <f>MIN(J237,10.0)</f>
        <v/>
      </c>
      <c r="M237" s="7">
        <f>MAX(0,MIN(J237,12)-10.0)</f>
        <v/>
      </c>
      <c r="N237" s="7">
        <f>MAX(0,J237-12)</f>
        <v/>
      </c>
      <c r="O237" s="5" t="n"/>
      <c r="P237" s="6">
        <f>E237*(L237+M237*1.5+N237*2+O237*3+N(K237))</f>
        <v/>
      </c>
      <c r="Q237" s="6" t="n">
        <v>439.87</v>
      </c>
      <c r="R237" s="6">
        <f>Q237-P237</f>
        <v/>
      </c>
    </row>
    <row r="238">
      <c r="P238" s="2" t="inlineStr">
        <is>
          <t>KEYHAIR LABOR</t>
        </is>
      </c>
      <c r="R238" s="8">
        <f>SUM(R237:R237)</f>
        <v/>
      </c>
    </row>
    <row r="240">
      <c r="B240" s="2" t="inlineStr">
        <is>
          <t>ASSTHAIR</t>
        </is>
      </c>
    </row>
    <row r="241">
      <c r="A241" s="5" t="inlineStr">
        <is>
          <t>3112</t>
        </is>
      </c>
      <c r="B241" s="5" t="inlineStr">
        <is>
          <t>Yunea Cruz</t>
        </is>
      </c>
      <c r="C241" s="5" t="inlineStr">
        <is>
          <t>ASSTHAIRSTYLIST#1</t>
        </is>
      </c>
      <c r="D241" s="5" t="inlineStr">
        <is>
          <t>Local706</t>
        </is>
      </c>
      <c r="E241" s="6" t="n">
        <v>23.04</v>
      </c>
      <c r="F241" s="5" t="n"/>
      <c r="G241" s="5" t="n"/>
      <c r="H241" s="5" t="n"/>
      <c r="I241" s="5" t="n"/>
      <c r="J241" s="7">
        <f>IF(AND(N(F241)&gt;0,N(I241)&gt;0),I241-F241-IF(N(G241)&gt;0,0.5,0)-IF(N(H241)&gt;0,0.5,0),0)</f>
        <v/>
      </c>
      <c r="K241" s="5" t="n"/>
      <c r="L241" s="7">
        <f>MIN(J241,10.0)</f>
        <v/>
      </c>
      <c r="M241" s="7">
        <f>MAX(0,MIN(J241,12)-10.0)</f>
        <v/>
      </c>
      <c r="N241" s="7">
        <f>MAX(0,J241-12)</f>
        <v/>
      </c>
      <c r="O241" s="5" t="n"/>
      <c r="P241" s="6">
        <f>E241*(L241+M241*1.5+N241*2+O241*3+N(K241))</f>
        <v/>
      </c>
      <c r="Q241" s="6" t="n">
        <v>397.43</v>
      </c>
      <c r="R241" s="6">
        <f>Q241-P241</f>
        <v/>
      </c>
    </row>
    <row r="242">
      <c r="P242" s="2" t="inlineStr">
        <is>
          <t>ASSTHAIR LABOR</t>
        </is>
      </c>
      <c r="R242" s="8">
        <f>SUM(R241:R241)</f>
        <v/>
      </c>
    </row>
    <row r="244">
      <c r="B244" s="2" t="inlineStr">
        <is>
          <t>ADDITIONALHAIRLABOR</t>
        </is>
      </c>
    </row>
    <row r="245">
      <c r="A245" s="5" t="inlineStr">
        <is>
          <t>3113</t>
        </is>
      </c>
      <c r="B245" s="5" t="inlineStr"/>
      <c r="C245" s="5" t="inlineStr">
        <is>
          <t>ADDLHAIRSTYLISTDAYS</t>
        </is>
      </c>
      <c r="D245" s="5" t="inlineStr">
        <is>
          <t>Local706</t>
        </is>
      </c>
      <c r="E245" s="6" t="n">
        <v>23.04</v>
      </c>
      <c r="F245" s="5" t="n"/>
      <c r="G245" s="5" t="n"/>
      <c r="H245" s="5" t="n"/>
      <c r="I245" s="5" t="n"/>
      <c r="J245" s="7">
        <f>IF(AND(N(F245)&gt;0,N(I245)&gt;0),I245-F245-IF(N(G245)&gt;0,0.5,0)-IF(N(H245)&gt;0,0.5,0),0)</f>
        <v/>
      </c>
      <c r="K245" s="5" t="n"/>
      <c r="L245" s="7">
        <f>MIN(J245,10.0)</f>
        <v/>
      </c>
      <c r="M245" s="7">
        <f>MAX(0,MIN(J245,12)-10.0)</f>
        <v/>
      </c>
      <c r="N245" s="7">
        <f>MAX(0,J245-12)</f>
        <v/>
      </c>
      <c r="O245" s="5" t="n"/>
      <c r="P245" s="6">
        <f>E245*(L245+M245*1.5+N245*2+O245*3+N(K245))</f>
        <v/>
      </c>
      <c r="Q245" s="6" t="n">
        <v>397.43</v>
      </c>
      <c r="R245" s="6">
        <f>Q245-P245</f>
        <v/>
      </c>
    </row>
    <row r="246">
      <c r="P246" s="2" t="inlineStr">
        <is>
          <t>ADDITIONALHAIRLABOR LABOR</t>
        </is>
      </c>
      <c r="R246" s="8">
        <f>SUM(R245:R245)</f>
        <v/>
      </c>
    </row>
    <row r="248">
      <c r="B248" s="2" t="inlineStr">
        <is>
          <t>GAFFER</t>
        </is>
      </c>
    </row>
    <row r="249">
      <c r="A249" s="5" t="inlineStr">
        <is>
          <t>3201</t>
        </is>
      </c>
      <c r="B249" s="5" t="inlineStr">
        <is>
          <t>Nicholas Kaat</t>
        </is>
      </c>
      <c r="C249" s="5" t="inlineStr">
        <is>
          <t>GAFFER</t>
        </is>
      </c>
      <c r="D249" s="5" t="inlineStr">
        <is>
          <t>Local728</t>
        </is>
      </c>
      <c r="E249" s="6" t="n">
        <v>25.5</v>
      </c>
      <c r="F249" s="5" t="n"/>
      <c r="G249" s="5" t="n"/>
      <c r="H249" s="5" t="n"/>
      <c r="I249" s="5" t="n"/>
      <c r="J249" s="7">
        <f>IF(AND(N(F249)&gt;0,N(I249)&gt;0),I249-F249-IF(N(G249)&gt;0,0.5,0)-IF(N(H249)&gt;0,0.5,0),0)</f>
        <v/>
      </c>
      <c r="K249" s="5" t="n"/>
      <c r="L249" s="7">
        <f>MIN(J249,10.0)</f>
        <v/>
      </c>
      <c r="M249" s="7">
        <f>MAX(0,MIN(J249,12)-10.0)</f>
        <v/>
      </c>
      <c r="N249" s="7">
        <f>MAX(0,J249-12)</f>
        <v/>
      </c>
      <c r="O249" s="5" t="n"/>
      <c r="P249" s="6">
        <f>E249*(L249+M249*1.5+N249*2+O249*3+N(K249))</f>
        <v/>
      </c>
      <c r="Q249" s="6" t="n">
        <v>395.25</v>
      </c>
      <c r="R249" s="6">
        <f>Q249-P249</f>
        <v/>
      </c>
    </row>
    <row r="250">
      <c r="P250" s="2" t="inlineStr">
        <is>
          <t>GAFFER LABOR</t>
        </is>
      </c>
      <c r="R250" s="8">
        <f>SUM(R249:R249)</f>
        <v/>
      </c>
    </row>
    <row r="252">
      <c r="B252" s="2" t="inlineStr">
        <is>
          <t>BESTBOYELECTRIC</t>
        </is>
      </c>
    </row>
    <row r="253">
      <c r="A253" s="5" t="inlineStr">
        <is>
          <t>3202</t>
        </is>
      </c>
      <c r="B253" s="5" t="inlineStr">
        <is>
          <t>Nathan Fetzer</t>
        </is>
      </c>
      <c r="C253" s="5" t="inlineStr">
        <is>
          <t>BESTBOYELECTRIC</t>
        </is>
      </c>
      <c r="D253" s="5" t="inlineStr">
        <is>
          <t>Local728</t>
        </is>
      </c>
      <c r="E253" s="6" t="n">
        <v>23.04</v>
      </c>
      <c r="F253" s="5" t="n"/>
      <c r="G253" s="5" t="n"/>
      <c r="H253" s="5" t="n"/>
      <c r="I253" s="5" t="n"/>
      <c r="J253" s="7">
        <f>IF(AND(N(F253)&gt;0,N(I253)&gt;0),I253-F253-IF(N(G253)&gt;0,0.5,0)-IF(N(H253)&gt;0,0.5,0),0)</f>
        <v/>
      </c>
      <c r="K253" s="5" t="n"/>
      <c r="L253" s="7">
        <f>MIN(J253,10.0)</f>
        <v/>
      </c>
      <c r="M253" s="7">
        <f>MAX(0,MIN(J253,12)-10.0)</f>
        <v/>
      </c>
      <c r="N253" s="7">
        <f>MAX(0,J253-12)</f>
        <v/>
      </c>
      <c r="O253" s="5" t="n"/>
      <c r="P253" s="6">
        <f>E253*(L253+M253*1.5+N253*2+O253*3+N(K253))</f>
        <v/>
      </c>
      <c r="Q253" s="6" t="n">
        <v>357.12</v>
      </c>
      <c r="R253" s="6">
        <f>Q253-P253</f>
        <v/>
      </c>
    </row>
    <row r="254">
      <c r="A254" s="5" t="inlineStr">
        <is>
          <t>3202</t>
        </is>
      </c>
      <c r="B254" s="5" t="inlineStr"/>
      <c r="C254" s="5" t="inlineStr">
        <is>
          <t>STUDIOBESTBOYELECTRIC</t>
        </is>
      </c>
      <c r="D254" s="5" t="inlineStr">
        <is>
          <t>Local728</t>
        </is>
      </c>
      <c r="E254" s="6" t="n">
        <v>43.05</v>
      </c>
      <c r="F254" s="5" t="n"/>
      <c r="G254" s="5" t="n"/>
      <c r="H254" s="5" t="n"/>
      <c r="I254" s="5" t="n"/>
      <c r="J254" s="7">
        <f>IF(AND(N(F254)&gt;0,N(I254)&gt;0),I254-F254-IF(N(G254)&gt;0,0.5,0)-IF(N(H254)&gt;0,0.5,0),0)</f>
        <v/>
      </c>
      <c r="K254" s="5" t="n"/>
      <c r="L254" s="7">
        <f>MIN(J254,10.0)</f>
        <v/>
      </c>
      <c r="M254" s="7">
        <f>MAX(0,MIN(J254,12)-10.0)</f>
        <v/>
      </c>
      <c r="N254" s="7">
        <f>MAX(0,J254-12)</f>
        <v/>
      </c>
      <c r="O254" s="5" t="n"/>
      <c r="P254" s="6">
        <f>E254*(L254+M254*1.5+N254*2+O254*3+N(K254))</f>
        <v/>
      </c>
      <c r="Q254" s="6" t="n">
        <v>667.27</v>
      </c>
      <c r="R254" s="6">
        <f>Q254-P254</f>
        <v/>
      </c>
    </row>
    <row r="255">
      <c r="P255" s="2" t="inlineStr">
        <is>
          <t>BESTBOYELECTRIC LABOR</t>
        </is>
      </c>
      <c r="R255" s="8">
        <f>SUM(R253:R254)</f>
        <v/>
      </c>
    </row>
    <row r="257">
      <c r="B257" s="2" t="inlineStr">
        <is>
          <t>ELECTRICIANS</t>
        </is>
      </c>
    </row>
    <row r="258">
      <c r="A258" s="5" t="inlineStr">
        <is>
          <t>3204</t>
        </is>
      </c>
      <c r="B258" s="5" t="inlineStr"/>
      <c r="C258" s="5" t="inlineStr">
        <is>
          <t>ELECTRICIAN#1</t>
        </is>
      </c>
      <c r="D258" s="5" t="inlineStr">
        <is>
          <t>Local728</t>
        </is>
      </c>
      <c r="E258" s="6" t="n">
        <v>20.57</v>
      </c>
      <c r="F258" s="5" t="n"/>
      <c r="G258" s="5" t="n"/>
      <c r="H258" s="5" t="n"/>
      <c r="I258" s="5" t="n"/>
      <c r="J258" s="7">
        <f>IF(AND(N(F258)&gt;0,N(I258)&gt;0),I258-F258-IF(N(G258)&gt;0,0.5,0)-IF(N(H258)&gt;0,0.5,0),0)</f>
        <v/>
      </c>
      <c r="K258" s="5" t="n"/>
      <c r="L258" s="7">
        <f>MIN(J258,10.0)</f>
        <v/>
      </c>
      <c r="M258" s="7">
        <f>MAX(0,MIN(J258,12)-10.0)</f>
        <v/>
      </c>
      <c r="N258" s="7">
        <f>MAX(0,J258-12)</f>
        <v/>
      </c>
      <c r="O258" s="5" t="n"/>
      <c r="P258" s="6">
        <f>E258*(L258+M258*1.5+N258*2+O258*3+N(K258))</f>
        <v/>
      </c>
      <c r="Q258" s="6" t="n">
        <v>318.83</v>
      </c>
      <c r="R258" s="6">
        <f>Q258-P258</f>
        <v/>
      </c>
    </row>
    <row r="259">
      <c r="A259" s="5" t="inlineStr">
        <is>
          <t>3204</t>
        </is>
      </c>
      <c r="B259" s="5" t="inlineStr"/>
      <c r="C259" s="5" t="inlineStr">
        <is>
          <t>ELECTRICIAN#2</t>
        </is>
      </c>
      <c r="D259" s="5" t="inlineStr">
        <is>
          <t>Local728</t>
        </is>
      </c>
      <c r="E259" s="6" t="n">
        <v>20.57</v>
      </c>
      <c r="F259" s="5" t="n"/>
      <c r="G259" s="5" t="n"/>
      <c r="H259" s="5" t="n"/>
      <c r="I259" s="5" t="n"/>
      <c r="J259" s="7">
        <f>IF(AND(N(F259)&gt;0,N(I259)&gt;0),I259-F259-IF(N(G259)&gt;0,0.5,0)-IF(N(H259)&gt;0,0.5,0),0)</f>
        <v/>
      </c>
      <c r="K259" s="5" t="n"/>
      <c r="L259" s="7">
        <f>MIN(J259,10.0)</f>
        <v/>
      </c>
      <c r="M259" s="7">
        <f>MAX(0,MIN(J259,12)-10.0)</f>
        <v/>
      </c>
      <c r="N259" s="7">
        <f>MAX(0,J259-12)</f>
        <v/>
      </c>
      <c r="O259" s="5" t="n"/>
      <c r="P259" s="6">
        <f>E259*(L259+M259*1.5+N259*2+O259*3+N(K259))</f>
        <v/>
      </c>
      <c r="Q259" s="6" t="n">
        <v>318.83</v>
      </c>
      <c r="R259" s="6">
        <f>Q259-P259</f>
        <v/>
      </c>
    </row>
    <row r="260">
      <c r="A260" s="5" t="inlineStr">
        <is>
          <t>3204</t>
        </is>
      </c>
      <c r="B260" s="5" t="inlineStr"/>
      <c r="C260" s="5" t="inlineStr">
        <is>
          <t>ELECTRICIAN#3</t>
        </is>
      </c>
      <c r="D260" s="5" t="inlineStr">
        <is>
          <t>Local728</t>
        </is>
      </c>
      <c r="E260" s="6" t="n">
        <v>20.57</v>
      </c>
      <c r="F260" s="5" t="n"/>
      <c r="G260" s="5" t="n"/>
      <c r="H260" s="5" t="n"/>
      <c r="I260" s="5" t="n"/>
      <c r="J260" s="7">
        <f>IF(AND(N(F260)&gt;0,N(I260)&gt;0),I260-F260-IF(N(G260)&gt;0,0.5,0)-IF(N(H260)&gt;0,0.5,0),0)</f>
        <v/>
      </c>
      <c r="K260" s="5" t="n"/>
      <c r="L260" s="7">
        <f>MIN(J260,10.0)</f>
        <v/>
      </c>
      <c r="M260" s="7">
        <f>MAX(0,MIN(J260,12)-10.0)</f>
        <v/>
      </c>
      <c r="N260" s="7">
        <f>MAX(0,J260-12)</f>
        <v/>
      </c>
      <c r="O260" s="5" t="n"/>
      <c r="P260" s="6">
        <f>E260*(L260+M260*1.5+N260*2+O260*3+N(K260))</f>
        <v/>
      </c>
      <c r="Q260" s="6" t="n">
        <v>318.83</v>
      </c>
      <c r="R260" s="6">
        <f>Q260-P260</f>
        <v/>
      </c>
    </row>
    <row r="261">
      <c r="P261" s="2" t="inlineStr">
        <is>
          <t>ELECTRICIANS LABOR</t>
        </is>
      </c>
      <c r="R261" s="8">
        <f>SUM(R258:R260)</f>
        <v/>
      </c>
    </row>
    <row r="263">
      <c r="B263" s="2" t="inlineStr">
        <is>
          <t>ADDITIONALELECTRICLABOR</t>
        </is>
      </c>
    </row>
    <row r="264">
      <c r="A264" s="5" t="inlineStr">
        <is>
          <t>3206</t>
        </is>
      </c>
      <c r="B264" s="5" t="inlineStr"/>
      <c r="C264" s="5" t="inlineStr">
        <is>
          <t>ELECTRICMANDAYS&amp;RIGGINGMANDAYS</t>
        </is>
      </c>
      <c r="D264" s="5" t="inlineStr">
        <is>
          <t>Local728</t>
        </is>
      </c>
      <c r="E264" s="6" t="n">
        <v>20.57</v>
      </c>
      <c r="F264" s="5" t="n"/>
      <c r="G264" s="5" t="n"/>
      <c r="H264" s="5" t="n"/>
      <c r="I264" s="5" t="n"/>
      <c r="J264" s="7">
        <f>IF(AND(N(F264)&gt;0,N(I264)&gt;0),I264-F264-IF(N(G264)&gt;0,0.5,0)-IF(N(H264)&gt;0,0.5,0),0)</f>
        <v/>
      </c>
      <c r="K264" s="5" t="n"/>
      <c r="L264" s="7">
        <f>MIN(J264,10.0)</f>
        <v/>
      </c>
      <c r="M264" s="7">
        <f>MAX(0,MIN(J264,12)-10.0)</f>
        <v/>
      </c>
      <c r="N264" s="7">
        <f>MAX(0,J264-12)</f>
        <v/>
      </c>
      <c r="O264" s="5" t="n"/>
      <c r="P264" s="6">
        <f>E264*(L264+M264*1.5+N264*2+O264*3+N(K264))</f>
        <v/>
      </c>
      <c r="Q264" s="6" t="n">
        <v>318.83</v>
      </c>
      <c r="R264" s="6">
        <f>Q264-P264</f>
        <v/>
      </c>
    </row>
    <row r="265">
      <c r="P265" s="2" t="inlineStr">
        <is>
          <t>ADDITIONALELECTRICLABOR LABOR</t>
        </is>
      </c>
      <c r="R265" s="8">
        <f>SUM(R264:R264)</f>
        <v/>
      </c>
    </row>
    <row r="267">
      <c r="B267" s="2" t="inlineStr">
        <is>
          <t>DIRECTOROFPHOTOGRAPHY</t>
        </is>
      </c>
    </row>
    <row r="268">
      <c r="A268" s="5" t="inlineStr">
        <is>
          <t>3301</t>
        </is>
      </c>
      <c r="B268" s="5" t="inlineStr">
        <is>
          <t>Michael Burgess</t>
        </is>
      </c>
      <c r="C268" s="5" t="inlineStr">
        <is>
          <t>DIRECTOROFPHOTOGRAPHY</t>
        </is>
      </c>
      <c r="D268" s="5" t="inlineStr">
        <is>
          <t>Local600</t>
        </is>
      </c>
      <c r="E268" s="6" t="n">
        <v>700</v>
      </c>
      <c r="F268" s="5" t="n"/>
      <c r="G268" s="5" t="n"/>
      <c r="H268" s="5" t="n"/>
      <c r="I268" s="5" t="n"/>
      <c r="J268" s="7">
        <f>IF(AND(N(F268)&gt;0,N(I268)&gt;0),I268-F268-IF(N(G268)&gt;0,0.5,0)-IF(N(H268)&gt;0,0.5,0),0)</f>
        <v/>
      </c>
      <c r="K268" s="5" t="n"/>
      <c r="L268" s="7">
        <f>MIN(J268,8.0)</f>
        <v/>
      </c>
      <c r="M268" s="7">
        <f>MAX(0,MIN(J268,12)-8.0)</f>
        <v/>
      </c>
      <c r="N268" s="7">
        <f>MAX(0,J268-12)</f>
        <v/>
      </c>
      <c r="O268" s="5" t="n"/>
      <c r="P268" s="6">
        <f>E268*(L268+M268*1.5+N268*2+O268*3+N(K268))</f>
        <v/>
      </c>
      <c r="Q268" s="6" t="n">
        <v>700</v>
      </c>
      <c r="R268" s="6">
        <f>Q268-P268</f>
        <v/>
      </c>
    </row>
    <row r="269">
      <c r="P269" s="2" t="inlineStr">
        <is>
          <t>DIRECTOROFPHOTOGRAPHY LABOR</t>
        </is>
      </c>
      <c r="R269" s="8">
        <f>SUM(R268:R268)</f>
        <v/>
      </c>
    </row>
    <row r="271">
      <c r="B271" s="2" t="inlineStr">
        <is>
          <t>CAMERAOPERATORS</t>
        </is>
      </c>
    </row>
    <row r="272">
      <c r="A272" s="5" t="inlineStr">
        <is>
          <t>3302</t>
        </is>
      </c>
      <c r="B272" s="5" t="inlineStr">
        <is>
          <t>Craig Bauer</t>
        </is>
      </c>
      <c r="C272" s="5" t="inlineStr">
        <is>
          <t>"B"CAMERAOP</t>
        </is>
      </c>
      <c r="D272" s="5" t="inlineStr">
        <is>
          <t>Local600</t>
        </is>
      </c>
      <c r="E272" s="6" t="n">
        <v>45</v>
      </c>
      <c r="F272" s="5" t="n"/>
      <c r="G272" s="5" t="n"/>
      <c r="H272" s="5" t="n"/>
      <c r="I272" s="5" t="n"/>
      <c r="J272" s="7">
        <f>IF(AND(N(F272)&gt;0,N(I272)&gt;0),I272-F272-IF(N(G272)&gt;0,0.5,0)-IF(N(H272)&gt;0,0.5,0),0)</f>
        <v/>
      </c>
      <c r="K272" s="5" t="n"/>
      <c r="L272" s="7">
        <f>MIN(J272,8.0)</f>
        <v/>
      </c>
      <c r="M272" s="7">
        <f>MAX(0,MIN(J272,12)-8.0)</f>
        <v/>
      </c>
      <c r="N272" s="7">
        <f>MAX(0,J272-12)</f>
        <v/>
      </c>
      <c r="O272" s="5" t="n"/>
      <c r="P272" s="6">
        <f>E272*(L272+M272*1.5+N272*2+O272*3+N(K272))</f>
        <v/>
      </c>
      <c r="Q272" s="6" t="n">
        <v>630</v>
      </c>
      <c r="R272" s="6">
        <f>Q272-P272</f>
        <v/>
      </c>
    </row>
    <row r="273">
      <c r="P273" s="2" t="inlineStr">
        <is>
          <t>CAMERAOPERATORS LABOR</t>
        </is>
      </c>
      <c r="R273" s="8">
        <f>SUM(R272:R272)</f>
        <v/>
      </c>
    </row>
    <row r="275">
      <c r="B275" s="2" t="inlineStr">
        <is>
          <t>DIGITALIMAGINGTECHS</t>
        </is>
      </c>
    </row>
    <row r="276">
      <c r="A276" s="5" t="inlineStr">
        <is>
          <t>3304</t>
        </is>
      </c>
      <c r="B276" s="5" t="inlineStr">
        <is>
          <t>Oliver Mancebo</t>
        </is>
      </c>
      <c r="C276" s="5" t="inlineStr">
        <is>
          <t>DIT</t>
        </is>
      </c>
      <c r="D276" s="5" t="inlineStr">
        <is>
          <t>Local600</t>
        </is>
      </c>
      <c r="E276" s="6" t="n">
        <v>35</v>
      </c>
      <c r="F276" s="5" t="n"/>
      <c r="G276" s="5" t="n"/>
      <c r="H276" s="5" t="n"/>
      <c r="I276" s="5" t="n"/>
      <c r="J276" s="7">
        <f>IF(AND(N(F276)&gt;0,N(I276)&gt;0),I276-F276-IF(N(G276)&gt;0,0.5,0)-IF(N(H276)&gt;0,0.5,0),0)</f>
        <v/>
      </c>
      <c r="K276" s="5" t="n"/>
      <c r="L276" s="7">
        <f>MIN(J276,8.0)</f>
        <v/>
      </c>
      <c r="M276" s="7">
        <f>MAX(0,MIN(J276,12)-8.0)</f>
        <v/>
      </c>
      <c r="N276" s="7">
        <f>MAX(0,J276-12)</f>
        <v/>
      </c>
      <c r="O276" s="5" t="n"/>
      <c r="P276" s="6">
        <f>E276*(L276+M276*1.5+N276*2+O276*3+N(K276))</f>
        <v/>
      </c>
      <c r="Q276" s="6" t="n">
        <v>542.5</v>
      </c>
      <c r="R276" s="6">
        <f>Q276-P276</f>
        <v/>
      </c>
    </row>
    <row r="277">
      <c r="P277" s="2" t="inlineStr">
        <is>
          <t>DIGITALIMAGINGTECHS LABOR</t>
        </is>
      </c>
      <c r="R277" s="8">
        <f>SUM(R276:R276)</f>
        <v/>
      </c>
    </row>
    <row r="279">
      <c r="B279" s="2" t="inlineStr">
        <is>
          <t>1STASSTCAMERA</t>
        </is>
      </c>
    </row>
    <row r="280">
      <c r="A280" s="5" t="inlineStr">
        <is>
          <t>3305</t>
        </is>
      </c>
      <c r="B280" s="5" t="inlineStr">
        <is>
          <t>Steve Cueva</t>
        </is>
      </c>
      <c r="C280" s="5" t="inlineStr">
        <is>
          <t>"A"CAMERA 1STAC</t>
        </is>
      </c>
      <c r="D280" s="5" t="inlineStr">
        <is>
          <t>Local600</t>
        </is>
      </c>
      <c r="E280" s="6" t="n">
        <v>25.5</v>
      </c>
      <c r="F280" s="5" t="n"/>
      <c r="G280" s="5" t="n"/>
      <c r="H280" s="5" t="n"/>
      <c r="I280" s="5" t="n"/>
      <c r="J280" s="7">
        <f>IF(AND(N(F280)&gt;0,N(I280)&gt;0),I280-F280-IF(N(G280)&gt;0,0.5,0)-IF(N(H280)&gt;0,0.5,0),0)</f>
        <v/>
      </c>
      <c r="K280" s="5" t="n"/>
      <c r="L280" s="7">
        <f>MIN(J280,8.0)</f>
        <v/>
      </c>
      <c r="M280" s="7">
        <f>MAX(0,MIN(J280,12)-8.0)</f>
        <v/>
      </c>
      <c r="N280" s="7">
        <f>MAX(0,J280-12)</f>
        <v/>
      </c>
      <c r="O280" s="5" t="n"/>
      <c r="P280" s="6">
        <f>E280*(L280+M280*1.5+N280*2+O280*3+N(K280))</f>
        <v/>
      </c>
      <c r="Q280" s="6" t="n">
        <v>395.25</v>
      </c>
      <c r="R280" s="6">
        <f>Q280-P280</f>
        <v/>
      </c>
    </row>
    <row r="281">
      <c r="A281" s="5" t="inlineStr">
        <is>
          <t>3305</t>
        </is>
      </c>
      <c r="B281" s="5" t="inlineStr">
        <is>
          <t>Chris Garcia</t>
        </is>
      </c>
      <c r="C281" s="5" t="inlineStr">
        <is>
          <t>"B"CAMERA 1STAC</t>
        </is>
      </c>
      <c r="D281" s="5" t="inlineStr">
        <is>
          <t>Local600</t>
        </is>
      </c>
      <c r="E281" s="6" t="n">
        <v>25.5</v>
      </c>
      <c r="F281" s="5" t="n"/>
      <c r="G281" s="5" t="n"/>
      <c r="H281" s="5" t="n"/>
      <c r="I281" s="5" t="n"/>
      <c r="J281" s="7">
        <f>IF(AND(N(F281)&gt;0,N(I281)&gt;0),I281-F281-IF(N(G281)&gt;0,0.5,0)-IF(N(H281)&gt;0,0.5,0),0)</f>
        <v/>
      </c>
      <c r="K281" s="5" t="n"/>
      <c r="L281" s="7">
        <f>MIN(J281,8.0)</f>
        <v/>
      </c>
      <c r="M281" s="7">
        <f>MAX(0,MIN(J281,12)-8.0)</f>
        <v/>
      </c>
      <c r="N281" s="7">
        <f>MAX(0,J281-12)</f>
        <v/>
      </c>
      <c r="O281" s="5" t="n"/>
      <c r="P281" s="6">
        <f>E281*(L281+M281*1.5+N281*2+O281*3+N(K281))</f>
        <v/>
      </c>
      <c r="Q281" s="6" t="n">
        <v>395.25</v>
      </c>
      <c r="R281" s="6">
        <f>Q281-P281</f>
        <v/>
      </c>
    </row>
    <row r="282">
      <c r="P282" s="2" t="inlineStr">
        <is>
          <t>1STASSTCAMERA LABOR</t>
        </is>
      </c>
      <c r="R282" s="8">
        <f>SUM(R280:R281)</f>
        <v/>
      </c>
    </row>
    <row r="284">
      <c r="B284" s="2" t="inlineStr">
        <is>
          <t>2NDASSTCAMERA</t>
        </is>
      </c>
    </row>
    <row r="285">
      <c r="A285" s="5" t="inlineStr">
        <is>
          <t>3306</t>
        </is>
      </c>
      <c r="B285" s="5" t="inlineStr">
        <is>
          <t>Manny Serrano</t>
        </is>
      </c>
      <c r="C285" s="5" t="inlineStr">
        <is>
          <t>"A"CAMERA 2NDAC</t>
        </is>
      </c>
      <c r="D285" s="5" t="inlineStr">
        <is>
          <t>Local600</t>
        </is>
      </c>
      <c r="E285" s="6" t="n">
        <v>23.04</v>
      </c>
      <c r="F285" s="5" t="n"/>
      <c r="G285" s="5" t="n"/>
      <c r="H285" s="5" t="n"/>
      <c r="I285" s="5" t="n"/>
      <c r="J285" s="7">
        <f>IF(AND(N(F285)&gt;0,N(I285)&gt;0),I285-F285-IF(N(G285)&gt;0,0.5,0)-IF(N(H285)&gt;0,0.5,0),0)</f>
        <v/>
      </c>
      <c r="K285" s="5" t="n"/>
      <c r="L285" s="7">
        <f>MIN(J285,8.0)</f>
        <v/>
      </c>
      <c r="M285" s="7">
        <f>MAX(0,MIN(J285,12)-8.0)</f>
        <v/>
      </c>
      <c r="N285" s="7">
        <f>MAX(0,J285-12)</f>
        <v/>
      </c>
      <c r="O285" s="5" t="n"/>
      <c r="P285" s="6">
        <f>E285*(L285+M285*1.5+N285*2+O285*3+N(K285))</f>
        <v/>
      </c>
      <c r="Q285" s="6" t="n">
        <v>357.12</v>
      </c>
      <c r="R285" s="6">
        <f>Q285-P285</f>
        <v/>
      </c>
    </row>
    <row r="286">
      <c r="A286" s="5" t="inlineStr">
        <is>
          <t>3306</t>
        </is>
      </c>
      <c r="B286" s="5" t="inlineStr"/>
      <c r="C286" s="5" t="inlineStr">
        <is>
          <t>"B"CAMERA 2NDAC</t>
        </is>
      </c>
      <c r="D286" s="5" t="inlineStr">
        <is>
          <t>Local600</t>
        </is>
      </c>
      <c r="E286" s="6" t="n">
        <v>23.04</v>
      </c>
      <c r="F286" s="5" t="n"/>
      <c r="G286" s="5" t="n"/>
      <c r="H286" s="5" t="n"/>
      <c r="I286" s="5" t="n"/>
      <c r="J286" s="7">
        <f>IF(AND(N(F286)&gt;0,N(I286)&gt;0),I286-F286-IF(N(G286)&gt;0,0.5,0)-IF(N(H286)&gt;0,0.5,0),0)</f>
        <v/>
      </c>
      <c r="K286" s="5" t="n"/>
      <c r="L286" s="7">
        <f>MIN(J286,8.0)</f>
        <v/>
      </c>
      <c r="M286" s="7">
        <f>MAX(0,MIN(J286,12)-8.0)</f>
        <v/>
      </c>
      <c r="N286" s="7">
        <f>MAX(0,J286-12)</f>
        <v/>
      </c>
      <c r="O286" s="5" t="n"/>
      <c r="P286" s="6">
        <f>E286*(L286+M286*1.5+N286*2+O286*3+N(K286))</f>
        <v/>
      </c>
      <c r="Q286" s="6" t="n">
        <v>357.12</v>
      </c>
      <c r="R286" s="6">
        <f>Q286-P286</f>
        <v/>
      </c>
    </row>
    <row r="287">
      <c r="P287" s="2" t="inlineStr">
        <is>
          <t>2NDASSTCAMERA LABOR</t>
        </is>
      </c>
      <c r="R287" s="8">
        <f>SUM(R285:R286)</f>
        <v/>
      </c>
    </row>
    <row r="289">
      <c r="B289" s="2" t="inlineStr">
        <is>
          <t>STILLPHOTOGRAPHER</t>
        </is>
      </c>
    </row>
    <row r="290">
      <c r="A290" s="5" t="inlineStr">
        <is>
          <t>3308</t>
        </is>
      </c>
      <c r="B290" s="5" t="inlineStr">
        <is>
          <t>Scott Patrick Green</t>
        </is>
      </c>
      <c r="C290" s="5" t="inlineStr">
        <is>
          <t>STILLPHOTOGRAPHER</t>
        </is>
      </c>
      <c r="D290" s="5" t="inlineStr">
        <is>
          <t>Local600</t>
        </is>
      </c>
      <c r="E290" s="6" t="n">
        <v>26.5</v>
      </c>
      <c r="F290" s="5" t="n"/>
      <c r="G290" s="5" t="n"/>
      <c r="H290" s="5" t="n"/>
      <c r="I290" s="5" t="n"/>
      <c r="J290" s="7">
        <f>IF(AND(N(F290)&gt;0,N(I290)&gt;0),I290-F290-IF(N(G290)&gt;0,0.5,0)-IF(N(H290)&gt;0,0.5,0),0)</f>
        <v/>
      </c>
      <c r="K290" s="5" t="n"/>
      <c r="L290" s="7">
        <f>MIN(J290,8.0)</f>
        <v/>
      </c>
      <c r="M290" s="7">
        <f>MAX(0,MIN(J290,12)-8.0)</f>
        <v/>
      </c>
      <c r="N290" s="7">
        <f>MAX(0,J290-12)</f>
        <v/>
      </c>
      <c r="O290" s="5" t="n"/>
      <c r="P290" s="6">
        <f>E290*(L290+M290*1.5+N290*2+O290*3+N(K290))</f>
        <v/>
      </c>
      <c r="Q290" s="6" t="n">
        <v>291.5</v>
      </c>
      <c r="R290" s="6">
        <f>Q290-P290</f>
        <v/>
      </c>
    </row>
    <row r="291">
      <c r="P291" s="2" t="inlineStr">
        <is>
          <t>STILLPHOTOGRAPHER LABOR</t>
        </is>
      </c>
      <c r="R291" s="8">
        <f>SUM(R290:R290)</f>
        <v/>
      </c>
    </row>
    <row r="293">
      <c r="B293" s="2" t="inlineStr">
        <is>
          <t>AERIAL/UNDERWATERPHOTOGRAPHY</t>
        </is>
      </c>
    </row>
    <row r="294">
      <c r="A294" s="5" t="inlineStr">
        <is>
          <t>3385</t>
        </is>
      </c>
      <c r="B294" s="5" t="inlineStr"/>
      <c r="C294" s="5" t="inlineStr">
        <is>
          <t>UNDERWATEROPERATOR</t>
        </is>
      </c>
      <c r="D294" s="5" t="inlineStr">
        <is>
          <t>Local600</t>
        </is>
      </c>
      <c r="E294" s="6" t="n">
        <v>65</v>
      </c>
      <c r="F294" s="5" t="n"/>
      <c r="G294" s="5" t="n"/>
      <c r="H294" s="5" t="n"/>
      <c r="I294" s="5" t="n"/>
      <c r="J294" s="7">
        <f>IF(AND(N(F294)&gt;0,N(I294)&gt;0),I294-F294-IF(N(G294)&gt;0,0.5,0)-IF(N(H294)&gt;0,0.5,0),0)</f>
        <v/>
      </c>
      <c r="K294" s="5" t="n"/>
      <c r="L294" s="7">
        <f>MIN(J294,8.0)</f>
        <v/>
      </c>
      <c r="M294" s="7">
        <f>MAX(0,MIN(J294,12)-8.0)</f>
        <v/>
      </c>
      <c r="N294" s="7">
        <f>MAX(0,J294-12)</f>
        <v/>
      </c>
      <c r="O294" s="5" t="n"/>
      <c r="P294" s="6">
        <f>E294*(L294+M294*1.5+N294*2+O294*3+N(K294))</f>
        <v/>
      </c>
      <c r="Q294" s="6" t="n">
        <v>910</v>
      </c>
      <c r="R294" s="6">
        <f>Q294-P294</f>
        <v/>
      </c>
    </row>
    <row r="295">
      <c r="P295" s="2" t="inlineStr">
        <is>
          <t>AERIAL/UNDERWATERPHOTOGRAPHY LABOR</t>
        </is>
      </c>
      <c r="R295" s="8">
        <f>SUM(R294:R294)</f>
        <v/>
      </c>
    </row>
    <row r="297">
      <c r="B297" s="2" t="inlineStr">
        <is>
          <t>SOUNDMIXER</t>
        </is>
      </c>
    </row>
    <row r="298">
      <c r="A298" s="5" t="inlineStr">
        <is>
          <t>3401</t>
        </is>
      </c>
      <c r="B298" s="5" t="inlineStr">
        <is>
          <t>Julian Howarth</t>
        </is>
      </c>
      <c r="C298" s="5" t="inlineStr">
        <is>
          <t>SOUNDMIXER</t>
        </is>
      </c>
      <c r="D298" s="5" t="inlineStr">
        <is>
          <t>Local695</t>
        </is>
      </c>
      <c r="E298" s="6" t="n">
        <v>26.5</v>
      </c>
      <c r="F298" s="5" t="n"/>
      <c r="G298" s="5" t="n"/>
      <c r="H298" s="5" t="n"/>
      <c r="I298" s="5" t="n"/>
      <c r="J298" s="7">
        <f>IF(AND(N(F298)&gt;0,N(I298)&gt;0),I298-F298-IF(N(G298)&gt;0,0.5,0)-IF(N(H298)&gt;0,0.5,0),0)</f>
        <v/>
      </c>
      <c r="K298" s="5" t="n"/>
      <c r="L298" s="7">
        <f>MIN(J298,10.0)</f>
        <v/>
      </c>
      <c r="M298" s="7">
        <f>MAX(0,MIN(J298,12)-10.0)</f>
        <v/>
      </c>
      <c r="N298" s="7">
        <f>MAX(0,J298-12)</f>
        <v/>
      </c>
      <c r="O298" s="5" t="n"/>
      <c r="P298" s="6">
        <f>E298*(L298+M298*1.5+N298*2+O298*3+N(K298))</f>
        <v/>
      </c>
      <c r="Q298" s="6" t="n">
        <v>410.75</v>
      </c>
      <c r="R298" s="6">
        <f>Q298-P298</f>
        <v/>
      </c>
    </row>
    <row r="299">
      <c r="P299" s="2" t="inlineStr">
        <is>
          <t>SOUNDMIXER LABOR</t>
        </is>
      </c>
      <c r="R299" s="8">
        <f>SUM(R298:R298)</f>
        <v/>
      </c>
    </row>
    <row r="301">
      <c r="B301" s="2" t="inlineStr">
        <is>
          <t>BOOMOPERATOR</t>
        </is>
      </c>
    </row>
    <row r="302">
      <c r="A302" s="5" t="inlineStr">
        <is>
          <t>3402</t>
        </is>
      </c>
      <c r="B302" s="5" t="inlineStr">
        <is>
          <t>Tim Song Jones</t>
        </is>
      </c>
      <c r="C302" s="5" t="inlineStr">
        <is>
          <t>BOOMOPERATOR</t>
        </is>
      </c>
      <c r="D302" s="5" t="inlineStr">
        <is>
          <t>Local695</t>
        </is>
      </c>
      <c r="E302" s="6" t="n">
        <v>23.04</v>
      </c>
      <c r="F302" s="5" t="n"/>
      <c r="G302" s="5" t="n"/>
      <c r="H302" s="5" t="n"/>
      <c r="I302" s="5" t="n"/>
      <c r="J302" s="7">
        <f>IF(AND(N(F302)&gt;0,N(I302)&gt;0),I302-F302-IF(N(G302)&gt;0,0.5,0)-IF(N(H302)&gt;0,0.5,0),0)</f>
        <v/>
      </c>
      <c r="K302" s="5" t="n"/>
      <c r="L302" s="7">
        <f>MIN(J302,10.0)</f>
        <v/>
      </c>
      <c r="M302" s="7">
        <f>MAX(0,MIN(J302,12)-10.0)</f>
        <v/>
      </c>
      <c r="N302" s="7">
        <f>MAX(0,J302-12)</f>
        <v/>
      </c>
      <c r="O302" s="5" t="n"/>
      <c r="P302" s="6">
        <f>E302*(L302+M302*1.5+N302*2+O302*3+N(K302))</f>
        <v/>
      </c>
      <c r="Q302" s="6" t="n">
        <v>357.12</v>
      </c>
      <c r="R302" s="6">
        <f>Q302-P302</f>
        <v/>
      </c>
    </row>
    <row r="303">
      <c r="P303" s="2" t="inlineStr">
        <is>
          <t>BOOMOPERATOR LABOR</t>
        </is>
      </c>
      <c r="R303" s="8">
        <f>SUM(R302:R302)</f>
        <v/>
      </c>
    </row>
    <row r="305">
      <c r="B305" s="2" t="inlineStr">
        <is>
          <t>CABLEPERSON</t>
        </is>
      </c>
    </row>
    <row r="306">
      <c r="A306" s="5" t="inlineStr">
        <is>
          <t>3403</t>
        </is>
      </c>
      <c r="B306" s="5" t="inlineStr"/>
      <c r="C306" s="5" t="inlineStr">
        <is>
          <t>UTILITYSOUND</t>
        </is>
      </c>
      <c r="D306" s="5" t="inlineStr">
        <is>
          <t>Local695</t>
        </is>
      </c>
      <c r="E306" s="6" t="n">
        <v>20.57</v>
      </c>
      <c r="F306" s="5" t="n"/>
      <c r="G306" s="5" t="n"/>
      <c r="H306" s="5" t="n"/>
      <c r="I306" s="5" t="n"/>
      <c r="J306" s="7">
        <f>IF(AND(N(F306)&gt;0,N(I306)&gt;0),I306-F306-IF(N(G306)&gt;0,0.5,0)-IF(N(H306)&gt;0,0.5,0),0)</f>
        <v/>
      </c>
      <c r="K306" s="5" t="n"/>
      <c r="L306" s="7">
        <f>MIN(J306,10.0)</f>
        <v/>
      </c>
      <c r="M306" s="7">
        <f>MAX(0,MIN(J306,12)-10.0)</f>
        <v/>
      </c>
      <c r="N306" s="7">
        <f>MAX(0,J306-12)</f>
        <v/>
      </c>
      <c r="O306" s="5" t="n"/>
      <c r="P306" s="6">
        <f>E306*(L306+M306*1.5+N306*2+O306*3+N(K306))</f>
        <v/>
      </c>
      <c r="Q306" s="6" t="n">
        <v>318.83</v>
      </c>
      <c r="R306" s="6">
        <f>Q306-P306</f>
        <v/>
      </c>
    </row>
    <row r="307">
      <c r="P307" s="2" t="inlineStr">
        <is>
          <t>CABLEPERSON LABOR</t>
        </is>
      </c>
      <c r="R307" s="8">
        <f>SUM(R306:R306)</f>
        <v/>
      </c>
    </row>
    <row r="309">
      <c r="B309" s="2" t="inlineStr">
        <is>
          <t>VIDEOASSIST</t>
        </is>
      </c>
    </row>
    <row r="310">
      <c r="A310" s="5" t="inlineStr">
        <is>
          <t>3404</t>
        </is>
      </c>
      <c r="B310" s="5" t="inlineStr">
        <is>
          <t>Jeff Snyder</t>
        </is>
      </c>
      <c r="C310" s="5" t="inlineStr">
        <is>
          <t>VIDEOASSISTOPERATOR</t>
        </is>
      </c>
      <c r="D310" s="5" t="inlineStr">
        <is>
          <t>Local695</t>
        </is>
      </c>
      <c r="E310" s="6" t="n">
        <v>23.04</v>
      </c>
      <c r="F310" s="5" t="n"/>
      <c r="G310" s="5" t="n"/>
      <c r="H310" s="5" t="n"/>
      <c r="I310" s="5" t="n"/>
      <c r="J310" s="7">
        <f>IF(AND(N(F310)&gt;0,N(I310)&gt;0),I310-F310-IF(N(G310)&gt;0,0.5,0)-IF(N(H310)&gt;0,0.5,0),0)</f>
        <v/>
      </c>
      <c r="K310" s="5" t="n"/>
      <c r="L310" s="7">
        <f>MIN(J310,10.0)</f>
        <v/>
      </c>
      <c r="M310" s="7">
        <f>MAX(0,MIN(J310,12)-10.0)</f>
        <v/>
      </c>
      <c r="N310" s="7">
        <f>MAX(0,J310-12)</f>
        <v/>
      </c>
      <c r="O310" s="5" t="n"/>
      <c r="P310" s="6">
        <f>E310*(L310+M310*1.5+N310*2+O310*3+N(K310))</f>
        <v/>
      </c>
      <c r="Q310" s="6" t="n">
        <v>357.12</v>
      </c>
      <c r="R310" s="6">
        <f>Q310-P310</f>
        <v/>
      </c>
    </row>
    <row r="311">
      <c r="P311" s="2" t="inlineStr">
        <is>
          <t>VIDEOASSIST LABOR</t>
        </is>
      </c>
      <c r="R311" s="8">
        <f>SUM(R310:R310)</f>
        <v/>
      </c>
    </row>
    <row r="313">
      <c r="B313" s="2" t="inlineStr">
        <is>
          <t>CAPTAIN</t>
        </is>
      </c>
    </row>
    <row r="314">
      <c r="A314" s="5" t="inlineStr">
        <is>
          <t>3502</t>
        </is>
      </c>
      <c r="B314" s="5" t="inlineStr">
        <is>
          <t>Kevin Caira</t>
        </is>
      </c>
      <c r="C314" s="5" t="inlineStr">
        <is>
          <t>TRANSPOCAPTAIN(LA)</t>
        </is>
      </c>
      <c r="D314" s="5" t="inlineStr">
        <is>
          <t>Local399</t>
        </is>
      </c>
      <c r="E314" s="6" t="n">
        <v>37.21</v>
      </c>
      <c r="F314" s="5" t="n"/>
      <c r="G314" s="5" t="n"/>
      <c r="H314" s="5" t="n"/>
      <c r="I314" s="5" t="n"/>
      <c r="J314" s="7">
        <f>IF(AND(N(F314)&gt;0,N(I314)&gt;0),I314-F314-IF(N(G314)&gt;0,0.5,0)-IF(N(H314)&gt;0,0.5,0),0)</f>
        <v/>
      </c>
      <c r="K314" s="5" t="n"/>
      <c r="L314" s="7">
        <f>MIN(J314,8.0)</f>
        <v/>
      </c>
      <c r="M314" s="7">
        <f>MAX(0,MIN(J314,12)-8.0)</f>
        <v/>
      </c>
      <c r="N314" s="7">
        <f>MAX(0,J314-12)</f>
        <v/>
      </c>
      <c r="O314" s="5" t="n"/>
      <c r="P314" s="6">
        <f>E314*(L314+M314*1.5+N314*2+O314*3+N(K314))</f>
        <v/>
      </c>
      <c r="Q314" s="6" t="n">
        <v>651.17</v>
      </c>
      <c r="R314" s="6">
        <f>Q314-P314</f>
        <v/>
      </c>
    </row>
    <row r="315">
      <c r="A315" s="5" t="inlineStr">
        <is>
          <t>3502</t>
        </is>
      </c>
      <c r="B315" s="5" t="inlineStr">
        <is>
          <t>Tina Peterson</t>
        </is>
      </c>
      <c r="C315" s="5" t="inlineStr">
        <is>
          <t>CO-CAPTAIN</t>
        </is>
      </c>
      <c r="D315" s="5" t="inlineStr">
        <is>
          <t>Local399</t>
        </is>
      </c>
      <c r="E315" s="6" t="n">
        <v>37.21</v>
      </c>
      <c r="F315" s="5" t="n"/>
      <c r="G315" s="5" t="n"/>
      <c r="H315" s="5" t="n"/>
      <c r="I315" s="5" t="n"/>
      <c r="J315" s="7">
        <f>IF(AND(N(F315)&gt;0,N(I315)&gt;0),I315-F315-IF(N(G315)&gt;0,0.5,0)-IF(N(H315)&gt;0,0.5,0),0)</f>
        <v/>
      </c>
      <c r="K315" s="5" t="n"/>
      <c r="L315" s="7">
        <f>MIN(J315,8.0)</f>
        <v/>
      </c>
      <c r="M315" s="7">
        <f>MAX(0,MIN(J315,12)-8.0)</f>
        <v/>
      </c>
      <c r="N315" s="7">
        <f>MAX(0,J315-12)</f>
        <v/>
      </c>
      <c r="O315" s="5" t="n"/>
      <c r="P315" s="6">
        <f>E315*(L315+M315*1.5+N315*2+O315*3+N(K315))</f>
        <v/>
      </c>
      <c r="Q315" s="6" t="n">
        <v>576.75</v>
      </c>
      <c r="R315" s="6">
        <f>Q315-P315</f>
        <v/>
      </c>
    </row>
    <row r="316">
      <c r="P316" s="2" t="inlineStr">
        <is>
          <t>CAPTAIN LABOR</t>
        </is>
      </c>
      <c r="R316" s="8">
        <f>SUM(R314:R315)</f>
        <v/>
      </c>
    </row>
    <row r="318">
      <c r="B318" s="2" t="inlineStr">
        <is>
          <t>DRIVERS</t>
        </is>
      </c>
    </row>
    <row r="319">
      <c r="A319" s="5" t="inlineStr">
        <is>
          <t>3503</t>
        </is>
      </c>
      <c r="B319" s="5" t="inlineStr"/>
      <c r="C319" s="5" t="inlineStr">
        <is>
          <t>GRIPTRUCK 48'TRACTORTRAILERDRIVER</t>
        </is>
      </c>
      <c r="D319" s="5" t="inlineStr"/>
      <c r="E319" s="6" t="n">
        <v>32.36</v>
      </c>
      <c r="F319" s="5" t="n"/>
      <c r="G319" s="5" t="n"/>
      <c r="H319" s="5" t="n"/>
      <c r="I319" s="5" t="n"/>
      <c r="J319" s="7">
        <f>IF(AND(N(F319)&gt;0,N(I319)&gt;0),I319-F319-IF(N(G319)&gt;0,0.5,0)-IF(N(H319)&gt;0,0.5,0),0)</f>
        <v/>
      </c>
      <c r="K319" s="5" t="n"/>
      <c r="L319" s="7">
        <f>MIN(J319,8.0)</f>
        <v/>
      </c>
      <c r="M319" s="7">
        <f>MAX(0,MIN(J319,12)-8.0)</f>
        <v/>
      </c>
      <c r="N319" s="7">
        <f>MAX(0,J319-12)</f>
        <v/>
      </c>
      <c r="O319" s="5" t="n"/>
      <c r="P319" s="6">
        <f>E319*(L319+M319*1.5+N319*2+O319*3+N(K319))</f>
        <v/>
      </c>
      <c r="Q319" s="6" t="n">
        <v>501.58</v>
      </c>
      <c r="R319" s="6">
        <f>Q319-P319</f>
        <v/>
      </c>
    </row>
    <row r="320">
      <c r="A320" s="5" t="inlineStr">
        <is>
          <t>3503</t>
        </is>
      </c>
      <c r="B320" s="5" t="inlineStr">
        <is>
          <t>Donald Wilson</t>
        </is>
      </c>
      <c r="C320" s="5" t="inlineStr">
        <is>
          <t>PROP 5-TON(ENCLOSED)</t>
        </is>
      </c>
      <c r="D320" s="5" t="inlineStr"/>
      <c r="E320" s="6" t="n">
        <v>32.36</v>
      </c>
      <c r="F320" s="5" t="n"/>
      <c r="G320" s="5" t="n"/>
      <c r="H320" s="5" t="n"/>
      <c r="I320" s="5" t="n"/>
      <c r="J320" s="7">
        <f>IF(AND(N(F320)&gt;0,N(I320)&gt;0),I320-F320-IF(N(G320)&gt;0,0.5,0)-IF(N(H320)&gt;0,0.5,0),0)</f>
        <v/>
      </c>
      <c r="K320" s="5" t="n"/>
      <c r="L320" s="7">
        <f>MIN(J320,8.0)</f>
        <v/>
      </c>
      <c r="M320" s="7">
        <f>MAX(0,MIN(J320,12)-8.0)</f>
        <v/>
      </c>
      <c r="N320" s="7">
        <f>MAX(0,J320-12)</f>
        <v/>
      </c>
      <c r="O320" s="5" t="n"/>
      <c r="P320" s="6">
        <f>E320*(L320+M320*1.5+N320*2+O320*3+N(K320))</f>
        <v/>
      </c>
      <c r="Q320" s="6" t="n">
        <v>501.58</v>
      </c>
      <c r="R320" s="6">
        <f>Q320-P320</f>
        <v/>
      </c>
    </row>
    <row r="321">
      <c r="A321" s="5" t="inlineStr">
        <is>
          <t>3503</t>
        </is>
      </c>
      <c r="B321" s="5" t="inlineStr"/>
      <c r="C321" s="5" t="inlineStr">
        <is>
          <t>WARDROBESTAKEBEDDRIVER#1</t>
        </is>
      </c>
      <c r="D321" s="5" t="inlineStr"/>
      <c r="E321" s="6" t="n">
        <v>37.99</v>
      </c>
      <c r="F321" s="5" t="n"/>
      <c r="G321" s="5" t="n"/>
      <c r="H321" s="5" t="n"/>
      <c r="I321" s="5" t="n"/>
      <c r="J321" s="7">
        <f>IF(AND(N(F321)&gt;0,N(I321)&gt;0),I321-F321-IF(N(G321)&gt;0,0.5,0)-IF(N(H321)&gt;0,0.5,0),0)</f>
        <v/>
      </c>
      <c r="K321" s="5" t="n"/>
      <c r="L321" s="7">
        <f>MIN(J321,8.0)</f>
        <v/>
      </c>
      <c r="M321" s="7">
        <f>MAX(0,MIN(J321,12)-8.0)</f>
        <v/>
      </c>
      <c r="N321" s="7">
        <f>MAX(0,J321-12)</f>
        <v/>
      </c>
      <c r="O321" s="5" t="n"/>
      <c r="P321" s="6">
        <f>E321*(L321+M321*1.5+N321*2+O321*3+N(K321))</f>
        <v/>
      </c>
      <c r="Q321" s="6" t="n">
        <v>588.85</v>
      </c>
      <c r="R321" s="6">
        <f>Q321-P321</f>
        <v/>
      </c>
    </row>
    <row r="322">
      <c r="A322" s="5" t="inlineStr">
        <is>
          <t>3503</t>
        </is>
      </c>
      <c r="B322" s="5" t="inlineStr"/>
      <c r="C322" s="5" t="inlineStr">
        <is>
          <t>MAKEUPHAIRTRAILERDRIVER</t>
        </is>
      </c>
      <c r="D322" s="5" t="inlineStr"/>
      <c r="E322" s="6" t="n">
        <v>32.36</v>
      </c>
      <c r="F322" s="5" t="n"/>
      <c r="G322" s="5" t="n"/>
      <c r="H322" s="5" t="n"/>
      <c r="I322" s="5" t="n"/>
      <c r="J322" s="7">
        <f>IF(AND(N(F322)&gt;0,N(I322)&gt;0),I322-F322-IF(N(G322)&gt;0,0.5,0)-IF(N(H322)&gt;0,0.5,0),0)</f>
        <v/>
      </c>
      <c r="K322" s="5" t="n"/>
      <c r="L322" s="7">
        <f>MIN(J322,8.0)</f>
        <v/>
      </c>
      <c r="M322" s="7">
        <f>MAX(0,MIN(J322,12)-8.0)</f>
        <v/>
      </c>
      <c r="N322" s="7">
        <f>MAX(0,J322-12)</f>
        <v/>
      </c>
      <c r="O322" s="5" t="n"/>
      <c r="P322" s="6">
        <f>E322*(L322+M322*1.5+N322*2+O322*3+N(K322))</f>
        <v/>
      </c>
      <c r="Q322" s="6" t="n">
        <v>501.58</v>
      </c>
      <c r="R322" s="6">
        <f>Q322-P322</f>
        <v/>
      </c>
    </row>
    <row r="323">
      <c r="A323" s="5" t="inlineStr">
        <is>
          <t>3503</t>
        </is>
      </c>
      <c r="B323" s="5" t="inlineStr"/>
      <c r="C323" s="5" t="inlineStr">
        <is>
          <t>ELECTRIC 10TONDRIVER(GENIEOPERATOR)</t>
        </is>
      </c>
      <c r="D323" s="5" t="inlineStr"/>
      <c r="E323" s="6" t="n">
        <v>37.99</v>
      </c>
      <c r="F323" s="5" t="n"/>
      <c r="G323" s="5" t="n"/>
      <c r="H323" s="5" t="n"/>
      <c r="I323" s="5" t="n"/>
      <c r="J323" s="7">
        <f>IF(AND(N(F323)&gt;0,N(I323)&gt;0),I323-F323-IF(N(G323)&gt;0,0.5,0)-IF(N(H323)&gt;0,0.5,0),0)</f>
        <v/>
      </c>
      <c r="K323" s="5" t="n"/>
      <c r="L323" s="7">
        <f>MIN(J323,8.0)</f>
        <v/>
      </c>
      <c r="M323" s="7">
        <f>MAX(0,MIN(J323,12)-8.0)</f>
        <v/>
      </c>
      <c r="N323" s="7">
        <f>MAX(0,J323-12)</f>
        <v/>
      </c>
      <c r="O323" s="5" t="n"/>
      <c r="P323" s="6">
        <f>E323*(L323+M323*1.5+N323*2+O323*3+N(K323))</f>
        <v/>
      </c>
      <c r="Q323" s="6" t="n">
        <v>588.85</v>
      </c>
      <c r="R323" s="6">
        <f>Q323-P323</f>
        <v/>
      </c>
    </row>
    <row r="324">
      <c r="A324" s="5" t="inlineStr">
        <is>
          <t>3503</t>
        </is>
      </c>
      <c r="B324" s="5" t="inlineStr"/>
      <c r="C324" s="5" t="inlineStr">
        <is>
          <t>SOUNDCCSTAKEBEDFUELTRUCKDRIVER</t>
        </is>
      </c>
      <c r="D324" s="5" t="inlineStr"/>
      <c r="E324" s="6" t="n">
        <v>32.36</v>
      </c>
      <c r="F324" s="5" t="n"/>
      <c r="G324" s="5" t="n"/>
      <c r="H324" s="5" t="n"/>
      <c r="I324" s="5" t="n"/>
      <c r="J324" s="7">
        <f>IF(AND(N(F324)&gt;0,N(I324)&gt;0),I324-F324-IF(N(G324)&gt;0,0.5,0)-IF(N(H324)&gt;0,0.5,0),0)</f>
        <v/>
      </c>
      <c r="K324" s="5" t="n"/>
      <c r="L324" s="7">
        <f>MIN(J324,8.0)</f>
        <v/>
      </c>
      <c r="M324" s="7">
        <f>MAX(0,MIN(J324,12)-8.0)</f>
        <v/>
      </c>
      <c r="N324" s="7">
        <f>MAX(0,J324-12)</f>
        <v/>
      </c>
      <c r="O324" s="5" t="n"/>
      <c r="P324" s="6">
        <f>E324*(L324+M324*1.5+N324*2+O324*3+N(K324))</f>
        <v/>
      </c>
      <c r="Q324" s="6" t="n">
        <v>501.58</v>
      </c>
      <c r="R324" s="6">
        <f>Q324-P324</f>
        <v/>
      </c>
    </row>
    <row r="325">
      <c r="A325" s="5" t="inlineStr">
        <is>
          <t>3503</t>
        </is>
      </c>
      <c r="B325" s="5" t="inlineStr"/>
      <c r="C325" s="5" t="inlineStr">
        <is>
          <t>9-ROOMHONEYWAGONTRACTORDRIVER</t>
        </is>
      </c>
      <c r="D325" s="5" t="inlineStr"/>
      <c r="E325" s="6" t="n">
        <v>32.36</v>
      </c>
      <c r="F325" s="5" t="n"/>
      <c r="G325" s="5" t="n"/>
      <c r="H325" s="5" t="n"/>
      <c r="I325" s="5" t="n"/>
      <c r="J325" s="7">
        <f>IF(AND(N(F325)&gt;0,N(I325)&gt;0),I325-F325-IF(N(G325)&gt;0,0.5,0)-IF(N(H325)&gt;0,0.5,0),0)</f>
        <v/>
      </c>
      <c r="K325" s="5" t="n"/>
      <c r="L325" s="7">
        <f>MIN(J325,8.0)</f>
        <v/>
      </c>
      <c r="M325" s="7">
        <f>MAX(0,MIN(J325,12)-8.0)</f>
        <v/>
      </c>
      <c r="N325" s="7">
        <f>MAX(0,J325-12)</f>
        <v/>
      </c>
      <c r="O325" s="5" t="n"/>
      <c r="P325" s="6">
        <f>E325*(L325+M325*1.5+N325*2+O325*3+N(K325))</f>
        <v/>
      </c>
      <c r="Q325" s="6" t="n">
        <v>501.58</v>
      </c>
      <c r="R325" s="6">
        <f>Q325-P325</f>
        <v/>
      </c>
    </row>
    <row r="326">
      <c r="A326" s="5" t="inlineStr">
        <is>
          <t>3503</t>
        </is>
      </c>
      <c r="B326" s="5" t="inlineStr"/>
      <c r="C326" s="5" t="inlineStr">
        <is>
          <t>FORDTRANSITVANDRIVER#1</t>
        </is>
      </c>
      <c r="D326" s="5" t="inlineStr"/>
      <c r="E326" s="6" t="n">
        <v>32.36</v>
      </c>
      <c r="F326" s="5" t="n"/>
      <c r="G326" s="5" t="n"/>
      <c r="H326" s="5" t="n"/>
      <c r="I326" s="5" t="n"/>
      <c r="J326" s="7">
        <f>IF(AND(N(F326)&gt;0,N(I326)&gt;0),I326-F326-IF(N(G326)&gt;0,0.5,0)-IF(N(H326)&gt;0,0.5,0),0)</f>
        <v/>
      </c>
      <c r="K326" s="5" t="n"/>
      <c r="L326" s="7">
        <f>MIN(J326,8.0)</f>
        <v/>
      </c>
      <c r="M326" s="7">
        <f>MAX(0,MIN(J326,12)-8.0)</f>
        <v/>
      </c>
      <c r="N326" s="7">
        <f>MAX(0,J326-12)</f>
        <v/>
      </c>
      <c r="O326" s="5" t="n"/>
      <c r="P326" s="6">
        <f>E326*(L326+M326*1.5+N326*2+O326*3+N(K326))</f>
        <v/>
      </c>
      <c r="Q326" s="6" t="n">
        <v>501.58</v>
      </c>
      <c r="R326" s="6">
        <f>Q326-P326</f>
        <v/>
      </c>
    </row>
    <row r="327">
      <c r="A327" s="5" t="inlineStr">
        <is>
          <t>3503</t>
        </is>
      </c>
      <c r="B327" s="5" t="inlineStr">
        <is>
          <t>Kaiser Clark</t>
        </is>
      </c>
      <c r="C327" s="5" t="inlineStr">
        <is>
          <t>CSETDECTRUCKDRIVER#1</t>
        </is>
      </c>
      <c r="D327" s="5" t="inlineStr"/>
      <c r="E327" s="6" t="n">
        <v>32.36</v>
      </c>
      <c r="F327" s="5" t="n"/>
      <c r="G327" s="5" t="n"/>
      <c r="H327" s="5" t="n"/>
      <c r="I327" s="5" t="n"/>
      <c r="J327" s="7">
        <f>IF(AND(N(F327)&gt;0,N(I327)&gt;0),I327-F327-IF(N(G327)&gt;0,0.5,0)-IF(N(H327)&gt;0,0.5,0),0)</f>
        <v/>
      </c>
      <c r="K327" s="5" t="n"/>
      <c r="L327" s="7">
        <f>MIN(J327,8.0)</f>
        <v/>
      </c>
      <c r="M327" s="7">
        <f>MAX(0,MIN(J327,12)-8.0)</f>
        <v/>
      </c>
      <c r="N327" s="7">
        <f>MAX(0,J327-12)</f>
        <v/>
      </c>
      <c r="O327" s="5" t="n"/>
      <c r="P327" s="6">
        <f>E327*(L327+M327*1.5+N327*2+O327*3+N(K327))</f>
        <v/>
      </c>
      <c r="Q327" s="6" t="n">
        <v>501.58</v>
      </c>
      <c r="R327" s="6">
        <f>Q327-P327</f>
        <v/>
      </c>
    </row>
    <row r="328">
      <c r="A328" s="5" t="inlineStr">
        <is>
          <t>3503</t>
        </is>
      </c>
      <c r="B328" s="5" t="inlineStr"/>
      <c r="C328" s="5" t="inlineStr">
        <is>
          <t>C 5-TONENCLOSEDRIGGINGGRIPDRIVER</t>
        </is>
      </c>
      <c r="D328" s="5" t="inlineStr"/>
      <c r="E328" s="6" t="n">
        <v>32.36</v>
      </c>
      <c r="F328" s="5" t="n"/>
      <c r="G328" s="5" t="n"/>
      <c r="H328" s="5" t="n"/>
      <c r="I328" s="5" t="n"/>
      <c r="J328" s="7">
        <f>IF(AND(N(F328)&gt;0,N(I328)&gt;0),I328-F328-IF(N(G328)&gt;0,0.5,0)-IF(N(H328)&gt;0,0.5,0),0)</f>
        <v/>
      </c>
      <c r="K328" s="5" t="n"/>
      <c r="L328" s="7">
        <f>MIN(J328,8.0)</f>
        <v/>
      </c>
      <c r="M328" s="7">
        <f>MAX(0,MIN(J328,12)-8.0)</f>
        <v/>
      </c>
      <c r="N328" s="7">
        <f>MAX(0,J328-12)</f>
        <v/>
      </c>
      <c r="O328" s="5" t="n"/>
      <c r="P328" s="6">
        <f>E328*(L328+M328*1.5+N328*2+O328*3+N(K328))</f>
        <v/>
      </c>
      <c r="Q328" s="5" t="n"/>
      <c r="R328" s="6">
        <f>Q328-P328</f>
        <v/>
      </c>
    </row>
    <row r="329">
      <c r="A329" s="5" t="inlineStr">
        <is>
          <t>3503</t>
        </is>
      </c>
      <c r="B329" s="5" t="inlineStr"/>
      <c r="C329" s="5" t="inlineStr">
        <is>
          <t>SCOUTBUS</t>
        </is>
      </c>
      <c r="D329" s="5" t="inlineStr"/>
      <c r="E329" s="6" t="n">
        <v>32.36</v>
      </c>
      <c r="F329" s="5" t="n"/>
      <c r="G329" s="5" t="n"/>
      <c r="H329" s="5" t="n"/>
      <c r="I329" s="5" t="n"/>
      <c r="J329" s="7">
        <f>IF(AND(N(F329)&gt;0,N(I329)&gt;0),I329-F329-IF(N(G329)&gt;0,0.5,0)-IF(N(H329)&gt;0,0.5,0),0)</f>
        <v/>
      </c>
      <c r="K329" s="5" t="n"/>
      <c r="L329" s="7">
        <f>MIN(J329,8.0)</f>
        <v/>
      </c>
      <c r="M329" s="7">
        <f>MAX(0,MIN(J329,12)-8.0)</f>
        <v/>
      </c>
      <c r="N329" s="7">
        <f>MAX(0,J329-12)</f>
        <v/>
      </c>
      <c r="O329" s="5" t="n"/>
      <c r="P329" s="6">
        <f>E329*(L329+M329*1.5+N329*2+O329*3+N(K329))</f>
        <v/>
      </c>
      <c r="Q329" s="5" t="n"/>
      <c r="R329" s="6">
        <f>Q329-P329</f>
        <v/>
      </c>
    </row>
    <row r="330">
      <c r="A330" s="5" t="inlineStr">
        <is>
          <t>3503</t>
        </is>
      </c>
      <c r="B330" s="5" t="inlineStr"/>
      <c r="C330" s="5" t="inlineStr">
        <is>
          <t>DRIVERMANDAYS</t>
        </is>
      </c>
      <c r="D330" s="5" t="inlineStr"/>
      <c r="E330" s="6" t="n">
        <v>32.36</v>
      </c>
      <c r="F330" s="5" t="n"/>
      <c r="G330" s="5" t="n"/>
      <c r="H330" s="5" t="n"/>
      <c r="I330" s="5" t="n"/>
      <c r="J330" s="7">
        <f>IF(AND(N(F330)&gt;0,N(I330)&gt;0),I330-F330-IF(N(G330)&gt;0,0.5,0)-IF(N(H330)&gt;0,0.5,0),0)</f>
        <v/>
      </c>
      <c r="K330" s="5" t="n"/>
      <c r="L330" s="7">
        <f>MIN(J330,8.0)</f>
        <v/>
      </c>
      <c r="M330" s="7">
        <f>MAX(0,MIN(J330,12)-8.0)</f>
        <v/>
      </c>
      <c r="N330" s="7">
        <f>MAX(0,J330-12)</f>
        <v/>
      </c>
      <c r="O330" s="5" t="n"/>
      <c r="P330" s="6">
        <f>E330*(L330+M330*1.5+N330*2+O330*3+N(K330))</f>
        <v/>
      </c>
      <c r="Q330" s="5" t="n"/>
      <c r="R330" s="6">
        <f>Q330-P330</f>
        <v/>
      </c>
    </row>
    <row r="331">
      <c r="P331" s="2" t="inlineStr">
        <is>
          <t>DRIVERS LABOR</t>
        </is>
      </c>
      <c r="R331" s="8">
        <f>SUM(R319:R330)</f>
        <v/>
      </c>
    </row>
    <row r="333">
      <c r="B333" s="2" t="inlineStr">
        <is>
          <t>LOCATIONSITEFEES</t>
        </is>
      </c>
    </row>
    <row r="334">
      <c r="A334" s="5" t="inlineStr">
        <is>
          <t>3607</t>
        </is>
      </c>
      <c r="B334" s="5" t="inlineStr"/>
      <c r="C334" s="5" t="inlineStr">
        <is>
          <t>Location#1(Hospital ER, LACountry Childrens Shelter, Shelter Dorm, Dept...</t>
        </is>
      </c>
      <c r="D334" s="5" t="inlineStr">
        <is>
          <t>Local400</t>
        </is>
      </c>
      <c r="E334" s="6" t="n">
        <v>50000</v>
      </c>
      <c r="F334" s="5" t="n"/>
      <c r="G334" s="5" t="n"/>
      <c r="H334" s="5" t="n"/>
      <c r="I334" s="5" t="n"/>
      <c r="J334" s="7">
        <f>IF(AND(N(F334)&gt;0,N(I334)&gt;0),I334-F334-IF(N(G334)&gt;0,0.5,0)-IF(N(H334)&gt;0,0.5,0),0)</f>
        <v/>
      </c>
      <c r="K334" s="5" t="n"/>
      <c r="L334" s="7">
        <f>MIN(J334,8.0)</f>
        <v/>
      </c>
      <c r="M334" s="7">
        <f>MAX(0,MIN(J334,12)-8.0)</f>
        <v/>
      </c>
      <c r="N334" s="7">
        <f>MAX(0,J334-12)</f>
        <v/>
      </c>
      <c r="O334" s="5" t="n"/>
      <c r="P334" s="6">
        <f>E334*(L334+M334*1.5+N334*2+O334*3+N(K334))</f>
        <v/>
      </c>
      <c r="Q334" s="6" t="n">
        <v>50000</v>
      </c>
      <c r="R334" s="6">
        <f>Q334-P334</f>
        <v/>
      </c>
    </row>
    <row r="335">
      <c r="P335" s="2" t="inlineStr">
        <is>
          <t>LOCATIONSITEFEES LABOR</t>
        </is>
      </c>
      <c r="R335" s="8">
        <f>SUM(R334:R334)</f>
        <v/>
      </c>
    </row>
    <row r="337">
      <c r="B337" s="2" t="inlineStr">
        <is>
          <t>CATERINGLABOR</t>
        </is>
      </c>
    </row>
    <row r="338">
      <c r="A338" s="5" t="inlineStr">
        <is>
          <t>3621</t>
        </is>
      </c>
      <c r="B338" s="5" t="inlineStr"/>
      <c r="C338" s="5" t="inlineStr">
        <is>
          <t>COOKDRIVER#1</t>
        </is>
      </c>
      <c r="D338" s="5" t="inlineStr">
        <is>
          <t>Local399</t>
        </is>
      </c>
      <c r="E338" s="6" t="n">
        <v>32.36</v>
      </c>
      <c r="F338" s="5" t="n"/>
      <c r="G338" s="5" t="n"/>
      <c r="H338" s="5" t="n"/>
      <c r="I338" s="5" t="n"/>
      <c r="J338" s="7">
        <f>IF(AND(N(F338)&gt;0,N(I338)&gt;0),I338-F338-IF(N(G338)&gt;0,0.5,0)-IF(N(H338)&gt;0,0.5,0),0)</f>
        <v/>
      </c>
      <c r="K338" s="5" t="n"/>
      <c r="L338" s="7">
        <f>MIN(J338,8.0)</f>
        <v/>
      </c>
      <c r="M338" s="7">
        <f>MAX(0,MIN(J338,12)-8.0)</f>
        <v/>
      </c>
      <c r="N338" s="7">
        <f>MAX(0,J338-12)</f>
        <v/>
      </c>
      <c r="O338" s="5" t="n"/>
      <c r="P338" s="6">
        <f>E338*(L338+M338*1.5+N338*2+O338*3+N(K338))</f>
        <v/>
      </c>
      <c r="Q338" s="6" t="n">
        <v>647.2</v>
      </c>
      <c r="R338" s="6">
        <f>Q338-P338</f>
        <v/>
      </c>
    </row>
    <row r="339">
      <c r="A339" s="5" t="inlineStr">
        <is>
          <t>3621</t>
        </is>
      </c>
      <c r="B339" s="5" t="inlineStr"/>
      <c r="C339" s="5" t="inlineStr">
        <is>
          <t>1STASSTCATERER#1</t>
        </is>
      </c>
      <c r="D339" s="5" t="inlineStr"/>
      <c r="E339" s="6" t="n">
        <v>17</v>
      </c>
      <c r="F339" s="5" t="n"/>
      <c r="G339" s="5" t="n"/>
      <c r="H339" s="5" t="n"/>
      <c r="I339" s="5" t="n"/>
      <c r="J339" s="7">
        <f>IF(AND(N(F339)&gt;0,N(I339)&gt;0),I339-F339-IF(N(G339)&gt;0,0.5,0)-IF(N(H339)&gt;0,0.5,0),0)</f>
        <v/>
      </c>
      <c r="K339" s="5" t="n"/>
      <c r="L339" s="7">
        <f>MIN(J339,8.0)</f>
        <v/>
      </c>
      <c r="M339" s="7">
        <f>MAX(0,MIN(J339,12)-8.0)</f>
        <v/>
      </c>
      <c r="N339" s="7">
        <f>MAX(0,J339-12)</f>
        <v/>
      </c>
      <c r="O339" s="5" t="n"/>
      <c r="P339" s="6">
        <f>E339*(L339+M339*1.5+N339*2+O339*3+N(K339))</f>
        <v/>
      </c>
      <c r="Q339" s="6" t="n">
        <v>340</v>
      </c>
      <c r="R339" s="6">
        <f>Q339-P339</f>
        <v/>
      </c>
    </row>
    <row r="340">
      <c r="A340" s="5" t="inlineStr">
        <is>
          <t>3621</t>
        </is>
      </c>
      <c r="B340" s="5" t="inlineStr"/>
      <c r="C340" s="5" t="inlineStr">
        <is>
          <t>1STASSTCATERER#2</t>
        </is>
      </c>
      <c r="D340" s="5" t="inlineStr"/>
      <c r="E340" s="6" t="n">
        <v>16</v>
      </c>
      <c r="F340" s="5" t="n"/>
      <c r="G340" s="5" t="n"/>
      <c r="H340" s="5" t="n"/>
      <c r="I340" s="5" t="n"/>
      <c r="J340" s="7">
        <f>IF(AND(N(F340)&gt;0,N(I340)&gt;0),I340-F340-IF(N(G340)&gt;0,0.5,0)-IF(N(H340)&gt;0,0.5,0),0)</f>
        <v/>
      </c>
      <c r="K340" s="5" t="n"/>
      <c r="L340" s="7">
        <f>MIN(J340,8.0)</f>
        <v/>
      </c>
      <c r="M340" s="7">
        <f>MAX(0,MIN(J340,12)-8.0)</f>
        <v/>
      </c>
      <c r="N340" s="7">
        <f>MAX(0,J340-12)</f>
        <v/>
      </c>
      <c r="O340" s="5" t="n"/>
      <c r="P340" s="6">
        <f>E340*(L340+M340*1.5+N340*2+O340*3+N(K340))</f>
        <v/>
      </c>
      <c r="Q340" s="6" t="n">
        <v>320</v>
      </c>
      <c r="R340" s="6">
        <f>Q340-P340</f>
        <v/>
      </c>
    </row>
    <row r="341">
      <c r="P341" s="2" t="inlineStr">
        <is>
          <t>CATERINGLABOR LABOR</t>
        </is>
      </c>
      <c r="R341" s="8">
        <f>SUM(R338:R340)</f>
        <v/>
      </c>
    </row>
    <row r="343">
      <c r="K343" s="9" t="inlineStr">
        <is>
          <t>TOTAL</t>
        </is>
      </c>
      <c r="P343" s="9" t="inlineStr">
        <is>
          <t>ACTUAL</t>
        </is>
      </c>
      <c r="Q343" s="9" t="inlineStr">
        <is>
          <t>BUDGET</t>
        </is>
      </c>
      <c r="R343" s="9" t="inlineStr">
        <is>
          <t>TOTAL VAR</t>
        </is>
      </c>
    </row>
    <row r="344">
      <c r="P344" s="9" t="inlineStr">
        <is>
          <t>DAY COST</t>
        </is>
      </c>
      <c r="Q344" s="9" t="inlineStr">
        <is>
          <t>DY COST</t>
        </is>
      </c>
      <c r="R344" s="9" t="inlineStr">
        <is>
          <t>(OVER) / UNDER</t>
        </is>
      </c>
    </row>
    <row r="345">
      <c r="P345" s="10">
        <f>SUM(P6:P6)+SUM(P10:P11)+SUM(P15:P17)+SUM(P21:P22)+SUM(P26:P32)+SUM(P36:P36)+SUM(P40:P41)+SUM(P45:P45)+SUM(P49:P49)+SUM(P53:P54)+SUM(P58:P58)+SUM(P62:P62)+SUM(P66:P67)+SUM(P71:P71)+SUM(P75:P75)+SUM(P79:P80)+SUM(P84:P84)+SUM(P88:P88)+SUM(P92:P93)+SUM(P97:P100)+SUM(P104:P104)+SUM(P108:P109)+SUM(P113:P113)+SUM(P117:P117)+SUM(P121:P121)+SUM(P125:P125)+SUM(P129:P130)+SUM(P134:P134)+SUM(P138:P139)+SUM(P143:P145)+SUM(P149:P149)+SUM(P153:P153)+SUM(P157:P158)+SUM(P162:P163)+SUM(P167:P167)+SUM(P171:P173)+SUM(P177:P177)+SUM(P181:P181)+SUM(P185:P187)+SUM(P191:P191)+SUM(P195:P195)+SUM(P199:P199)+SUM(P203:P203)+SUM(P207:P207)+SUM(P211:P211)+SUM(P215:P216)+SUM(P220:P220)+SUM(P224:P224)+SUM(P228:P228)+SUM(P232:P233)+SUM(P237:P237)+SUM(P241:P241)+SUM(P245:P245)+SUM(P249:P249)+SUM(P253:P254)+SUM(P258:P260)+SUM(P264:P264)+SUM(P268:P268)+SUM(P272:P272)+SUM(P276:P276)+SUM(P280:P281)+SUM(P285:P286)+SUM(P290:P290)+SUM(P294:P294)+SUM(P298:P298)+SUM(P302:P302)+SUM(P306:P306)+SUM(P310:P310)+SUM(P314:P315)+SUM(P319:P330)+SUM(P334:P334)+SUM(P338:P340)</f>
        <v/>
      </c>
      <c r="Q345" s="10">
        <f>SUM(Q6:Q6)+SUM(Q10:Q11)+SUM(Q15:Q17)+SUM(Q21:Q22)+SUM(Q26:Q32)+SUM(Q36:Q36)+SUM(Q40:Q41)+SUM(Q45:Q45)+SUM(Q49:Q49)+SUM(Q53:Q54)+SUM(Q58:Q58)+SUM(Q62:Q62)+SUM(Q66:Q67)+SUM(Q71:Q71)+SUM(Q75:Q75)+SUM(Q79:Q80)+SUM(Q84:Q84)+SUM(Q88:Q88)+SUM(Q92:Q93)+SUM(Q97:Q100)+SUM(Q104:Q104)+SUM(Q108:Q109)+SUM(Q113:Q113)+SUM(Q117:Q117)+SUM(Q121:Q121)+SUM(Q125:Q125)+SUM(Q129:Q130)+SUM(Q134:Q134)+SUM(Q138:Q139)+SUM(Q143:Q145)+SUM(Q149:Q149)+SUM(Q153:Q153)+SUM(Q157:Q158)+SUM(Q162:Q163)+SUM(Q167:Q167)+SUM(Q171:Q173)+SUM(Q177:Q177)+SUM(Q181:Q181)+SUM(Q185:Q187)+SUM(Q191:Q191)+SUM(Q195:Q195)+SUM(Q199:Q199)+SUM(Q203:Q203)+SUM(Q207:Q207)+SUM(Q211:Q211)+SUM(Q215:Q216)+SUM(Q220:Q220)+SUM(Q224:Q224)+SUM(Q228:Q228)+SUM(Q232:Q233)+SUM(Q237:Q237)+SUM(Q241:Q241)+SUM(Q245:Q245)+SUM(Q249:Q249)+SUM(Q253:Q254)+SUM(Q258:Q260)+SUM(Q264:Q264)+SUM(Q268:Q268)+SUM(Q272:Q272)+SUM(Q276:Q276)+SUM(Q280:Q281)+SUM(Q285:Q286)+SUM(Q290:Q290)+SUM(Q294:Q294)+SUM(Q298:Q298)+SUM(Q302:Q302)+SUM(Q306:Q306)+SUM(Q310:Q310)+SUM(Q314:Q315)+SUM(Q319:Q330)+SUM(Q334:Q334)+SUM(Q338:Q340)</f>
        <v/>
      </c>
      <c r="R345" s="10">
        <f>SUM(R6:R6)+SUM(R10:R11)+SUM(R15:R17)+SUM(R21:R22)+SUM(R26:R32)+SUM(R36:R36)+SUM(R40:R41)+SUM(R45:R45)+SUM(R49:R49)+SUM(R53:R54)+SUM(R58:R58)+SUM(R62:R62)+SUM(R66:R67)+SUM(R71:R71)+SUM(R75:R75)+SUM(R79:R80)+SUM(R84:R84)+SUM(R88:R88)+SUM(R92:R93)+SUM(R97:R100)+SUM(R104:R104)+SUM(R108:R109)+SUM(R113:R113)+SUM(R117:R117)+SUM(R121:R121)+SUM(R125:R125)+SUM(R129:R130)+SUM(R134:R134)+SUM(R138:R139)+SUM(R143:R145)+SUM(R149:R149)+SUM(R153:R153)+SUM(R157:R158)+SUM(R162:R163)+SUM(R167:R167)+SUM(R171:R173)+SUM(R177:R177)+SUM(R181:R181)+SUM(R185:R187)+SUM(R191:R191)+SUM(R195:R195)+SUM(R199:R199)+SUM(R203:R203)+SUM(R207:R207)+SUM(R211:R211)+SUM(R215:R216)+SUM(R220:R220)+SUM(R224:R224)+SUM(R228:R228)+SUM(R232:R233)+SUM(R237:R237)+SUM(R241:R241)+SUM(R245:R245)+SUM(R249:R249)+SUM(R253:R254)+SUM(R258:R260)+SUM(R264:R264)+SUM(R268:R268)+SUM(R272:R272)+SUM(R276:R276)+SUM(R280:R281)+SUM(R285:R286)+SUM(R290:R290)+SUM(R294:R294)+SUM(R298:R298)+SUM(R302:R302)+SUM(R306:R306)+SUM(R310:R310)+SUM(R314:R315)+SUM(R319:R330)+SUM(R334:R334)+SUM(R338:R340)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R34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20" customWidth="1" min="3" max="3"/>
    <col width="9" customWidth="1" min="4" max="4"/>
    <col width="9" customWidth="1" min="5" max="5"/>
    <col width="7" customWidth="1" min="6" max="6"/>
    <col width="7" customWidth="1" min="7" max="7"/>
    <col width="8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12" customWidth="1" min="16" max="16"/>
    <col width="13" customWidth="1" min="17" max="17"/>
    <col width="14" customWidth="1" min="18" max="18"/>
  </cols>
  <sheetData>
    <row r="1">
      <c r="A1" s="1" t="inlineStr">
        <is>
          <t>HOT COST</t>
        </is>
      </c>
      <c r="C1" t="inlineStr">
        <is>
          <t>Thursday 09 Nov 2017</t>
        </is>
      </c>
      <c r="F1" s="2" t="inlineStr">
        <is>
          <t>DAY #19</t>
        </is>
      </c>
    </row>
    <row r="2">
      <c r="A2" s="3" t="inlineStr">
        <is>
          <t>enter CALL, LUNCH, WRAP as decimal hours (e.g. 7.5) — everything right of WRAP computes</t>
        </is>
      </c>
    </row>
    <row r="4">
      <c r="A4" s="4" t="inlineStr">
        <is>
          <t>ACCT</t>
        </is>
      </c>
      <c r="B4" s="4" t="inlineStr">
        <is>
          <t>NAME</t>
        </is>
      </c>
      <c r="C4" s="4" t="inlineStr">
        <is>
          <t>POSITION</t>
        </is>
      </c>
      <c r="D4" s="4" t="inlineStr">
        <is>
          <t>UNION</t>
        </is>
      </c>
      <c r="E4" s="4" t="inlineStr">
        <is>
          <t>RATE</t>
        </is>
      </c>
      <c r="F4" s="4" t="inlineStr">
        <is>
          <t>CALL</t>
        </is>
      </c>
      <c r="G4" s="4" t="inlineStr">
        <is>
          <t>LUNCH</t>
        </is>
      </c>
      <c r="H4" s="4" t="inlineStr">
        <is>
          <t>LUNCH 2</t>
        </is>
      </c>
      <c r="I4" s="4" t="inlineStr">
        <is>
          <t>WRAP</t>
        </is>
      </c>
      <c r="J4" s="4" t="inlineStr">
        <is>
          <t>HRS</t>
        </is>
      </c>
      <c r="K4" s="4" t="inlineStr">
        <is>
          <t>MP'S</t>
        </is>
      </c>
      <c r="L4" s="4" t="inlineStr">
        <is>
          <t>ST</t>
        </is>
      </c>
      <c r="M4" s="4" t="inlineStr">
        <is>
          <t>1.5X</t>
        </is>
      </c>
      <c r="N4" s="4" t="inlineStr">
        <is>
          <t>2X</t>
        </is>
      </c>
      <c r="O4" s="4" t="inlineStr">
        <is>
          <t>3X</t>
        </is>
      </c>
      <c r="P4" s="4" t="inlineStr">
        <is>
          <t>TOTAL / DAY</t>
        </is>
      </c>
      <c r="Q4" s="4" t="inlineStr">
        <is>
          <t>BUDGET / DAY</t>
        </is>
      </c>
      <c r="R4" s="4" t="inlineStr">
        <is>
          <t>(OVER) / UNDER</t>
        </is>
      </c>
    </row>
    <row r="5">
      <c r="B5" s="2" t="inlineStr">
        <is>
          <t>LEAD#</t>
        </is>
      </c>
    </row>
    <row r="6">
      <c r="A6" s="5" t="inlineStr">
        <is>
          <t>1401</t>
        </is>
      </c>
      <c r="B6" s="5" t="inlineStr">
        <is>
          <t>Linda Cardellini</t>
        </is>
      </c>
      <c r="C6" s="5" t="inlineStr">
        <is>
          <t>"ANNA"</t>
        </is>
      </c>
      <c r="D6" s="5" t="inlineStr"/>
      <c r="E6" s="6" t="n">
        <v>1211.8</v>
      </c>
      <c r="F6" s="5" t="n"/>
      <c r="G6" s="5" t="n"/>
      <c r="H6" s="5" t="n"/>
      <c r="I6" s="5" t="n"/>
      <c r="J6" s="7">
        <f>IF(AND(N(F6)&gt;0,N(I6)&gt;0),I6-F6-IF(N(G6)&gt;0,0.5,0)-IF(N(H6)&gt;0,0.5,0),0)</f>
        <v/>
      </c>
      <c r="K6" s="5" t="n"/>
      <c r="L6" s="7">
        <f>MIN(J6,8.0)</f>
        <v/>
      </c>
      <c r="M6" s="7">
        <f>MAX(0,MIN(J6,12)-8.0)</f>
        <v/>
      </c>
      <c r="N6" s="7">
        <f>MAX(0,J6-12)</f>
        <v/>
      </c>
      <c r="O6" s="5" t="n"/>
      <c r="P6" s="6">
        <f>E6*(L6+M6*1.5+N6*2+O6*3+N(K6))</f>
        <v/>
      </c>
      <c r="Q6" s="6" t="n">
        <v>1211.8</v>
      </c>
      <c r="R6" s="6">
        <f>Q6-P6</f>
        <v/>
      </c>
    </row>
    <row r="7">
      <c r="P7" s="2" t="inlineStr">
        <is>
          <t>LEAD# LABOR</t>
        </is>
      </c>
      <c r="R7" s="8">
        <f>SUM(R6:R6)</f>
        <v/>
      </c>
    </row>
    <row r="9">
      <c r="B9" s="2" t="inlineStr">
        <is>
          <t>LEAD#2&amp;#</t>
        </is>
      </c>
    </row>
    <row r="10">
      <c r="A10" s="5" t="inlineStr">
        <is>
          <t>1402</t>
        </is>
      </c>
      <c r="B10" s="5" t="inlineStr">
        <is>
          <t>Roman Christou</t>
        </is>
      </c>
      <c r="C10" s="5" t="inlineStr">
        <is>
          <t>"CHRIS"(Minor)</t>
        </is>
      </c>
      <c r="D10" s="5" t="inlineStr"/>
      <c r="E10" s="6" t="n">
        <v>755.4</v>
      </c>
      <c r="F10" s="5" t="n"/>
      <c r="G10" s="5" t="n"/>
      <c r="H10" s="5" t="n"/>
      <c r="I10" s="5" t="n"/>
      <c r="J10" s="7">
        <f>IF(AND(N(F10)&gt;0,N(I10)&gt;0),I10-F10-IF(N(G10)&gt;0,0.5,0)-IF(N(H10)&gt;0,0.5,0),0)</f>
        <v/>
      </c>
      <c r="K10" s="5" t="n"/>
      <c r="L10" s="7">
        <f>MIN(J10,8.0)</f>
        <v/>
      </c>
      <c r="M10" s="7">
        <f>MAX(0,MIN(J10,12)-8.0)</f>
        <v/>
      </c>
      <c r="N10" s="7">
        <f>MAX(0,J10-12)</f>
        <v/>
      </c>
      <c r="O10" s="5" t="n"/>
      <c r="P10" s="6">
        <f>E10*(L10+M10*1.5+N10*2+O10*3+N(K10))</f>
        <v/>
      </c>
      <c r="Q10" s="6" t="n">
        <v>755.4</v>
      </c>
      <c r="R10" s="6">
        <f>Q10-P10</f>
        <v/>
      </c>
    </row>
    <row r="11">
      <c r="A11" s="5" t="inlineStr">
        <is>
          <t>1402</t>
        </is>
      </c>
      <c r="B11" s="5" t="inlineStr">
        <is>
          <t>Jaynee Lynee Kinchen</t>
        </is>
      </c>
      <c r="C11" s="5" t="inlineStr">
        <is>
          <t>"SAMANTHA"(Minor)</t>
        </is>
      </c>
      <c r="D11" s="5" t="inlineStr"/>
      <c r="E11" s="6" t="n">
        <v>755.4</v>
      </c>
      <c r="F11" s="5" t="n"/>
      <c r="G11" s="5" t="n"/>
      <c r="H11" s="5" t="n"/>
      <c r="I11" s="5" t="n"/>
      <c r="J11" s="7">
        <f>IF(AND(N(F11)&gt;0,N(I11)&gt;0),I11-F11-IF(N(G11)&gt;0,0.5,0)-IF(N(H11)&gt;0,0.5,0),0)</f>
        <v/>
      </c>
      <c r="K11" s="5" t="n"/>
      <c r="L11" s="7">
        <f>MIN(J11,8.0)</f>
        <v/>
      </c>
      <c r="M11" s="7">
        <f>MAX(0,MIN(J11,12)-8.0)</f>
        <v/>
      </c>
      <c r="N11" s="7">
        <f>MAX(0,J11-12)</f>
        <v/>
      </c>
      <c r="O11" s="5" t="n"/>
      <c r="P11" s="6">
        <f>E11*(L11+M11*1.5+N11*2+O11*3+N(K11))</f>
        <v/>
      </c>
      <c r="Q11" s="6" t="n">
        <v>755.4</v>
      </c>
      <c r="R11" s="6">
        <f>Q11-P11</f>
        <v/>
      </c>
    </row>
    <row r="12">
      <c r="P12" s="2" t="inlineStr">
        <is>
          <t>LEAD#2&amp;# LABOR</t>
        </is>
      </c>
      <c r="R12" s="8">
        <f>SUM(R10:R11)</f>
        <v/>
      </c>
    </row>
    <row r="14">
      <c r="B14" s="2" t="inlineStr">
        <is>
          <t>OTHERLEADCAST</t>
        </is>
      </c>
    </row>
    <row r="15">
      <c r="A15" s="5" t="inlineStr">
        <is>
          <t>1403</t>
        </is>
      </c>
      <c r="B15" s="5" t="inlineStr">
        <is>
          <t>Raymond Cruz</t>
        </is>
      </c>
      <c r="C15" s="5" t="inlineStr">
        <is>
          <t>"RAFAELOLVERA"</t>
        </is>
      </c>
      <c r="D15" s="5" t="inlineStr"/>
      <c r="E15" s="6" t="n">
        <v>1211.8</v>
      </c>
      <c r="F15" s="5" t="n"/>
      <c r="G15" s="5" t="n"/>
      <c r="H15" s="5" t="n"/>
      <c r="I15" s="5" t="n"/>
      <c r="J15" s="7">
        <f>IF(AND(N(F15)&gt;0,N(I15)&gt;0),I15-F15-IF(N(G15)&gt;0,0.5,0)-IF(N(H15)&gt;0,0.5,0),0)</f>
        <v/>
      </c>
      <c r="K15" s="5" t="n"/>
      <c r="L15" s="7">
        <f>MIN(J15,8.0)</f>
        <v/>
      </c>
      <c r="M15" s="7">
        <f>MAX(0,MIN(J15,12)-8.0)</f>
        <v/>
      </c>
      <c r="N15" s="7">
        <f>MAX(0,J15-12)</f>
        <v/>
      </c>
      <c r="O15" s="5" t="n"/>
      <c r="P15" s="6">
        <f>E15*(L15+M15*1.5+N15*2+O15*3+N(K15))</f>
        <v/>
      </c>
      <c r="Q15" s="6" t="n">
        <v>1211.8</v>
      </c>
      <c r="R15" s="6">
        <f>Q15-P15</f>
        <v/>
      </c>
    </row>
    <row r="16">
      <c r="A16" s="5" t="inlineStr">
        <is>
          <t>1403</t>
        </is>
      </c>
      <c r="B16" s="5" t="inlineStr">
        <is>
          <t>Marisol Ramirez</t>
        </is>
      </c>
      <c r="C16" s="5" t="inlineStr">
        <is>
          <t>"LALLORONA"</t>
        </is>
      </c>
      <c r="D16" s="5" t="inlineStr"/>
      <c r="E16" s="6" t="n">
        <v>1211.8</v>
      </c>
      <c r="F16" s="5" t="n"/>
      <c r="G16" s="5" t="n"/>
      <c r="H16" s="5" t="n"/>
      <c r="I16" s="5" t="n"/>
      <c r="J16" s="7">
        <f>IF(AND(N(F16)&gt;0,N(I16)&gt;0),I16-F16-IF(N(G16)&gt;0,0.5,0)-IF(N(H16)&gt;0,0.5,0),0)</f>
        <v/>
      </c>
      <c r="K16" s="5" t="n"/>
      <c r="L16" s="7">
        <f>MIN(J16,8.0)</f>
        <v/>
      </c>
      <c r="M16" s="7">
        <f>MAX(0,MIN(J16,12)-8.0)</f>
        <v/>
      </c>
      <c r="N16" s="7">
        <f>MAX(0,J16-12)</f>
        <v/>
      </c>
      <c r="O16" s="5" t="n"/>
      <c r="P16" s="6">
        <f>E16*(L16+M16*1.5+N16*2+O16*3+N(K16))</f>
        <v/>
      </c>
      <c r="Q16" s="6" t="n">
        <v>1211.8</v>
      </c>
      <c r="R16" s="6">
        <f>Q16-P16</f>
        <v/>
      </c>
    </row>
    <row r="17">
      <c r="A17" s="5" t="inlineStr">
        <is>
          <t>1403</t>
        </is>
      </c>
      <c r="B17" s="5" t="inlineStr">
        <is>
          <t>Patrica Velasquez</t>
        </is>
      </c>
      <c r="C17" s="5" t="inlineStr">
        <is>
          <t>"PATRICIA"</t>
        </is>
      </c>
      <c r="D17" s="5" t="inlineStr"/>
      <c r="E17" s="6" t="n">
        <v>1972</v>
      </c>
      <c r="F17" s="5" t="n"/>
      <c r="G17" s="5" t="n"/>
      <c r="H17" s="5" t="n"/>
      <c r="I17" s="5" t="n"/>
      <c r="J17" s="7">
        <f>IF(AND(N(F17)&gt;0,N(I17)&gt;0),I17-F17-IF(N(G17)&gt;0,0.5,0)-IF(N(H17)&gt;0,0.5,0),0)</f>
        <v/>
      </c>
      <c r="K17" s="5" t="n"/>
      <c r="L17" s="7">
        <f>MIN(J17,8.0)</f>
        <v/>
      </c>
      <c r="M17" s="7">
        <f>MAX(0,MIN(J17,12)-8.0)</f>
        <v/>
      </c>
      <c r="N17" s="7">
        <f>MAX(0,J17-12)</f>
        <v/>
      </c>
      <c r="O17" s="5" t="n"/>
      <c r="P17" s="6">
        <f>E17*(L17+M17*1.5+N17*2+O17*3+N(K17))</f>
        <v/>
      </c>
      <c r="Q17" s="6" t="n">
        <v>1972</v>
      </c>
      <c r="R17" s="6">
        <f>Q17-P17</f>
        <v/>
      </c>
    </row>
    <row r="18">
      <c r="P18" s="2" t="inlineStr">
        <is>
          <t>OTHERLEADCAST LABOR</t>
        </is>
      </c>
      <c r="R18" s="8">
        <f>SUM(R15:R17)</f>
        <v/>
      </c>
    </row>
    <row r="20">
      <c r="B20" s="2" t="inlineStr">
        <is>
          <t>SUPPORTINGCAST</t>
        </is>
      </c>
    </row>
    <row r="21">
      <c r="A21" s="5" t="inlineStr">
        <is>
          <t>1404</t>
        </is>
      </c>
      <c r="B21" s="5" t="inlineStr">
        <is>
          <t>Sean Patrick Thomas</t>
        </is>
      </c>
      <c r="C21" s="5" t="inlineStr">
        <is>
          <t>DETCOOPER</t>
        </is>
      </c>
      <c r="D21" s="5" t="inlineStr"/>
      <c r="E21" s="6" t="n">
        <v>1211.8</v>
      </c>
      <c r="F21" s="5" t="n"/>
      <c r="G21" s="5" t="n"/>
      <c r="H21" s="5" t="n"/>
      <c r="I21" s="5" t="n"/>
      <c r="J21" s="7">
        <f>IF(AND(N(F21)&gt;0,N(I21)&gt;0),I21-F21-IF(N(G21)&gt;0,0.5,0)-IF(N(H21)&gt;0,0.5,0),0)</f>
        <v/>
      </c>
      <c r="K21" s="5" t="n"/>
      <c r="L21" s="7">
        <f>MIN(J21,8.0)</f>
        <v/>
      </c>
      <c r="M21" s="7">
        <f>MAX(0,MIN(J21,12)-8.0)</f>
        <v/>
      </c>
      <c r="N21" s="7">
        <f>MAX(0,J21-12)</f>
        <v/>
      </c>
      <c r="O21" s="5" t="n"/>
      <c r="P21" s="6">
        <f>E21*(L21+M21*1.5+N21*2+O21*3+N(K21))</f>
        <v/>
      </c>
      <c r="Q21" s="6" t="n">
        <v>1211.8</v>
      </c>
      <c r="R21" s="6">
        <f>Q21-P21</f>
        <v/>
      </c>
    </row>
    <row r="22">
      <c r="A22" s="5" t="inlineStr">
        <is>
          <t>1404</t>
        </is>
      </c>
      <c r="B22" s="5" t="inlineStr">
        <is>
          <t>Tony Amendola</t>
        </is>
      </c>
      <c r="C22" s="5" t="inlineStr">
        <is>
          <t>"FATHERPEREZ"</t>
        </is>
      </c>
      <c r="D22" s="5" t="inlineStr"/>
      <c r="E22" s="6" t="n">
        <v>1972</v>
      </c>
      <c r="F22" s="5" t="n"/>
      <c r="G22" s="5" t="n"/>
      <c r="H22" s="5" t="n"/>
      <c r="I22" s="5" t="n"/>
      <c r="J22" s="7">
        <f>IF(AND(N(F22)&gt;0,N(I22)&gt;0),I22-F22-IF(N(G22)&gt;0,0.5,0)-IF(N(H22)&gt;0,0.5,0),0)</f>
        <v/>
      </c>
      <c r="K22" s="5" t="n"/>
      <c r="L22" s="7">
        <f>MIN(J22,8.0)</f>
        <v/>
      </c>
      <c r="M22" s="7">
        <f>MAX(0,MIN(J22,12)-8.0)</f>
        <v/>
      </c>
      <c r="N22" s="7">
        <f>MAX(0,J22-12)</f>
        <v/>
      </c>
      <c r="O22" s="5" t="n"/>
      <c r="P22" s="6">
        <f>E22*(L22+M22*1.5+N22*2+O22*3+N(K22))</f>
        <v/>
      </c>
      <c r="Q22" s="6" t="n">
        <v>1972</v>
      </c>
      <c r="R22" s="6">
        <f>Q22-P22</f>
        <v/>
      </c>
    </row>
    <row r="23">
      <c r="P23" s="2" t="inlineStr">
        <is>
          <t>SUPPORTINGCAST LABOR</t>
        </is>
      </c>
      <c r="R23" s="8">
        <f>SUM(R21:R22)</f>
        <v/>
      </c>
    </row>
    <row r="25">
      <c r="B25" s="2" t="inlineStr">
        <is>
          <t>DAYPLAYERS</t>
        </is>
      </c>
    </row>
    <row r="26">
      <c r="A26" s="5" t="inlineStr">
        <is>
          <t>1405</t>
        </is>
      </c>
      <c r="B26" s="5" t="inlineStr">
        <is>
          <t>Kristy Keng(Drop/Pickup)</t>
        </is>
      </c>
      <c r="C26" s="5" t="inlineStr">
        <is>
          <t>"DONNA"</t>
        </is>
      </c>
      <c r="D26" s="5" t="inlineStr"/>
      <c r="E26" s="6" t="n">
        <v>1972</v>
      </c>
      <c r="F26" s="5" t="n"/>
      <c r="G26" s="5" t="n"/>
      <c r="H26" s="5" t="n"/>
      <c r="I26" s="5" t="n"/>
      <c r="J26" s="7">
        <f>IF(AND(N(F26)&gt;0,N(I26)&gt;0),I26-F26-IF(N(G26)&gt;0,0.5,0)-IF(N(H26)&gt;0,0.5,0),0)</f>
        <v/>
      </c>
      <c r="K26" s="5" t="n"/>
      <c r="L26" s="7">
        <f>MIN(J26,8.0)</f>
        <v/>
      </c>
      <c r="M26" s="7">
        <f>MAX(0,MIN(J26,12)-8.0)</f>
        <v/>
      </c>
      <c r="N26" s="7">
        <f>MAX(0,J26-12)</f>
        <v/>
      </c>
      <c r="O26" s="5" t="n"/>
      <c r="P26" s="6">
        <f>E26*(L26+M26*1.5+N26*2+O26*3+N(K26))</f>
        <v/>
      </c>
      <c r="Q26" s="6" t="n">
        <v>1972</v>
      </c>
      <c r="R26" s="6">
        <f>Q26-P26</f>
        <v/>
      </c>
    </row>
    <row r="27">
      <c r="A27" s="5" t="inlineStr">
        <is>
          <t>1405</t>
        </is>
      </c>
      <c r="B27" s="5" t="inlineStr">
        <is>
          <t>Oliver Alexander</t>
        </is>
      </c>
      <c r="C27" s="5" t="inlineStr">
        <is>
          <t>"CARLOS"(Minor)</t>
        </is>
      </c>
      <c r="D27" s="5" t="inlineStr"/>
      <c r="E27" s="6" t="n">
        <v>1249</v>
      </c>
      <c r="F27" s="5" t="n"/>
      <c r="G27" s="5" t="n"/>
      <c r="H27" s="5" t="n"/>
      <c r="I27" s="5" t="n"/>
      <c r="J27" s="7">
        <f>IF(AND(N(F27)&gt;0,N(I27)&gt;0),I27-F27-IF(N(G27)&gt;0,0.5,0)-IF(N(H27)&gt;0,0.5,0),0)</f>
        <v/>
      </c>
      <c r="K27" s="5" t="n"/>
      <c r="L27" s="7">
        <f>MIN(J27,8.0)</f>
        <v/>
      </c>
      <c r="M27" s="7">
        <f>MAX(0,MIN(J27,12)-8.0)</f>
        <v/>
      </c>
      <c r="N27" s="7">
        <f>MAX(0,J27-12)</f>
        <v/>
      </c>
      <c r="O27" s="5" t="n"/>
      <c r="P27" s="6">
        <f>E27*(L27+M27*1.5+N27*2+O27*3+N(K27))</f>
        <v/>
      </c>
      <c r="Q27" s="6" t="n">
        <v>1249</v>
      </c>
      <c r="R27" s="6">
        <f>Q27-P27</f>
        <v/>
      </c>
    </row>
    <row r="28">
      <c r="A28" s="5" t="inlineStr">
        <is>
          <t>1405</t>
        </is>
      </c>
      <c r="B28" s="5" t="inlineStr">
        <is>
          <t>Adam Lewandowski</t>
        </is>
      </c>
      <c r="C28" s="5" t="inlineStr">
        <is>
          <t>"TOMAS"(Minor)</t>
        </is>
      </c>
      <c r="D28" s="5" t="inlineStr"/>
      <c r="E28" s="6" t="n">
        <v>1249</v>
      </c>
      <c r="F28" s="5" t="n"/>
      <c r="G28" s="5" t="n"/>
      <c r="H28" s="5" t="n"/>
      <c r="I28" s="5" t="n"/>
      <c r="J28" s="7">
        <f>IF(AND(N(F28)&gt;0,N(I28)&gt;0),I28-F28-IF(N(G28)&gt;0,0.5,0)-IF(N(H28)&gt;0,0.5,0),0)</f>
        <v/>
      </c>
      <c r="K28" s="5" t="n"/>
      <c r="L28" s="7">
        <f>MIN(J28,8.0)</f>
        <v/>
      </c>
      <c r="M28" s="7">
        <f>MAX(0,MIN(J28,12)-8.0)</f>
        <v/>
      </c>
      <c r="N28" s="7">
        <f>MAX(0,J28-12)</f>
        <v/>
      </c>
      <c r="O28" s="5" t="n"/>
      <c r="P28" s="6">
        <f>E28*(L28+M28*1.5+N28*2+O28*3+N(K28))</f>
        <v/>
      </c>
      <c r="Q28" s="6" t="n">
        <v>1249</v>
      </c>
      <c r="R28" s="6">
        <f>Q28-P28</f>
        <v/>
      </c>
    </row>
    <row r="29">
      <c r="A29" s="5" t="inlineStr">
        <is>
          <t>1405</t>
        </is>
      </c>
      <c r="B29" s="5" t="inlineStr">
        <is>
          <t>Paul Rodriquez Jr.</t>
        </is>
      </c>
      <c r="C29" s="5" t="inlineStr">
        <is>
          <t>"OFFICERCLARO"</t>
        </is>
      </c>
      <c r="D29" s="5" t="inlineStr"/>
      <c r="E29" s="6" t="n">
        <v>1972</v>
      </c>
      <c r="F29" s="5" t="n"/>
      <c r="G29" s="5" t="n"/>
      <c r="H29" s="5" t="n"/>
      <c r="I29" s="5" t="n"/>
      <c r="J29" s="7">
        <f>IF(AND(N(F29)&gt;0,N(I29)&gt;0),I29-F29-IF(N(G29)&gt;0,0.5,0)-IF(N(H29)&gt;0,0.5,0),0)</f>
        <v/>
      </c>
      <c r="K29" s="5" t="n"/>
      <c r="L29" s="7">
        <f>MIN(J29,8.0)</f>
        <v/>
      </c>
      <c r="M29" s="7">
        <f>MAX(0,MIN(J29,12)-8.0)</f>
        <v/>
      </c>
      <c r="N29" s="7">
        <f>MAX(0,J29-12)</f>
        <v/>
      </c>
      <c r="O29" s="5" t="n"/>
      <c r="P29" s="6">
        <f>E29*(L29+M29*1.5+N29*2+O29*3+N(K29))</f>
        <v/>
      </c>
      <c r="Q29" s="6" t="n">
        <v>1972</v>
      </c>
      <c r="R29" s="6">
        <f>Q29-P29</f>
        <v/>
      </c>
    </row>
    <row r="30">
      <c r="A30" s="5" t="inlineStr">
        <is>
          <t>1405</t>
        </is>
      </c>
      <c r="B30" s="5" t="inlineStr">
        <is>
          <t>Sophia Santi</t>
        </is>
      </c>
      <c r="C30" s="5" t="inlineStr">
        <is>
          <t>"FEMALECUSTOMER"</t>
        </is>
      </c>
      <c r="D30" s="5" t="inlineStr"/>
      <c r="E30" s="6" t="n">
        <v>1972</v>
      </c>
      <c r="F30" s="5" t="n"/>
      <c r="G30" s="5" t="n"/>
      <c r="H30" s="5" t="n"/>
      <c r="I30" s="5" t="n"/>
      <c r="J30" s="7">
        <f>IF(AND(N(F30)&gt;0,N(I30)&gt;0),I30-F30-IF(N(G30)&gt;0,0.5,0)-IF(N(H30)&gt;0,0.5,0),0)</f>
        <v/>
      </c>
      <c r="K30" s="5" t="n"/>
      <c r="L30" s="7">
        <f>MIN(J30,8.0)</f>
        <v/>
      </c>
      <c r="M30" s="7">
        <f>MAX(0,MIN(J30,12)-8.0)</f>
        <v/>
      </c>
      <c r="N30" s="7">
        <f>MAX(0,J30-12)</f>
        <v/>
      </c>
      <c r="O30" s="5" t="n"/>
      <c r="P30" s="6">
        <f>E30*(L30+M30*1.5+N30*2+O30*3+N(K30))</f>
        <v/>
      </c>
      <c r="Q30" s="6" t="n">
        <v>1972</v>
      </c>
      <c r="R30" s="6">
        <f>Q30-P30</f>
        <v/>
      </c>
    </row>
    <row r="31">
      <c r="A31" s="5" t="inlineStr">
        <is>
          <t>1405</t>
        </is>
      </c>
      <c r="B31" s="5" t="inlineStr">
        <is>
          <t>John Marshall Jones</t>
        </is>
      </c>
      <c r="C31" s="5" t="inlineStr">
        <is>
          <t>"MRHANKINS"</t>
        </is>
      </c>
      <c r="D31" s="5" t="inlineStr"/>
      <c r="E31" s="6" t="n">
        <v>1972</v>
      </c>
      <c r="F31" s="5" t="n"/>
      <c r="G31" s="5" t="n"/>
      <c r="H31" s="5" t="n"/>
      <c r="I31" s="5" t="n"/>
      <c r="J31" s="7">
        <f>IF(AND(N(F31)&gt;0,N(I31)&gt;0),I31-F31-IF(N(G31)&gt;0,0.5,0)-IF(N(H31)&gt;0,0.5,0),0)</f>
        <v/>
      </c>
      <c r="K31" s="5" t="n"/>
      <c r="L31" s="7">
        <f>MIN(J31,8.0)</f>
        <v/>
      </c>
      <c r="M31" s="7">
        <f>MAX(0,MIN(J31,12)-8.0)</f>
        <v/>
      </c>
      <c r="N31" s="7">
        <f>MAX(0,J31-12)</f>
        <v/>
      </c>
      <c r="O31" s="5" t="n"/>
      <c r="P31" s="6">
        <f>E31*(L31+M31*1.5+N31*2+O31*3+N(K31))</f>
        <v/>
      </c>
      <c r="Q31" s="6" t="n">
        <v>1972</v>
      </c>
      <c r="R31" s="6">
        <f>Q31-P31</f>
        <v/>
      </c>
    </row>
    <row r="32">
      <c r="A32" s="5" t="inlineStr">
        <is>
          <t>1405</t>
        </is>
      </c>
      <c r="B32" s="5" t="inlineStr">
        <is>
          <t>Madeleine Mcgraw</t>
        </is>
      </c>
      <c r="C32" s="5" t="inlineStr">
        <is>
          <t>"APRIL"(Minor)</t>
        </is>
      </c>
      <c r="D32" s="5" t="inlineStr"/>
      <c r="E32" s="6" t="n">
        <v>1249</v>
      </c>
      <c r="F32" s="5" t="n"/>
      <c r="G32" s="5" t="n"/>
      <c r="H32" s="5" t="n"/>
      <c r="I32" s="5" t="n"/>
      <c r="J32" s="7">
        <f>IF(AND(N(F32)&gt;0,N(I32)&gt;0),I32-F32-IF(N(G32)&gt;0,0.5,0)-IF(N(H32)&gt;0,0.5,0),0)</f>
        <v/>
      </c>
      <c r="K32" s="5" t="n"/>
      <c r="L32" s="7">
        <f>MIN(J32,8.0)</f>
        <v/>
      </c>
      <c r="M32" s="7">
        <f>MAX(0,MIN(J32,12)-8.0)</f>
        <v/>
      </c>
      <c r="N32" s="7">
        <f>MAX(0,J32-12)</f>
        <v/>
      </c>
      <c r="O32" s="5" t="n"/>
      <c r="P32" s="6">
        <f>E32*(L32+M32*1.5+N32*2+O32*3+N(K32))</f>
        <v/>
      </c>
      <c r="Q32" s="6" t="n">
        <v>1249</v>
      </c>
      <c r="R32" s="6">
        <f>Q32-P32</f>
        <v/>
      </c>
    </row>
    <row r="33">
      <c r="P33" s="2" t="inlineStr">
        <is>
          <t>DAYPLAYERS LABOR</t>
        </is>
      </c>
      <c r="R33" s="8">
        <f>SUM(R26:R32)</f>
        <v/>
      </c>
    </row>
    <row r="35">
      <c r="B35" s="2" t="inlineStr">
        <is>
          <t>STUNTCOORD</t>
        </is>
      </c>
    </row>
    <row r="36">
      <c r="A36" s="5" t="inlineStr">
        <is>
          <t>1406</t>
        </is>
      </c>
      <c r="B36" s="5" t="inlineStr">
        <is>
          <t>Rob King</t>
        </is>
      </c>
      <c r="C36" s="5" t="inlineStr">
        <is>
          <t>STUNTCOORDINATOR</t>
        </is>
      </c>
      <c r="D36" s="5" t="inlineStr"/>
      <c r="E36" s="6" t="n">
        <v>1173</v>
      </c>
      <c r="F36" s="5" t="n"/>
      <c r="G36" s="5" t="n"/>
      <c r="H36" s="5" t="n"/>
      <c r="I36" s="5" t="n"/>
      <c r="J36" s="7">
        <f>IF(AND(N(F36)&gt;0,N(I36)&gt;0),I36-F36-IF(N(G36)&gt;0,0.5,0)-IF(N(H36)&gt;0,0.5,0),0)</f>
        <v/>
      </c>
      <c r="K36" s="5" t="n"/>
      <c r="L36" s="7">
        <f>MIN(J36,8.0)</f>
        <v/>
      </c>
      <c r="M36" s="7">
        <f>MAX(0,MIN(J36,12)-8.0)</f>
        <v/>
      </c>
      <c r="N36" s="7">
        <f>MAX(0,J36-12)</f>
        <v/>
      </c>
      <c r="O36" s="5" t="n"/>
      <c r="P36" s="6">
        <f>E36*(L36+M36*1.5+N36*2+O36*3+N(K36))</f>
        <v/>
      </c>
      <c r="Q36" s="6" t="n">
        <v>1173</v>
      </c>
      <c r="R36" s="6">
        <f>Q36-P36</f>
        <v/>
      </c>
    </row>
    <row r="37">
      <c r="P37" s="2" t="inlineStr">
        <is>
          <t>STUNTCOORD LABOR</t>
        </is>
      </c>
      <c r="R37" s="8">
        <f>SUM(R36:R36)</f>
        <v/>
      </c>
    </row>
    <row r="39">
      <c r="B39" s="2" t="inlineStr">
        <is>
          <t>TEACHER/WELFAREWORKER</t>
        </is>
      </c>
    </row>
    <row r="40">
      <c r="A40" s="5" t="inlineStr">
        <is>
          <t>1412</t>
        </is>
      </c>
      <c r="B40" s="5" t="inlineStr"/>
      <c r="C40" s="5" t="inlineStr">
        <is>
          <t>WELFAREWORKER</t>
        </is>
      </c>
      <c r="D40" s="5" t="inlineStr">
        <is>
          <t>Local884</t>
        </is>
      </c>
      <c r="E40" s="6" t="n">
        <v>25.5</v>
      </c>
      <c r="F40" s="5" t="n"/>
      <c r="G40" s="5" t="n"/>
      <c r="H40" s="5" t="n"/>
      <c r="I40" s="5" t="n"/>
      <c r="J40" s="7">
        <f>IF(AND(N(F40)&gt;0,N(I40)&gt;0),I40-F40-IF(N(G40)&gt;0,0.5,0)-IF(N(H40)&gt;0,0.5,0),0)</f>
        <v/>
      </c>
      <c r="K40" s="5" t="n"/>
      <c r="L40" s="7">
        <f>MIN(J40,8.0)</f>
        <v/>
      </c>
      <c r="M40" s="7">
        <f>MAX(0,MIN(J40,12)-8.0)</f>
        <v/>
      </c>
      <c r="N40" s="7">
        <f>MAX(0,J40-12)</f>
        <v/>
      </c>
      <c r="O40" s="5" t="n"/>
      <c r="P40" s="6">
        <f>E40*(L40+M40*1.5+N40*2+O40*3+N(K40))</f>
        <v/>
      </c>
      <c r="Q40" s="6" t="n">
        <v>280.5</v>
      </c>
      <c r="R40" s="6">
        <f>Q40-P40</f>
        <v/>
      </c>
    </row>
    <row r="41">
      <c r="A41" s="5" t="inlineStr">
        <is>
          <t>1412</t>
        </is>
      </c>
      <c r="B41" s="5" t="inlineStr"/>
      <c r="C41" s="5" t="inlineStr">
        <is>
          <t>ADDLWELFAREWORKER</t>
        </is>
      </c>
      <c r="D41" s="5" t="inlineStr">
        <is>
          <t>Local884</t>
        </is>
      </c>
      <c r="E41" s="6" t="n">
        <v>25.5</v>
      </c>
      <c r="F41" s="5" t="n"/>
      <c r="G41" s="5" t="n"/>
      <c r="H41" s="5" t="n"/>
      <c r="I41" s="5" t="n"/>
      <c r="J41" s="7">
        <f>IF(AND(N(F41)&gt;0,N(I41)&gt;0),I41-F41-IF(N(G41)&gt;0,0.5,0)-IF(N(H41)&gt;0,0.5,0),0)</f>
        <v/>
      </c>
      <c r="K41" s="5" t="n"/>
      <c r="L41" s="7">
        <f>MIN(J41,8.0)</f>
        <v/>
      </c>
      <c r="M41" s="7">
        <f>MAX(0,MIN(J41,12)-8.0)</f>
        <v/>
      </c>
      <c r="N41" s="7">
        <f>MAX(0,J41-12)</f>
        <v/>
      </c>
      <c r="O41" s="5" t="n"/>
      <c r="P41" s="6">
        <f>E41*(L41+M41*1.5+N41*2+O41*3+N(K41))</f>
        <v/>
      </c>
      <c r="Q41" s="6" t="n">
        <v>280.5</v>
      </c>
      <c r="R41" s="6">
        <f>Q41-P41</f>
        <v/>
      </c>
    </row>
    <row r="42">
      <c r="P42" s="2" t="inlineStr">
        <is>
          <t>TEACHER/WELFAREWORKER LABOR</t>
        </is>
      </c>
      <c r="R42" s="8">
        <f>SUM(R40:R41)</f>
        <v/>
      </c>
    </row>
    <row r="44">
      <c r="B44" s="2" t="inlineStr">
        <is>
          <t>CASTINGDIRECTORS</t>
        </is>
      </c>
    </row>
    <row r="45">
      <c r="A45" s="5" t="inlineStr">
        <is>
          <t>1413</t>
        </is>
      </c>
      <c r="B45" s="5" t="inlineStr">
        <is>
          <t>Rich Delia</t>
        </is>
      </c>
      <c r="C45" s="5" t="inlineStr">
        <is>
          <t>CASTINGDIRECTOR</t>
        </is>
      </c>
      <c r="D45" s="5" t="inlineStr"/>
      <c r="E45" s="6" t="n">
        <v>600</v>
      </c>
      <c r="F45" s="5" t="n"/>
      <c r="G45" s="5" t="n"/>
      <c r="H45" s="5" t="n"/>
      <c r="I45" s="5" t="n"/>
      <c r="J45" s="7">
        <f>IF(AND(N(F45)&gt;0,N(I45)&gt;0),I45-F45-IF(N(G45)&gt;0,0.5,0)-IF(N(H45)&gt;0,0.5,0),0)</f>
        <v/>
      </c>
      <c r="K45" s="5" t="n"/>
      <c r="L45" s="7">
        <f>MIN(J45,8.0)</f>
        <v/>
      </c>
      <c r="M45" s="7">
        <f>MAX(0,MIN(J45,12)-8.0)</f>
        <v/>
      </c>
      <c r="N45" s="7">
        <f>MAX(0,J45-12)</f>
        <v/>
      </c>
      <c r="O45" s="5" t="n"/>
      <c r="P45" s="6">
        <f>E45*(L45+M45*1.5+N45*2+O45*3+N(K45))</f>
        <v/>
      </c>
      <c r="Q45" s="5" t="n"/>
      <c r="R45" s="6">
        <f>Q45-P45</f>
        <v/>
      </c>
    </row>
    <row r="46">
      <c r="P46" s="2" t="inlineStr">
        <is>
          <t>CASTINGDIRECTORS LABOR</t>
        </is>
      </c>
      <c r="R46" s="8">
        <f>SUM(R45:R45)</f>
        <v/>
      </c>
    </row>
    <row r="48">
      <c r="B48" s="2" t="inlineStr">
        <is>
          <t>CASTINGASSOCIATES/ASSISTANTS</t>
        </is>
      </c>
    </row>
    <row r="49">
      <c r="A49" s="5" t="inlineStr">
        <is>
          <t>1414</t>
        </is>
      </c>
      <c r="B49" s="5" t="inlineStr">
        <is>
          <t>Adam Richards</t>
        </is>
      </c>
      <c r="C49" s="5" t="inlineStr">
        <is>
          <t>CASTINGASSOCIATE</t>
        </is>
      </c>
      <c r="D49" s="5" t="inlineStr"/>
      <c r="E49" s="6" t="n">
        <v>200</v>
      </c>
      <c r="F49" s="5" t="n"/>
      <c r="G49" s="5" t="n"/>
      <c r="H49" s="5" t="n"/>
      <c r="I49" s="5" t="n"/>
      <c r="J49" s="7">
        <f>IF(AND(N(F49)&gt;0,N(I49)&gt;0),I49-F49-IF(N(G49)&gt;0,0.5,0)-IF(N(H49)&gt;0,0.5,0),0)</f>
        <v/>
      </c>
      <c r="K49" s="5" t="n"/>
      <c r="L49" s="7">
        <f>MIN(J49,8.0)</f>
        <v/>
      </c>
      <c r="M49" s="7">
        <f>MAX(0,MIN(J49,12)-8.0)</f>
        <v/>
      </c>
      <c r="N49" s="7">
        <f>MAX(0,J49-12)</f>
        <v/>
      </c>
      <c r="O49" s="5" t="n"/>
      <c r="P49" s="6">
        <f>E49*(L49+M49*1.5+N49*2+O49*3+N(K49))</f>
        <v/>
      </c>
      <c r="Q49" s="5" t="n"/>
      <c r="R49" s="6">
        <f>Q49-P49</f>
        <v/>
      </c>
    </row>
    <row r="50">
      <c r="P50" s="2" t="inlineStr">
        <is>
          <t>CASTINGASSOCIATES/ASSISTANTS LABOR</t>
        </is>
      </c>
      <c r="R50" s="8">
        <f>SUM(R49:R49)</f>
        <v/>
      </c>
    </row>
    <row r="52">
      <c r="B52" s="2" t="inlineStr">
        <is>
          <t>CASTDRIVERS/VEHICLES</t>
        </is>
      </c>
    </row>
    <row r="53">
      <c r="A53" s="5" t="inlineStr">
        <is>
          <t>1455</t>
        </is>
      </c>
      <c r="B53" s="5" t="inlineStr"/>
      <c r="C53" s="5" t="inlineStr">
        <is>
          <t>CAST 3-RMDRIVER</t>
        </is>
      </c>
      <c r="D53" s="5" t="inlineStr">
        <is>
          <t>Local399</t>
        </is>
      </c>
      <c r="E53" s="6" t="n">
        <v>32.36</v>
      </c>
      <c r="F53" s="5" t="n"/>
      <c r="G53" s="5" t="n"/>
      <c r="H53" s="5" t="n"/>
      <c r="I53" s="5" t="n"/>
      <c r="J53" s="7">
        <f>IF(AND(N(F53)&gt;0,N(I53)&gt;0),I53-F53-IF(N(G53)&gt;0,0.5,0)-IF(N(H53)&gt;0,0.5,0),0)</f>
        <v/>
      </c>
      <c r="K53" s="5" t="n"/>
      <c r="L53" s="7">
        <f>MIN(J53,8.0)</f>
        <v/>
      </c>
      <c r="M53" s="7">
        <f>MAX(0,MIN(J53,12)-8.0)</f>
        <v/>
      </c>
      <c r="N53" s="7">
        <f>MAX(0,J53-12)</f>
        <v/>
      </c>
      <c r="O53" s="5" t="n"/>
      <c r="P53" s="6">
        <f>E53*(L53+M53*1.5+N53*2+O53*3+N(K53))</f>
        <v/>
      </c>
      <c r="Q53" s="6" t="n">
        <v>501.58</v>
      </c>
      <c r="R53" s="6">
        <f>Q53-P53</f>
        <v/>
      </c>
    </row>
    <row r="54">
      <c r="A54" s="5" t="inlineStr">
        <is>
          <t>1455</t>
        </is>
      </c>
      <c r="B54" s="5" t="inlineStr"/>
      <c r="C54" s="5" t="inlineStr">
        <is>
          <t>CASTMINIVANDRIVER</t>
        </is>
      </c>
      <c r="D54" s="5" t="inlineStr">
        <is>
          <t>Local399</t>
        </is>
      </c>
      <c r="E54" s="6" t="n">
        <v>32.36</v>
      </c>
      <c r="F54" s="5" t="n"/>
      <c r="G54" s="5" t="n"/>
      <c r="H54" s="5" t="n"/>
      <c r="I54" s="5" t="n"/>
      <c r="J54" s="7">
        <f>IF(AND(N(F54)&gt;0,N(I54)&gt;0),I54-F54-IF(N(G54)&gt;0,0.5,0)-IF(N(H54)&gt;0,0.5,0),0)</f>
        <v/>
      </c>
      <c r="K54" s="5" t="n"/>
      <c r="L54" s="7">
        <f>MIN(J54,8.0)</f>
        <v/>
      </c>
      <c r="M54" s="7">
        <f>MAX(0,MIN(J54,12)-8.0)</f>
        <v/>
      </c>
      <c r="N54" s="7">
        <f>MAX(0,J54-12)</f>
        <v/>
      </c>
      <c r="O54" s="5" t="n"/>
      <c r="P54" s="6">
        <f>E54*(L54+M54*1.5+N54*2+O54*3+N(K54))</f>
        <v/>
      </c>
      <c r="Q54" s="6" t="n">
        <v>501.58</v>
      </c>
      <c r="R54" s="6">
        <f>Q54-P54</f>
        <v/>
      </c>
    </row>
    <row r="55">
      <c r="P55" s="2" t="inlineStr">
        <is>
          <t>CASTDRIVERS/VEHICLES LABOR</t>
        </is>
      </c>
      <c r="R55" s="8">
        <f>SUM(R53:R54)</f>
        <v/>
      </c>
    </row>
    <row r="57">
      <c r="B57" s="2" t="inlineStr">
        <is>
          <t>PRODUCTIONMANAGER</t>
        </is>
      </c>
    </row>
    <row r="58">
      <c r="A58" s="5" t="inlineStr">
        <is>
          <t>2001</t>
        </is>
      </c>
      <c r="B58" s="5" t="inlineStr">
        <is>
          <t>Carrie Morrow</t>
        </is>
      </c>
      <c r="C58" s="5" t="inlineStr">
        <is>
          <t>UPM</t>
        </is>
      </c>
      <c r="D58" s="5" t="inlineStr">
        <is>
          <t>DGA</t>
        </is>
      </c>
      <c r="E58" s="6" t="n">
        <v>1063.6</v>
      </c>
      <c r="F58" s="5" t="n"/>
      <c r="G58" s="5" t="n"/>
      <c r="H58" s="5" t="n"/>
      <c r="I58" s="5" t="n"/>
      <c r="J58" s="7">
        <f>IF(AND(N(F58)&gt;0,N(I58)&gt;0),I58-F58-IF(N(G58)&gt;0,0.5,0)-IF(N(H58)&gt;0,0.5,0),0)</f>
        <v/>
      </c>
      <c r="K58" s="5" t="n"/>
      <c r="L58" s="7">
        <f>MIN(J58,8.0)</f>
        <v/>
      </c>
      <c r="M58" s="7">
        <f>MAX(0,MIN(J58,12)-8.0)</f>
        <v/>
      </c>
      <c r="N58" s="7">
        <f>MAX(0,J58-12)</f>
        <v/>
      </c>
      <c r="O58" s="5" t="n"/>
      <c r="P58" s="6">
        <f>E58*(L58+M58*1.5+N58*2+O58*3+N(K58))</f>
        <v/>
      </c>
      <c r="Q58" s="6" t="n">
        <v>1063.6</v>
      </c>
      <c r="R58" s="6">
        <f>Q58-P58</f>
        <v/>
      </c>
    </row>
    <row r="59">
      <c r="P59" s="2" t="inlineStr">
        <is>
          <t>PRODUCTIONMANAGER LABOR</t>
        </is>
      </c>
      <c r="R59" s="8">
        <f>SUM(R58:R58)</f>
        <v/>
      </c>
    </row>
    <row r="61">
      <c r="B61" s="2" t="inlineStr">
        <is>
          <t>1STASSTDIRECTOR</t>
        </is>
      </c>
    </row>
    <row r="62">
      <c r="A62" s="5" t="inlineStr">
        <is>
          <t>2002</t>
        </is>
      </c>
      <c r="B62" s="5" t="inlineStr">
        <is>
          <t>James Moran</t>
        </is>
      </c>
      <c r="C62" s="5" t="inlineStr">
        <is>
          <t>1STASSTDIRECTOR</t>
        </is>
      </c>
      <c r="D62" s="5" t="inlineStr">
        <is>
          <t>DGA</t>
        </is>
      </c>
      <c r="E62" s="6" t="n">
        <v>985.6</v>
      </c>
      <c r="F62" s="5" t="n"/>
      <c r="G62" s="5" t="n"/>
      <c r="H62" s="5" t="n"/>
      <c r="I62" s="5" t="n"/>
      <c r="J62" s="7">
        <f>IF(AND(N(F62)&gt;0,N(I62)&gt;0),I62-F62-IF(N(G62)&gt;0,0.5,0)-IF(N(H62)&gt;0,0.5,0),0)</f>
        <v/>
      </c>
      <c r="K62" s="5" t="n"/>
      <c r="L62" s="7">
        <f>MIN(J62,8.0)</f>
        <v/>
      </c>
      <c r="M62" s="7">
        <f>MAX(0,MIN(J62,12)-8.0)</f>
        <v/>
      </c>
      <c r="N62" s="7">
        <f>MAX(0,J62-12)</f>
        <v/>
      </c>
      <c r="O62" s="5" t="n"/>
      <c r="P62" s="6">
        <f>E62*(L62+M62*1.5+N62*2+O62*3+N(K62))</f>
        <v/>
      </c>
      <c r="Q62" s="6" t="n">
        <v>985.6</v>
      </c>
      <c r="R62" s="6">
        <f>Q62-P62</f>
        <v/>
      </c>
    </row>
    <row r="63">
      <c r="P63" s="2" t="inlineStr">
        <is>
          <t>1STASSTDIRECTOR LABOR</t>
        </is>
      </c>
      <c r="R63" s="8">
        <f>SUM(R62:R62)</f>
        <v/>
      </c>
    </row>
    <row r="65">
      <c r="B65" s="2" t="inlineStr">
        <is>
          <t>2NDASSTDIRECTORS</t>
        </is>
      </c>
    </row>
    <row r="66">
      <c r="A66" s="5" t="inlineStr">
        <is>
          <t>2003</t>
        </is>
      </c>
      <c r="B66" s="5" t="inlineStr">
        <is>
          <t>Mark Newland</t>
        </is>
      </c>
      <c r="C66" s="5" t="inlineStr">
        <is>
          <t>KEY 2NDA. D.</t>
        </is>
      </c>
      <c r="D66" s="5" t="inlineStr">
        <is>
          <t>DGA</t>
        </is>
      </c>
      <c r="E66" s="6" t="n">
        <v>674.6</v>
      </c>
      <c r="F66" s="5" t="n"/>
      <c r="G66" s="5" t="n"/>
      <c r="H66" s="5" t="n"/>
      <c r="I66" s="5" t="n"/>
      <c r="J66" s="7">
        <f>IF(AND(N(F66)&gt;0,N(I66)&gt;0),I66-F66-IF(N(G66)&gt;0,0.5,0)-IF(N(H66)&gt;0,0.5,0),0)</f>
        <v/>
      </c>
      <c r="K66" s="5" t="n"/>
      <c r="L66" s="7">
        <f>MIN(J66,8.0)</f>
        <v/>
      </c>
      <c r="M66" s="7">
        <f>MAX(0,MIN(J66,12)-8.0)</f>
        <v/>
      </c>
      <c r="N66" s="7">
        <f>MAX(0,J66-12)</f>
        <v/>
      </c>
      <c r="O66" s="5" t="n"/>
      <c r="P66" s="6">
        <f>E66*(L66+M66*1.5+N66*2+O66*3+N(K66))</f>
        <v/>
      </c>
      <c r="Q66" s="6" t="n">
        <v>674.6</v>
      </c>
      <c r="R66" s="6">
        <f>Q66-P66</f>
        <v/>
      </c>
    </row>
    <row r="67">
      <c r="A67" s="5" t="inlineStr">
        <is>
          <t>2003</t>
        </is>
      </c>
      <c r="B67" s="5" t="inlineStr"/>
      <c r="C67" s="5" t="inlineStr">
        <is>
          <t>2ND 2NDA. D.</t>
        </is>
      </c>
      <c r="D67" s="5" t="inlineStr">
        <is>
          <t>DGA</t>
        </is>
      </c>
      <c r="E67" s="6" t="n">
        <v>526</v>
      </c>
      <c r="F67" s="5" t="n"/>
      <c r="G67" s="5" t="n"/>
      <c r="H67" s="5" t="n"/>
      <c r="I67" s="5" t="n"/>
      <c r="J67" s="7">
        <f>IF(AND(N(F67)&gt;0,N(I67)&gt;0),I67-F67-IF(N(G67)&gt;0,0.5,0)-IF(N(H67)&gt;0,0.5,0),0)</f>
        <v/>
      </c>
      <c r="K67" s="5" t="n"/>
      <c r="L67" s="7">
        <f>MIN(J67,8.0)</f>
        <v/>
      </c>
      <c r="M67" s="7">
        <f>MAX(0,MIN(J67,12)-8.0)</f>
        <v/>
      </c>
      <c r="N67" s="7">
        <f>MAX(0,J67-12)</f>
        <v/>
      </c>
      <c r="O67" s="5" t="n"/>
      <c r="P67" s="6">
        <f>E67*(L67+M67*1.5+N67*2+O67*3+N(K67))</f>
        <v/>
      </c>
      <c r="Q67" s="6" t="n">
        <v>526</v>
      </c>
      <c r="R67" s="6">
        <f>Q67-P67</f>
        <v/>
      </c>
    </row>
    <row r="68">
      <c r="P68" s="2" t="inlineStr">
        <is>
          <t>2NDASSTDIRECTORS LABOR</t>
        </is>
      </c>
      <c r="R68" s="8">
        <f>SUM(R66:R67)</f>
        <v/>
      </c>
    </row>
    <row r="70">
      <c r="B70" s="2" t="inlineStr">
        <is>
          <t>SCRIPTSUPERVISOR</t>
        </is>
      </c>
    </row>
    <row r="71">
      <c r="A71" s="5" t="inlineStr">
        <is>
          <t>2005</t>
        </is>
      </c>
      <c r="B71" s="5" t="inlineStr">
        <is>
          <t>Renata Amador</t>
        </is>
      </c>
      <c r="C71" s="5" t="inlineStr">
        <is>
          <t>SCRIPTSUPERVISOR</t>
        </is>
      </c>
      <c r="D71" s="5" t="inlineStr">
        <is>
          <t>Local871</t>
        </is>
      </c>
      <c r="E71" s="6" t="n">
        <v>25.5</v>
      </c>
      <c r="F71" s="5" t="n"/>
      <c r="G71" s="5" t="n"/>
      <c r="H71" s="5" t="n"/>
      <c r="I71" s="5" t="n"/>
      <c r="J71" s="7">
        <f>IF(AND(N(F71)&gt;0,N(I71)&gt;0),I71-F71-IF(N(G71)&gt;0,0.5,0)-IF(N(H71)&gt;0,0.5,0),0)</f>
        <v/>
      </c>
      <c r="K71" s="5" t="n"/>
      <c r="L71" s="7">
        <f>MIN(J71,10.0)</f>
        <v/>
      </c>
      <c r="M71" s="7">
        <f>MAX(0,MIN(J71,12)-10.0)</f>
        <v/>
      </c>
      <c r="N71" s="7">
        <f>MAX(0,J71-12)</f>
        <v/>
      </c>
      <c r="O71" s="5" t="n"/>
      <c r="P71" s="6">
        <f>E71*(L71+M71*1.5+N71*2+O71*3+N(K71))</f>
        <v/>
      </c>
      <c r="Q71" s="6" t="n">
        <v>439.87</v>
      </c>
      <c r="R71" s="6">
        <f>Q71-P71</f>
        <v/>
      </c>
    </row>
    <row r="72">
      <c r="P72" s="2" t="inlineStr">
        <is>
          <t>SCRIPTSUPERVISOR LABOR</t>
        </is>
      </c>
      <c r="R72" s="8">
        <f>SUM(R71:R71)</f>
        <v/>
      </c>
    </row>
    <row r="74">
      <c r="B74" s="2" t="inlineStr">
        <is>
          <t>LOCATIONMANAGERS</t>
        </is>
      </c>
    </row>
    <row r="75">
      <c r="A75" s="5" t="inlineStr">
        <is>
          <t>2007</t>
        </is>
      </c>
      <c r="B75" s="5" t="inlineStr">
        <is>
          <t>Stacey Brashear-Rodriquez</t>
        </is>
      </c>
      <c r="C75" s="5" t="inlineStr">
        <is>
          <t>LOCATIONMANAGER</t>
        </is>
      </c>
      <c r="D75" s="5" t="inlineStr">
        <is>
          <t>Local399</t>
        </is>
      </c>
      <c r="E75" s="6" t="n">
        <v>557.6</v>
      </c>
      <c r="F75" s="5" t="n"/>
      <c r="G75" s="5" t="n"/>
      <c r="H75" s="5" t="n"/>
      <c r="I75" s="5" t="n"/>
      <c r="J75" s="7">
        <f>IF(AND(N(F75)&gt;0,N(I75)&gt;0),I75-F75-IF(N(G75)&gt;0,0.5,0)-IF(N(H75)&gt;0,0.5,0),0)</f>
        <v/>
      </c>
      <c r="K75" s="5" t="n"/>
      <c r="L75" s="7">
        <f>MIN(J75,8.0)</f>
        <v/>
      </c>
      <c r="M75" s="7">
        <f>MAX(0,MIN(J75,12)-8.0)</f>
        <v/>
      </c>
      <c r="N75" s="7">
        <f>MAX(0,J75-12)</f>
        <v/>
      </c>
      <c r="O75" s="5" t="n"/>
      <c r="P75" s="6">
        <f>E75*(L75+M75*1.5+N75*2+O75*3+N(K75))</f>
        <v/>
      </c>
      <c r="Q75" s="6" t="n">
        <v>557.6</v>
      </c>
      <c r="R75" s="6">
        <f>Q75-P75</f>
        <v/>
      </c>
    </row>
    <row r="76">
      <c r="P76" s="2" t="inlineStr">
        <is>
          <t>LOCATIONMANAGERS LABOR</t>
        </is>
      </c>
      <c r="R76" s="8">
        <f>SUM(R75:R75)</f>
        <v/>
      </c>
    </row>
    <row r="78">
      <c r="B78" s="2" t="inlineStr">
        <is>
          <t>ASSISTANTLOCATIONMANAGERS</t>
        </is>
      </c>
    </row>
    <row r="79">
      <c r="A79" s="5" t="inlineStr">
        <is>
          <t>2008</t>
        </is>
      </c>
      <c r="B79" s="5" t="inlineStr">
        <is>
          <t>Rich Heichel</t>
        </is>
      </c>
      <c r="C79" s="5" t="inlineStr">
        <is>
          <t>KEYASSTLOCATIONMGR#1</t>
        </is>
      </c>
      <c r="D79" s="5" t="inlineStr">
        <is>
          <t>Local399</t>
        </is>
      </c>
      <c r="E79" s="6" t="n">
        <v>334.2</v>
      </c>
      <c r="F79" s="5" t="n"/>
      <c r="G79" s="5" t="n"/>
      <c r="H79" s="5" t="n"/>
      <c r="I79" s="5" t="n"/>
      <c r="J79" s="7">
        <f>IF(AND(N(F79)&gt;0,N(I79)&gt;0),I79-F79-IF(N(G79)&gt;0,0.5,0)-IF(N(H79)&gt;0,0.5,0),0)</f>
        <v/>
      </c>
      <c r="K79" s="5" t="n"/>
      <c r="L79" s="7">
        <f>MIN(J79,8.0)</f>
        <v/>
      </c>
      <c r="M79" s="7">
        <f>MAX(0,MIN(J79,12)-8.0)</f>
        <v/>
      </c>
      <c r="N79" s="7">
        <f>MAX(0,J79-12)</f>
        <v/>
      </c>
      <c r="O79" s="5" t="n"/>
      <c r="P79" s="6">
        <f>E79*(L79+M79*1.5+N79*2+O79*3+N(K79))</f>
        <v/>
      </c>
      <c r="Q79" s="6" t="n">
        <v>334.2</v>
      </c>
      <c r="R79" s="6">
        <f>Q79-P79</f>
        <v/>
      </c>
    </row>
    <row r="80">
      <c r="A80" s="5" t="inlineStr">
        <is>
          <t>2008</t>
        </is>
      </c>
      <c r="B80" s="5" t="inlineStr">
        <is>
          <t>Jason Mc Cauley</t>
        </is>
      </c>
      <c r="C80" s="5" t="inlineStr">
        <is>
          <t>LOCATIONASST</t>
        </is>
      </c>
      <c r="D80" s="5" t="inlineStr">
        <is>
          <t>Local399</t>
        </is>
      </c>
      <c r="E80" s="6" t="n">
        <v>229</v>
      </c>
      <c r="F80" s="5" t="n"/>
      <c r="G80" s="5" t="n"/>
      <c r="H80" s="5" t="n"/>
      <c r="I80" s="5" t="n"/>
      <c r="J80" s="7">
        <f>IF(AND(N(F80)&gt;0,N(I80)&gt;0),I80-F80-IF(N(G80)&gt;0,0.5,0)-IF(N(H80)&gt;0,0.5,0),0)</f>
        <v/>
      </c>
      <c r="K80" s="5" t="n"/>
      <c r="L80" s="7">
        <f>MIN(J80,8.0)</f>
        <v/>
      </c>
      <c r="M80" s="7">
        <f>MAX(0,MIN(J80,12)-8.0)</f>
        <v/>
      </c>
      <c r="N80" s="7">
        <f>MAX(0,J80-12)</f>
        <v/>
      </c>
      <c r="O80" s="5" t="n"/>
      <c r="P80" s="6">
        <f>E80*(L80+M80*1.5+N80*2+O80*3+N(K80))</f>
        <v/>
      </c>
      <c r="Q80" s="6" t="n">
        <v>229</v>
      </c>
      <c r="R80" s="6">
        <f>Q80-P80</f>
        <v/>
      </c>
    </row>
    <row r="81">
      <c r="P81" s="2" t="inlineStr">
        <is>
          <t>ASSISTANTLOCATIONMANAGERS LABOR</t>
        </is>
      </c>
      <c r="R81" s="8">
        <f>SUM(R79:R80)</f>
        <v/>
      </c>
    </row>
    <row r="83">
      <c r="B83" s="2" t="inlineStr">
        <is>
          <t>PRODUCTIONCOORDINATOR</t>
        </is>
      </c>
    </row>
    <row r="84">
      <c r="A84" s="5" t="inlineStr">
        <is>
          <t>2009</t>
        </is>
      </c>
      <c r="B84" s="5" t="inlineStr">
        <is>
          <t>Ali Griffith</t>
        </is>
      </c>
      <c r="C84" s="5" t="inlineStr">
        <is>
          <t>PRODUCTIONOFCCOORD</t>
        </is>
      </c>
      <c r="D84" s="5" t="inlineStr"/>
      <c r="E84" s="6" t="n">
        <v>360</v>
      </c>
      <c r="F84" s="5" t="n"/>
      <c r="G84" s="5" t="n"/>
      <c r="H84" s="5" t="n"/>
      <c r="I84" s="5" t="n"/>
      <c r="J84" s="7">
        <f>IF(AND(N(F84)&gt;0,N(I84)&gt;0),I84-F84-IF(N(G84)&gt;0,0.5,0)-IF(N(H84)&gt;0,0.5,0),0)</f>
        <v/>
      </c>
      <c r="K84" s="5" t="n"/>
      <c r="L84" s="7">
        <f>MIN(J84,8.0)</f>
        <v/>
      </c>
      <c r="M84" s="7">
        <f>MAX(0,MIN(J84,12)-8.0)</f>
        <v/>
      </c>
      <c r="N84" s="7">
        <f>MAX(0,J84-12)</f>
        <v/>
      </c>
      <c r="O84" s="5" t="n"/>
      <c r="P84" s="6">
        <f>E84*(L84+M84*1.5+N84*2+O84*3+N(K84))</f>
        <v/>
      </c>
      <c r="Q84" s="6" t="n">
        <v>360</v>
      </c>
      <c r="R84" s="6">
        <f>Q84-P84</f>
        <v/>
      </c>
    </row>
    <row r="85">
      <c r="P85" s="2" t="inlineStr">
        <is>
          <t>PRODUCTIONCOORDINATOR LABOR</t>
        </is>
      </c>
      <c r="R85" s="8">
        <f>SUM(R84:R84)</f>
        <v/>
      </c>
    </row>
    <row r="87">
      <c r="B87" s="2" t="inlineStr">
        <is>
          <t>ASSTPRODUCTIONCOORDINATOR</t>
        </is>
      </c>
    </row>
    <row r="88">
      <c r="A88" s="5" t="inlineStr">
        <is>
          <t>2010</t>
        </is>
      </c>
      <c r="B88" s="5" t="inlineStr">
        <is>
          <t>Holly Dellocono</t>
        </is>
      </c>
      <c r="C88" s="5" t="inlineStr">
        <is>
          <t>APOC</t>
        </is>
      </c>
      <c r="D88" s="5" t="inlineStr">
        <is>
          <t>Local871</t>
        </is>
      </c>
      <c r="E88" s="6" t="n">
        <v>20.57</v>
      </c>
      <c r="F88" s="5" t="n"/>
      <c r="G88" s="5" t="n"/>
      <c r="H88" s="5" t="n"/>
      <c r="I88" s="5" t="n"/>
      <c r="J88" s="7">
        <f>IF(AND(N(F88)&gt;0,N(I88)&gt;0),I88-F88-IF(N(G88)&gt;0,0.5,0)-IF(N(H88)&gt;0,0.5,0),0)</f>
        <v/>
      </c>
      <c r="K88" s="5" t="n"/>
      <c r="L88" s="7">
        <f>MIN(J88,10.0)</f>
        <v/>
      </c>
      <c r="M88" s="7">
        <f>MAX(0,MIN(J88,12)-10.0)</f>
        <v/>
      </c>
      <c r="N88" s="7">
        <f>MAX(0,J88-12)</f>
        <v/>
      </c>
      <c r="O88" s="5" t="n"/>
      <c r="P88" s="6">
        <f>E88*(L88+M88*1.5+N88*2+O88*3+N(K88))</f>
        <v/>
      </c>
      <c r="Q88" s="6" t="n">
        <v>287.98</v>
      </c>
      <c r="R88" s="6">
        <f>Q88-P88</f>
        <v/>
      </c>
    </row>
    <row r="89">
      <c r="P89" s="2" t="inlineStr">
        <is>
          <t>ASSTPRODUCTIONCOORDINATOR LABOR</t>
        </is>
      </c>
      <c r="R89" s="8">
        <f>SUM(R88:R88)</f>
        <v/>
      </c>
    </row>
    <row r="91">
      <c r="B91" s="2" t="inlineStr">
        <is>
          <t>OFFICESTAFFASSISTANTS</t>
        </is>
      </c>
    </row>
    <row r="92">
      <c r="A92" s="5" t="inlineStr">
        <is>
          <t>2011</t>
        </is>
      </c>
      <c r="B92" s="5" t="inlineStr">
        <is>
          <t>John Humber</t>
        </is>
      </c>
      <c r="C92" s="5" t="inlineStr">
        <is>
          <t>OFFICEPA#1</t>
        </is>
      </c>
      <c r="D92" s="5" t="inlineStr"/>
      <c r="E92" s="6" t="n">
        <v>22.5</v>
      </c>
      <c r="F92" s="5" t="n"/>
      <c r="G92" s="5" t="n"/>
      <c r="H92" s="5" t="n"/>
      <c r="I92" s="5" t="n"/>
      <c r="J92" s="7">
        <f>IF(AND(N(F92)&gt;0,N(I92)&gt;0),I92-F92-IF(N(G92)&gt;0,0.5,0)-IF(N(H92)&gt;0,0.5,0),0)</f>
        <v/>
      </c>
      <c r="K92" s="5" t="n"/>
      <c r="L92" s="7">
        <f>MIN(J92,8.0)</f>
        <v/>
      </c>
      <c r="M92" s="7">
        <f>MAX(0,MIN(J92,12)-8.0)</f>
        <v/>
      </c>
      <c r="N92" s="7">
        <f>MAX(0,J92-12)</f>
        <v/>
      </c>
      <c r="O92" s="5" t="n"/>
      <c r="P92" s="6">
        <f>E92*(L92+M92*1.5+N92*2+O92*3+N(K92))</f>
        <v/>
      </c>
      <c r="Q92" s="6" t="n">
        <v>168</v>
      </c>
      <c r="R92" s="6">
        <f>Q92-P92</f>
        <v/>
      </c>
    </row>
    <row r="93">
      <c r="A93" s="5" t="inlineStr">
        <is>
          <t>2011</t>
        </is>
      </c>
      <c r="B93" s="5" t="inlineStr">
        <is>
          <t>Sarah Semenas</t>
        </is>
      </c>
      <c r="C93" s="5" t="inlineStr">
        <is>
          <t>OFFICEPA#2</t>
        </is>
      </c>
      <c r="D93" s="5" t="inlineStr"/>
      <c r="E93" s="6" t="n">
        <v>22.5</v>
      </c>
      <c r="F93" s="5" t="n"/>
      <c r="G93" s="5" t="n"/>
      <c r="H93" s="5" t="n"/>
      <c r="I93" s="5" t="n"/>
      <c r="J93" s="7">
        <f>IF(AND(N(F93)&gt;0,N(I93)&gt;0),I93-F93-IF(N(G93)&gt;0,0.5,0)-IF(N(H93)&gt;0,0.5,0),0)</f>
        <v/>
      </c>
      <c r="K93" s="5" t="n"/>
      <c r="L93" s="7">
        <f>MIN(J93,8.0)</f>
        <v/>
      </c>
      <c r="M93" s="7">
        <f>MAX(0,MIN(J93,12)-8.0)</f>
        <v/>
      </c>
      <c r="N93" s="7">
        <f>MAX(0,J93-12)</f>
        <v/>
      </c>
      <c r="O93" s="5" t="n"/>
      <c r="P93" s="6">
        <f>E93*(L93+M93*1.5+N93*2+O93*3+N(K93))</f>
        <v/>
      </c>
      <c r="Q93" s="6" t="n">
        <v>168</v>
      </c>
      <c r="R93" s="6">
        <f>Q93-P93</f>
        <v/>
      </c>
    </row>
    <row r="94">
      <c r="P94" s="2" t="inlineStr">
        <is>
          <t>OFFICESTAFFASSISTANTS LABOR</t>
        </is>
      </c>
      <c r="R94" s="8">
        <f>SUM(R92:R93)</f>
        <v/>
      </c>
    </row>
    <row r="96">
      <c r="B96" s="2" t="inlineStr">
        <is>
          <t>SETSTAFFASSISTANTS</t>
        </is>
      </c>
    </row>
    <row r="97">
      <c r="A97" s="5" t="inlineStr">
        <is>
          <t>2012</t>
        </is>
      </c>
      <c r="B97" s="5" t="inlineStr">
        <is>
          <t>Paula Henry</t>
        </is>
      </c>
      <c r="C97" s="5" t="inlineStr">
        <is>
          <t>KEYSETPA</t>
        </is>
      </c>
      <c r="D97" s="5" t="inlineStr"/>
      <c r="E97" s="6" t="n">
        <v>12</v>
      </c>
      <c r="F97" s="5" t="n"/>
      <c r="G97" s="5" t="n"/>
      <c r="H97" s="5" t="n"/>
      <c r="I97" s="5" t="n"/>
      <c r="J97" s="7">
        <f>IF(AND(N(F97)&gt;0,N(I97)&gt;0),I97-F97-IF(N(G97)&gt;0,0.5,0)-IF(N(H97)&gt;0,0.5,0),0)</f>
        <v/>
      </c>
      <c r="K97" s="5" t="n"/>
      <c r="L97" s="7">
        <f>MIN(J97,8.0)</f>
        <v/>
      </c>
      <c r="M97" s="7">
        <f>MAX(0,MIN(J97,12)-8.0)</f>
        <v/>
      </c>
      <c r="N97" s="7">
        <f>MAX(0,J97-12)</f>
        <v/>
      </c>
      <c r="O97" s="5" t="n"/>
      <c r="P97" s="6">
        <f>E97*(L97+M97*1.5+N97*2+O97*3+N(K97))</f>
        <v/>
      </c>
      <c r="Q97" s="6" t="n">
        <v>216</v>
      </c>
      <c r="R97" s="6">
        <f>Q97-P97</f>
        <v/>
      </c>
    </row>
    <row r="98">
      <c r="A98" s="5" t="inlineStr">
        <is>
          <t>2012</t>
        </is>
      </c>
      <c r="B98" s="5" t="inlineStr"/>
      <c r="C98" s="5" t="inlineStr">
        <is>
          <t>SETPA#2</t>
        </is>
      </c>
      <c r="D98" s="5" t="inlineStr"/>
      <c r="E98" s="6" t="n">
        <v>12</v>
      </c>
      <c r="F98" s="5" t="n"/>
      <c r="G98" s="5" t="n"/>
      <c r="H98" s="5" t="n"/>
      <c r="I98" s="5" t="n"/>
      <c r="J98" s="7">
        <f>IF(AND(N(F98)&gt;0,N(I98)&gt;0),I98-F98-IF(N(G98)&gt;0,0.5,0)-IF(N(H98)&gt;0,0.5,0),0)</f>
        <v/>
      </c>
      <c r="K98" s="5" t="n"/>
      <c r="L98" s="7">
        <f>MIN(J98,8.0)</f>
        <v/>
      </c>
      <c r="M98" s="7">
        <f>MAX(0,MIN(J98,12)-8.0)</f>
        <v/>
      </c>
      <c r="N98" s="7">
        <f>MAX(0,J98-12)</f>
        <v/>
      </c>
      <c r="O98" s="5" t="n"/>
      <c r="P98" s="6">
        <f>E98*(L98+M98*1.5+N98*2+O98*3+N(K98))</f>
        <v/>
      </c>
      <c r="Q98" s="6" t="n">
        <v>216</v>
      </c>
      <c r="R98" s="6">
        <f>Q98-P98</f>
        <v/>
      </c>
    </row>
    <row r="99">
      <c r="A99" s="5" t="inlineStr">
        <is>
          <t>2012</t>
        </is>
      </c>
      <c r="B99" s="5" t="inlineStr"/>
      <c r="C99" s="5" t="inlineStr">
        <is>
          <t>SETPA#3</t>
        </is>
      </c>
      <c r="D99" s="5" t="inlineStr"/>
      <c r="E99" s="6" t="n">
        <v>12</v>
      </c>
      <c r="F99" s="5" t="n"/>
      <c r="G99" s="5" t="n"/>
      <c r="H99" s="5" t="n"/>
      <c r="I99" s="5" t="n"/>
      <c r="J99" s="7">
        <f>IF(AND(N(F99)&gt;0,N(I99)&gt;0),I99-F99-IF(N(G99)&gt;0,0.5,0)-IF(N(H99)&gt;0,0.5,0),0)</f>
        <v/>
      </c>
      <c r="K99" s="5" t="n"/>
      <c r="L99" s="7">
        <f>MIN(J99,8.0)</f>
        <v/>
      </c>
      <c r="M99" s="7">
        <f>MAX(0,MIN(J99,12)-8.0)</f>
        <v/>
      </c>
      <c r="N99" s="7">
        <f>MAX(0,J99-12)</f>
        <v/>
      </c>
      <c r="O99" s="5" t="n"/>
      <c r="P99" s="6">
        <f>E99*(L99+M99*1.5+N99*2+O99*3+N(K99))</f>
        <v/>
      </c>
      <c r="Q99" s="6" t="n">
        <v>216</v>
      </c>
      <c r="R99" s="6">
        <f>Q99-P99</f>
        <v/>
      </c>
    </row>
    <row r="100">
      <c r="A100" s="5" t="inlineStr">
        <is>
          <t>2012</t>
        </is>
      </c>
      <c r="B100" s="5" t="inlineStr"/>
      <c r="C100" s="5" t="inlineStr">
        <is>
          <t>SETPA#4</t>
        </is>
      </c>
      <c r="D100" s="5" t="inlineStr"/>
      <c r="E100" s="6" t="n">
        <v>12</v>
      </c>
      <c r="F100" s="5" t="n"/>
      <c r="G100" s="5" t="n"/>
      <c r="H100" s="5" t="n"/>
      <c r="I100" s="5" t="n"/>
      <c r="J100" s="7">
        <f>IF(AND(N(F100)&gt;0,N(I100)&gt;0),I100-F100-IF(N(G100)&gt;0,0.5,0)-IF(N(H100)&gt;0,0.5,0),0)</f>
        <v/>
      </c>
      <c r="K100" s="5" t="n"/>
      <c r="L100" s="7">
        <f>MIN(J100,8.0)</f>
        <v/>
      </c>
      <c r="M100" s="7">
        <f>MAX(0,MIN(J100,12)-8.0)</f>
        <v/>
      </c>
      <c r="N100" s="7">
        <f>MAX(0,J100-12)</f>
        <v/>
      </c>
      <c r="O100" s="5" t="n"/>
      <c r="P100" s="6">
        <f>E100*(L100+M100*1.5+N100*2+O100*3+N(K100))</f>
        <v/>
      </c>
      <c r="Q100" s="6" t="n">
        <v>216</v>
      </c>
      <c r="R100" s="6">
        <f>Q100-P100</f>
        <v/>
      </c>
    </row>
    <row r="101">
      <c r="P101" s="2" t="inlineStr">
        <is>
          <t>SETSTAFFASSISTANTS LABOR</t>
        </is>
      </c>
      <c r="R101" s="8">
        <f>SUM(R97:R100)</f>
        <v/>
      </c>
    </row>
    <row r="103">
      <c r="B103" s="2" t="inlineStr">
        <is>
          <t>PRODUCTIONACCOUNTANT</t>
        </is>
      </c>
    </row>
    <row r="104">
      <c r="A104" s="5" t="inlineStr">
        <is>
          <t>2013</t>
        </is>
      </c>
      <c r="B104" s="5" t="inlineStr">
        <is>
          <t>Joel Tokarsky</t>
        </is>
      </c>
      <c r="C104" s="5" t="inlineStr">
        <is>
          <t>PRODUCTIONACCOUNTANT</t>
        </is>
      </c>
      <c r="D104" s="5" t="inlineStr">
        <is>
          <t>Local871</t>
        </is>
      </c>
      <c r="E104" s="6" t="n">
        <v>740</v>
      </c>
      <c r="F104" s="5" t="n"/>
      <c r="G104" s="5" t="n"/>
      <c r="H104" s="5" t="n"/>
      <c r="I104" s="5" t="n"/>
      <c r="J104" s="7">
        <f>IF(AND(N(F104)&gt;0,N(I104)&gt;0),I104-F104-IF(N(G104)&gt;0,0.5,0)-IF(N(H104)&gt;0,0.5,0),0)</f>
        <v/>
      </c>
      <c r="K104" s="5" t="n"/>
      <c r="L104" s="7">
        <f>MIN(J104,10.0)</f>
        <v/>
      </c>
      <c r="M104" s="7">
        <f>MAX(0,MIN(J104,12)-10.0)</f>
        <v/>
      </c>
      <c r="N104" s="7">
        <f>MAX(0,J104-12)</f>
        <v/>
      </c>
      <c r="O104" s="5" t="n"/>
      <c r="P104" s="6">
        <f>E104*(L104+M104*1.5+N104*2+O104*3+N(K104))</f>
        <v/>
      </c>
      <c r="Q104" s="6" t="n">
        <v>740</v>
      </c>
      <c r="R104" s="6">
        <f>Q104-P104</f>
        <v/>
      </c>
    </row>
    <row r="105">
      <c r="P105" s="2" t="inlineStr">
        <is>
          <t>PRODUCTIONACCOUNTANT LABOR</t>
        </is>
      </c>
      <c r="R105" s="8">
        <f>SUM(R104:R104)</f>
        <v/>
      </c>
    </row>
    <row r="107">
      <c r="B107" s="2" t="inlineStr">
        <is>
          <t>ASSTPRODUCTIONACCOUNTANTS</t>
        </is>
      </c>
    </row>
    <row r="108">
      <c r="A108" s="5" t="inlineStr">
        <is>
          <t>2014</t>
        </is>
      </c>
      <c r="B108" s="5" t="inlineStr">
        <is>
          <t>Co-Co Aiello</t>
        </is>
      </c>
      <c r="C108" s="5" t="inlineStr">
        <is>
          <t>1STASSTACCT</t>
        </is>
      </c>
      <c r="D108" s="5" t="inlineStr">
        <is>
          <t>Local871</t>
        </is>
      </c>
      <c r="E108" s="6" t="n">
        <v>480</v>
      </c>
      <c r="F108" s="5" t="n"/>
      <c r="G108" s="5" t="n"/>
      <c r="H108" s="5" t="n"/>
      <c r="I108" s="5" t="n"/>
      <c r="J108" s="7">
        <f>IF(AND(N(F108)&gt;0,N(I108)&gt;0),I108-F108-IF(N(G108)&gt;0,0.5,0)-IF(N(H108)&gt;0,0.5,0),0)</f>
        <v/>
      </c>
      <c r="K108" s="5" t="n"/>
      <c r="L108" s="7">
        <f>MIN(J108,10.0)</f>
        <v/>
      </c>
      <c r="M108" s="7">
        <f>MAX(0,MIN(J108,12)-10.0)</f>
        <v/>
      </c>
      <c r="N108" s="7">
        <f>MAX(0,J108-12)</f>
        <v/>
      </c>
      <c r="O108" s="5" t="n"/>
      <c r="P108" s="6">
        <f>E108*(L108+M108*1.5+N108*2+O108*3+N(K108))</f>
        <v/>
      </c>
      <c r="Q108" s="6" t="n">
        <v>480</v>
      </c>
      <c r="R108" s="6">
        <f>Q108-P108</f>
        <v/>
      </c>
    </row>
    <row r="109">
      <c r="A109" s="5" t="inlineStr">
        <is>
          <t>2014</t>
        </is>
      </c>
      <c r="B109" s="5" t="inlineStr">
        <is>
          <t>Steve Goldstein</t>
        </is>
      </c>
      <c r="C109" s="5" t="inlineStr">
        <is>
          <t>PAYROLLACCT</t>
        </is>
      </c>
      <c r="D109" s="5" t="inlineStr">
        <is>
          <t>Local871</t>
        </is>
      </c>
      <c r="E109" s="6" t="n">
        <v>420</v>
      </c>
      <c r="F109" s="5" t="n"/>
      <c r="G109" s="5" t="n"/>
      <c r="H109" s="5" t="n"/>
      <c r="I109" s="5" t="n"/>
      <c r="J109" s="7">
        <f>IF(AND(N(F109)&gt;0,N(I109)&gt;0),I109-F109-IF(N(G109)&gt;0,0.5,0)-IF(N(H109)&gt;0,0.5,0),0)</f>
        <v/>
      </c>
      <c r="K109" s="5" t="n"/>
      <c r="L109" s="7">
        <f>MIN(J109,10.0)</f>
        <v/>
      </c>
      <c r="M109" s="7">
        <f>MAX(0,MIN(J109,12)-10.0)</f>
        <v/>
      </c>
      <c r="N109" s="7">
        <f>MAX(0,J109-12)</f>
        <v/>
      </c>
      <c r="O109" s="5" t="n"/>
      <c r="P109" s="6">
        <f>E109*(L109+M109*1.5+N109*2+O109*3+N(K109))</f>
        <v/>
      </c>
      <c r="Q109" s="6" t="n">
        <v>420</v>
      </c>
      <c r="R109" s="6">
        <f>Q109-P109</f>
        <v/>
      </c>
    </row>
    <row r="110">
      <c r="P110" s="2" t="inlineStr">
        <is>
          <t>ASSTPRODUCTIONACCOUNTANTS LABOR</t>
        </is>
      </c>
      <c r="R110" s="8">
        <f>SUM(R108:R109)</f>
        <v/>
      </c>
    </row>
    <row r="112">
      <c r="B112" s="2" t="inlineStr">
        <is>
          <t>CONSTRUCTIONCOORDINATOR</t>
        </is>
      </c>
    </row>
    <row r="113">
      <c r="A113" s="5" t="inlineStr">
        <is>
          <t>2302</t>
        </is>
      </c>
      <c r="B113" s="5" t="inlineStr">
        <is>
          <t>Drew Rebelin</t>
        </is>
      </c>
      <c r="C113" s="5" t="inlineStr">
        <is>
          <t>CONSTCOORDINATOR</t>
        </is>
      </c>
      <c r="D113" s="5" t="inlineStr">
        <is>
          <t>Local44</t>
        </is>
      </c>
      <c r="E113" s="6" t="n">
        <v>400</v>
      </c>
      <c r="F113" s="5" t="n"/>
      <c r="G113" s="5" t="n"/>
      <c r="H113" s="5" t="n"/>
      <c r="I113" s="5" t="n"/>
      <c r="J113" s="7">
        <f>IF(AND(N(F113)&gt;0,N(I113)&gt;0),I113-F113-IF(N(G113)&gt;0,0.5,0)-IF(N(H113)&gt;0,0.5,0),0)</f>
        <v/>
      </c>
      <c r="K113" s="5" t="n"/>
      <c r="L113" s="7">
        <f>MIN(J113,10.0)</f>
        <v/>
      </c>
      <c r="M113" s="7">
        <f>MAX(0,MIN(J113,12)-10.0)</f>
        <v/>
      </c>
      <c r="N113" s="7">
        <f>MAX(0,J113-12)</f>
        <v/>
      </c>
      <c r="O113" s="5" t="n"/>
      <c r="P113" s="6">
        <f>E113*(L113+M113*1.5+N113*2+O113*3+N(K113))</f>
        <v/>
      </c>
      <c r="Q113" s="5" t="n"/>
      <c r="R113" s="6">
        <f>Q113-P113</f>
        <v/>
      </c>
    </row>
    <row r="114">
      <c r="P114" s="2" t="inlineStr">
        <is>
          <t>CONSTRUCTIONCOORDINATOR LABOR</t>
        </is>
      </c>
      <c r="R114" s="8">
        <f>SUM(R113:R113)</f>
        <v/>
      </c>
    </row>
    <row r="116">
      <c r="B116" s="2" t="inlineStr">
        <is>
          <t>PAINTFOREMAN</t>
        </is>
      </c>
    </row>
    <row r="117">
      <c r="A117" s="5" t="inlineStr">
        <is>
          <t>2304</t>
        </is>
      </c>
      <c r="B117" s="5" t="inlineStr">
        <is>
          <t>Kristeen Reimnitz</t>
        </is>
      </c>
      <c r="C117" s="5" t="inlineStr">
        <is>
          <t>PAINTER</t>
        </is>
      </c>
      <c r="D117" s="5" t="inlineStr">
        <is>
          <t>Local729</t>
        </is>
      </c>
      <c r="E117" s="6" t="n">
        <v>23.04</v>
      </c>
      <c r="F117" s="5" t="n"/>
      <c r="G117" s="5" t="n"/>
      <c r="H117" s="5" t="n"/>
      <c r="I117" s="5" t="n"/>
      <c r="J117" s="7">
        <f>IF(AND(N(F117)&gt;0,N(I117)&gt;0),I117-F117-IF(N(G117)&gt;0,0.5,0)-IF(N(H117)&gt;0,0.5,0),0)</f>
        <v/>
      </c>
      <c r="K117" s="5" t="n"/>
      <c r="L117" s="7">
        <f>MIN(J117,10.0)</f>
        <v/>
      </c>
      <c r="M117" s="7">
        <f>MAX(0,MIN(J117,12)-10.0)</f>
        <v/>
      </c>
      <c r="N117" s="7">
        <f>MAX(0,J117-12)</f>
        <v/>
      </c>
      <c r="O117" s="5" t="n"/>
      <c r="P117" s="6">
        <f>E117*(L117+M117*1.5+N117*2+O117*3+N(K117))</f>
        <v/>
      </c>
      <c r="Q117" s="5" t="n"/>
      <c r="R117" s="6">
        <f>Q117-P117</f>
        <v/>
      </c>
    </row>
    <row r="118">
      <c r="P118" s="2" t="inlineStr">
        <is>
          <t>PAINTFOREMAN LABOR</t>
        </is>
      </c>
      <c r="R118" s="8">
        <f>SUM(R117:R117)</f>
        <v/>
      </c>
    </row>
    <row r="120">
      <c r="B120" s="2" t="inlineStr">
        <is>
          <t>FIRSTAIDLABOR</t>
        </is>
      </c>
    </row>
    <row r="121">
      <c r="A121" s="5" t="inlineStr">
        <is>
          <t>2310</t>
        </is>
      </c>
      <c r="B121" s="5" t="inlineStr"/>
      <c r="C121" s="5" t="inlineStr">
        <is>
          <t>CONSTRUCTIONMEDIC</t>
        </is>
      </c>
      <c r="D121" s="5" t="inlineStr">
        <is>
          <t>Local80</t>
        </is>
      </c>
      <c r="E121" s="6" t="n">
        <v>23.04</v>
      </c>
      <c r="F121" s="5" t="n"/>
      <c r="G121" s="5" t="n"/>
      <c r="H121" s="5" t="n"/>
      <c r="I121" s="5" t="n"/>
      <c r="J121" s="7">
        <f>IF(AND(N(F121)&gt;0,N(I121)&gt;0),I121-F121-IF(N(G121)&gt;0,0.5,0)-IF(N(H121)&gt;0,0.5,0),0)</f>
        <v/>
      </c>
      <c r="K121" s="5" t="n"/>
      <c r="L121" s="7">
        <f>MIN(J121,10.0)</f>
        <v/>
      </c>
      <c r="M121" s="7">
        <f>MAX(0,MIN(J121,12)-10.0)</f>
        <v/>
      </c>
      <c r="N121" s="7">
        <f>MAX(0,J121-12)</f>
        <v/>
      </c>
      <c r="O121" s="5" t="n"/>
      <c r="P121" s="6">
        <f>E121*(L121+M121*1.5+N121*2+O121*3+N(K121))</f>
        <v/>
      </c>
      <c r="Q121" s="5" t="n"/>
      <c r="R121" s="6">
        <f>Q121-P121</f>
        <v/>
      </c>
    </row>
    <row r="122">
      <c r="P122" s="2" t="inlineStr">
        <is>
          <t>FIRSTAIDLABOR LABOR</t>
        </is>
      </c>
      <c r="R122" s="8">
        <f>SUM(R121:R121)</f>
        <v/>
      </c>
    </row>
    <row r="124">
      <c r="B124" s="2" t="inlineStr">
        <is>
          <t>KEYGRIP</t>
        </is>
      </c>
    </row>
    <row r="125">
      <c r="A125" s="5" t="inlineStr">
        <is>
          <t>2501</t>
        </is>
      </c>
      <c r="B125" s="5" t="inlineStr">
        <is>
          <t>Pat O'Mara</t>
        </is>
      </c>
      <c r="C125" s="5" t="inlineStr">
        <is>
          <t>KEYGRIP</t>
        </is>
      </c>
      <c r="D125" s="5" t="inlineStr">
        <is>
          <t>Local80</t>
        </is>
      </c>
      <c r="E125" s="6" t="n">
        <v>25.5</v>
      </c>
      <c r="F125" s="5" t="n"/>
      <c r="G125" s="5" t="n"/>
      <c r="H125" s="5" t="n"/>
      <c r="I125" s="5" t="n"/>
      <c r="J125" s="7">
        <f>IF(AND(N(F125)&gt;0,N(I125)&gt;0),I125-F125-IF(N(G125)&gt;0,0.5,0)-IF(N(H125)&gt;0,0.5,0),0)</f>
        <v/>
      </c>
      <c r="K125" s="5" t="n"/>
      <c r="L125" s="7">
        <f>MIN(J125,10.0)</f>
        <v/>
      </c>
      <c r="M125" s="7">
        <f>MAX(0,MIN(J125,12)-10.0)</f>
        <v/>
      </c>
      <c r="N125" s="7">
        <f>MAX(0,J125-12)</f>
        <v/>
      </c>
      <c r="O125" s="5" t="n"/>
      <c r="P125" s="6">
        <f>E125*(L125+M125*1.5+N125*2+O125*3+N(K125))</f>
        <v/>
      </c>
      <c r="Q125" s="6" t="n">
        <v>395.25</v>
      </c>
      <c r="R125" s="6">
        <f>Q125-P125</f>
        <v/>
      </c>
    </row>
    <row r="126">
      <c r="P126" s="2" t="inlineStr">
        <is>
          <t>KEYGRIP LABOR</t>
        </is>
      </c>
      <c r="R126" s="8">
        <f>SUM(R125:R125)</f>
        <v/>
      </c>
    </row>
    <row r="128">
      <c r="B128" s="2" t="inlineStr">
        <is>
          <t>BESTBOYGRIP</t>
        </is>
      </c>
    </row>
    <row r="129">
      <c r="A129" s="5" t="inlineStr">
        <is>
          <t>2502</t>
        </is>
      </c>
      <c r="B129" s="5" t="inlineStr">
        <is>
          <t>Aaron Fairley</t>
        </is>
      </c>
      <c r="C129" s="5" t="inlineStr">
        <is>
          <t>BESTBOYGRIP</t>
        </is>
      </c>
      <c r="D129" s="5" t="inlineStr">
        <is>
          <t>Local80</t>
        </is>
      </c>
      <c r="E129" s="6" t="n">
        <v>23.04</v>
      </c>
      <c r="F129" s="5" t="n"/>
      <c r="G129" s="5" t="n"/>
      <c r="H129" s="5" t="n"/>
      <c r="I129" s="5" t="n"/>
      <c r="J129" s="7">
        <f>IF(AND(N(F129)&gt;0,N(I129)&gt;0),I129-F129-IF(N(G129)&gt;0,0.5,0)-IF(N(H129)&gt;0,0.5,0),0)</f>
        <v/>
      </c>
      <c r="K129" s="5" t="n"/>
      <c r="L129" s="7">
        <f>MIN(J129,10.0)</f>
        <v/>
      </c>
      <c r="M129" s="7">
        <f>MAX(0,MIN(J129,12)-10.0)</f>
        <v/>
      </c>
      <c r="N129" s="7">
        <f>MAX(0,J129-12)</f>
        <v/>
      </c>
      <c r="O129" s="5" t="n"/>
      <c r="P129" s="6">
        <f>E129*(L129+M129*1.5+N129*2+O129*3+N(K129))</f>
        <v/>
      </c>
      <c r="Q129" s="6" t="n">
        <v>357.12</v>
      </c>
      <c r="R129" s="6">
        <f>Q129-P129</f>
        <v/>
      </c>
    </row>
    <row r="130">
      <c r="A130" s="5" t="inlineStr">
        <is>
          <t>2502</t>
        </is>
      </c>
      <c r="B130" s="5" t="inlineStr"/>
      <c r="C130" s="5" t="inlineStr">
        <is>
          <t>STUDIOBESTBOYGRIP</t>
        </is>
      </c>
      <c r="D130" s="5" t="inlineStr">
        <is>
          <t>Local80</t>
        </is>
      </c>
      <c r="E130" s="6" t="n">
        <v>43.05</v>
      </c>
      <c r="F130" s="5" t="n"/>
      <c r="G130" s="5" t="n"/>
      <c r="H130" s="5" t="n"/>
      <c r="I130" s="5" t="n"/>
      <c r="J130" s="7">
        <f>IF(AND(N(F130)&gt;0,N(I130)&gt;0),I130-F130-IF(N(G130)&gt;0,0.5,0)-IF(N(H130)&gt;0,0.5,0),0)</f>
        <v/>
      </c>
      <c r="K130" s="5" t="n"/>
      <c r="L130" s="7">
        <f>MIN(J130,10.0)</f>
        <v/>
      </c>
      <c r="M130" s="7">
        <f>MAX(0,MIN(J130,12)-10.0)</f>
        <v/>
      </c>
      <c r="N130" s="7">
        <f>MAX(0,J130-12)</f>
        <v/>
      </c>
      <c r="O130" s="5" t="n"/>
      <c r="P130" s="6">
        <f>E130*(L130+M130*1.5+N130*2+O130*3+N(K130))</f>
        <v/>
      </c>
      <c r="Q130" s="6" t="n">
        <v>667.27</v>
      </c>
      <c r="R130" s="6">
        <f>Q130-P130</f>
        <v/>
      </c>
    </row>
    <row r="131">
      <c r="P131" s="2" t="inlineStr">
        <is>
          <t>BESTBOYGRIP LABOR</t>
        </is>
      </c>
      <c r="R131" s="8">
        <f>SUM(R129:R130)</f>
        <v/>
      </c>
    </row>
    <row r="133">
      <c r="B133" s="2" t="inlineStr">
        <is>
          <t>DOLLYGRIP</t>
        </is>
      </c>
    </row>
    <row r="134">
      <c r="A134" s="5" t="inlineStr">
        <is>
          <t>2503</t>
        </is>
      </c>
      <c r="B134" s="5" t="inlineStr">
        <is>
          <t>Peter Weidenfeller</t>
        </is>
      </c>
      <c r="C134" s="5" t="inlineStr">
        <is>
          <t>"A"DOLLYGRIP</t>
        </is>
      </c>
      <c r="D134" s="5" t="inlineStr">
        <is>
          <t>Local80</t>
        </is>
      </c>
      <c r="E134" s="6" t="n">
        <v>23.04</v>
      </c>
      <c r="F134" s="5" t="n"/>
      <c r="G134" s="5" t="n"/>
      <c r="H134" s="5" t="n"/>
      <c r="I134" s="5" t="n"/>
      <c r="J134" s="7">
        <f>IF(AND(N(F134)&gt;0,N(I134)&gt;0),I134-F134-IF(N(G134)&gt;0,0.5,0)-IF(N(H134)&gt;0,0.5,0),0)</f>
        <v/>
      </c>
      <c r="K134" s="5" t="n"/>
      <c r="L134" s="7">
        <f>MIN(J134,10.0)</f>
        <v/>
      </c>
      <c r="M134" s="7">
        <f>MAX(0,MIN(J134,12)-10.0)</f>
        <v/>
      </c>
      <c r="N134" s="7">
        <f>MAX(0,J134-12)</f>
        <v/>
      </c>
      <c r="O134" s="5" t="n"/>
      <c r="P134" s="6">
        <f>E134*(L134+M134*1.5+N134*2+O134*3+N(K134))</f>
        <v/>
      </c>
      <c r="Q134" s="6" t="n">
        <v>357.12</v>
      </c>
      <c r="R134" s="6">
        <f>Q134-P134</f>
        <v/>
      </c>
    </row>
    <row r="135">
      <c r="P135" s="2" t="inlineStr">
        <is>
          <t>DOLLYGRIP LABOR</t>
        </is>
      </c>
      <c r="R135" s="8">
        <f>SUM(R134:R134)</f>
        <v/>
      </c>
    </row>
    <row r="137">
      <c r="B137" s="2" t="inlineStr">
        <is>
          <t>CRANEGRIPS</t>
        </is>
      </c>
    </row>
    <row r="138">
      <c r="A138" s="5" t="inlineStr">
        <is>
          <t>2504</t>
        </is>
      </c>
      <c r="B138" s="5" t="inlineStr"/>
      <c r="C138" s="5" t="inlineStr">
        <is>
          <t>CRANEOPERATOR</t>
        </is>
      </c>
      <c r="D138" s="5" t="inlineStr">
        <is>
          <t>Local80</t>
        </is>
      </c>
      <c r="E138" s="6" t="n">
        <v>792</v>
      </c>
      <c r="F138" s="5" t="n"/>
      <c r="G138" s="5" t="n"/>
      <c r="H138" s="5" t="n"/>
      <c r="I138" s="5" t="n"/>
      <c r="J138" s="7">
        <f>IF(AND(N(F138)&gt;0,N(I138)&gt;0),I138-F138-IF(N(G138)&gt;0,0.5,0)-IF(N(H138)&gt;0,0.5,0),0)</f>
        <v/>
      </c>
      <c r="K138" s="5" t="n"/>
      <c r="L138" s="7">
        <f>MIN(J138,10.0)</f>
        <v/>
      </c>
      <c r="M138" s="7">
        <f>MAX(0,MIN(J138,12)-10.0)</f>
        <v/>
      </c>
      <c r="N138" s="7">
        <f>MAX(0,J138-12)</f>
        <v/>
      </c>
      <c r="O138" s="5" t="n"/>
      <c r="P138" s="6">
        <f>E138*(L138+M138*1.5+N138*2+O138*3+N(K138))</f>
        <v/>
      </c>
      <c r="Q138" s="6" t="n">
        <v>924</v>
      </c>
      <c r="R138" s="6">
        <f>Q138-P138</f>
        <v/>
      </c>
    </row>
    <row r="139">
      <c r="A139" s="5" t="inlineStr">
        <is>
          <t>2504</t>
        </is>
      </c>
      <c r="B139" s="5" t="inlineStr"/>
      <c r="C139" s="5" t="inlineStr">
        <is>
          <t>CRANEASSISTANT</t>
        </is>
      </c>
      <c r="D139" s="5" t="inlineStr">
        <is>
          <t>Local80</t>
        </is>
      </c>
      <c r="E139" s="6" t="n">
        <v>660</v>
      </c>
      <c r="F139" s="5" t="n"/>
      <c r="G139" s="5" t="n"/>
      <c r="H139" s="5" t="n"/>
      <c r="I139" s="5" t="n"/>
      <c r="J139" s="7">
        <f>IF(AND(N(F139)&gt;0,N(I139)&gt;0),I139-F139-IF(N(G139)&gt;0,0.5,0)-IF(N(H139)&gt;0,0.5,0),0)</f>
        <v/>
      </c>
      <c r="K139" s="5" t="n"/>
      <c r="L139" s="7">
        <f>MIN(J139,10.0)</f>
        <v/>
      </c>
      <c r="M139" s="7">
        <f>MAX(0,MIN(J139,12)-10.0)</f>
        <v/>
      </c>
      <c r="N139" s="7">
        <f>MAX(0,J139-12)</f>
        <v/>
      </c>
      <c r="O139" s="5" t="n"/>
      <c r="P139" s="6">
        <f>E139*(L139+M139*1.5+N139*2+O139*3+N(K139))</f>
        <v/>
      </c>
      <c r="Q139" s="6" t="n">
        <v>770</v>
      </c>
      <c r="R139" s="6">
        <f>Q139-P139</f>
        <v/>
      </c>
    </row>
    <row r="140">
      <c r="P140" s="2" t="inlineStr">
        <is>
          <t>CRANEGRIPS LABOR</t>
        </is>
      </c>
      <c r="R140" s="8">
        <f>SUM(R138:R139)</f>
        <v/>
      </c>
    </row>
    <row r="142">
      <c r="B142" s="2" t="inlineStr">
        <is>
          <t>COMPANYGRIPS</t>
        </is>
      </c>
    </row>
    <row r="143">
      <c r="A143" s="5" t="inlineStr">
        <is>
          <t>2505</t>
        </is>
      </c>
      <c r="B143" s="5" t="inlineStr"/>
      <c r="C143" s="5" t="inlineStr">
        <is>
          <t>GRIP#1</t>
        </is>
      </c>
      <c r="D143" s="5" t="inlineStr">
        <is>
          <t>Local80</t>
        </is>
      </c>
      <c r="E143" s="6" t="n">
        <v>20.57</v>
      </c>
      <c r="F143" s="5" t="n"/>
      <c r="G143" s="5" t="n"/>
      <c r="H143" s="5" t="n"/>
      <c r="I143" s="5" t="n"/>
      <c r="J143" s="7">
        <f>IF(AND(N(F143)&gt;0,N(I143)&gt;0),I143-F143-IF(N(G143)&gt;0,0.5,0)-IF(N(H143)&gt;0,0.5,0),0)</f>
        <v/>
      </c>
      <c r="K143" s="5" t="n"/>
      <c r="L143" s="7">
        <f>MIN(J143,10.0)</f>
        <v/>
      </c>
      <c r="M143" s="7">
        <f>MAX(0,MIN(J143,12)-10.0)</f>
        <v/>
      </c>
      <c r="N143" s="7">
        <f>MAX(0,J143-12)</f>
        <v/>
      </c>
      <c r="O143" s="5" t="n"/>
      <c r="P143" s="6">
        <f>E143*(L143+M143*1.5+N143*2+O143*3+N(K143))</f>
        <v/>
      </c>
      <c r="Q143" s="6" t="n">
        <v>318.83</v>
      </c>
      <c r="R143" s="6">
        <f>Q143-P143</f>
        <v/>
      </c>
    </row>
    <row r="144">
      <c r="A144" s="5" t="inlineStr">
        <is>
          <t>2505</t>
        </is>
      </c>
      <c r="B144" s="5" t="inlineStr"/>
      <c r="C144" s="5" t="inlineStr">
        <is>
          <t>GRIP#2</t>
        </is>
      </c>
      <c r="D144" s="5" t="inlineStr">
        <is>
          <t>Local80</t>
        </is>
      </c>
      <c r="E144" s="6" t="n">
        <v>20.57</v>
      </c>
      <c r="F144" s="5" t="n"/>
      <c r="G144" s="5" t="n"/>
      <c r="H144" s="5" t="n"/>
      <c r="I144" s="5" t="n"/>
      <c r="J144" s="7">
        <f>IF(AND(N(F144)&gt;0,N(I144)&gt;0),I144-F144-IF(N(G144)&gt;0,0.5,0)-IF(N(H144)&gt;0,0.5,0),0)</f>
        <v/>
      </c>
      <c r="K144" s="5" t="n"/>
      <c r="L144" s="7">
        <f>MIN(J144,10.0)</f>
        <v/>
      </c>
      <c r="M144" s="7">
        <f>MAX(0,MIN(J144,12)-10.0)</f>
        <v/>
      </c>
      <c r="N144" s="7">
        <f>MAX(0,J144-12)</f>
        <v/>
      </c>
      <c r="O144" s="5" t="n"/>
      <c r="P144" s="6">
        <f>E144*(L144+M144*1.5+N144*2+O144*3+N(K144))</f>
        <v/>
      </c>
      <c r="Q144" s="6" t="n">
        <v>318.83</v>
      </c>
      <c r="R144" s="6">
        <f>Q144-P144</f>
        <v/>
      </c>
    </row>
    <row r="145">
      <c r="A145" s="5" t="inlineStr">
        <is>
          <t>2505</t>
        </is>
      </c>
      <c r="B145" s="5" t="inlineStr"/>
      <c r="C145" s="5" t="inlineStr">
        <is>
          <t>GRIP#3</t>
        </is>
      </c>
      <c r="D145" s="5" t="inlineStr">
        <is>
          <t>Local80</t>
        </is>
      </c>
      <c r="E145" s="6" t="n">
        <v>20.57</v>
      </c>
      <c r="F145" s="5" t="n"/>
      <c r="G145" s="5" t="n"/>
      <c r="H145" s="5" t="n"/>
      <c r="I145" s="5" t="n"/>
      <c r="J145" s="7">
        <f>IF(AND(N(F145)&gt;0,N(I145)&gt;0),I145-F145-IF(N(G145)&gt;0,0.5,0)-IF(N(H145)&gt;0,0.5,0),0)</f>
        <v/>
      </c>
      <c r="K145" s="5" t="n"/>
      <c r="L145" s="7">
        <f>MIN(J145,10.0)</f>
        <v/>
      </c>
      <c r="M145" s="7">
        <f>MAX(0,MIN(J145,12)-10.0)</f>
        <v/>
      </c>
      <c r="N145" s="7">
        <f>MAX(0,J145-12)</f>
        <v/>
      </c>
      <c r="O145" s="5" t="n"/>
      <c r="P145" s="6">
        <f>E145*(L145+M145*1.5+N145*2+O145*3+N(K145))</f>
        <v/>
      </c>
      <c r="Q145" s="6" t="n">
        <v>318.83</v>
      </c>
      <c r="R145" s="6">
        <f>Q145-P145</f>
        <v/>
      </c>
    </row>
    <row r="146">
      <c r="P146" s="2" t="inlineStr">
        <is>
          <t>COMPANYGRIPS LABOR</t>
        </is>
      </c>
      <c r="R146" s="8">
        <f>SUM(R143:R145)</f>
        <v/>
      </c>
    </row>
    <row r="148">
      <c r="B148" s="2" t="inlineStr">
        <is>
          <t>OTHERLABOR</t>
        </is>
      </c>
    </row>
    <row r="149">
      <c r="A149" s="5" t="inlineStr">
        <is>
          <t>2506</t>
        </is>
      </c>
      <c r="B149" s="5" t="inlineStr"/>
      <c r="C149" s="5" t="inlineStr">
        <is>
          <t>GRIPMANDAYS&amp;RIGGINGMANDAYS</t>
        </is>
      </c>
      <c r="D149" s="5" t="inlineStr">
        <is>
          <t>Local80</t>
        </is>
      </c>
      <c r="E149" s="6" t="n">
        <v>20.57</v>
      </c>
      <c r="F149" s="5" t="n"/>
      <c r="G149" s="5" t="n"/>
      <c r="H149" s="5" t="n"/>
      <c r="I149" s="5" t="n"/>
      <c r="J149" s="7">
        <f>IF(AND(N(F149)&gt;0,N(I149)&gt;0),I149-F149-IF(N(G149)&gt;0,0.5,0)-IF(N(H149)&gt;0,0.5,0),0)</f>
        <v/>
      </c>
      <c r="K149" s="5" t="n"/>
      <c r="L149" s="7">
        <f>MIN(J149,10.0)</f>
        <v/>
      </c>
      <c r="M149" s="7">
        <f>MAX(0,MIN(J149,12)-10.0)</f>
        <v/>
      </c>
      <c r="N149" s="7">
        <f>MAX(0,J149-12)</f>
        <v/>
      </c>
      <c r="O149" s="5" t="n"/>
      <c r="P149" s="6">
        <f>E149*(L149+M149*1.5+N149*2+O149*3+N(K149))</f>
        <v/>
      </c>
      <c r="Q149" s="6" t="n">
        <v>318.83</v>
      </c>
      <c r="R149" s="6">
        <f>Q149-P149</f>
        <v/>
      </c>
    </row>
    <row r="150">
      <c r="P150" s="2" t="inlineStr">
        <is>
          <t>OTHERLABOR LABOR</t>
        </is>
      </c>
      <c r="R150" s="8">
        <f>SUM(R149:R149)</f>
        <v/>
      </c>
    </row>
    <row r="152">
      <c r="B152" s="2" t="inlineStr">
        <is>
          <t>STANDBYLABOR</t>
        </is>
      </c>
    </row>
    <row r="153">
      <c r="A153" s="5" t="inlineStr">
        <is>
          <t>2510</t>
        </is>
      </c>
      <c r="B153" s="5" t="inlineStr"/>
      <c r="C153" s="5" t="inlineStr">
        <is>
          <t>LAYOUTBOARD</t>
        </is>
      </c>
      <c r="D153" s="5" t="inlineStr">
        <is>
          <t>Local729</t>
        </is>
      </c>
      <c r="E153" s="6" t="n">
        <v>25.5</v>
      </c>
      <c r="F153" s="5" t="n"/>
      <c r="G153" s="5" t="n"/>
      <c r="H153" s="5" t="n"/>
      <c r="I153" s="5" t="n"/>
      <c r="J153" s="7">
        <f>IF(AND(N(F153)&gt;0,N(I153)&gt;0),I153-F153-IF(N(G153)&gt;0,0.5,0)-IF(N(H153)&gt;0,0.5,0),0)</f>
        <v/>
      </c>
      <c r="K153" s="5" t="n"/>
      <c r="L153" s="7">
        <f>MIN(J153,10.0)</f>
        <v/>
      </c>
      <c r="M153" s="7">
        <f>MAX(0,MIN(J153,12)-10.0)</f>
        <v/>
      </c>
      <c r="N153" s="7">
        <f>MAX(0,J153-12)</f>
        <v/>
      </c>
      <c r="O153" s="5" t="n"/>
      <c r="P153" s="6">
        <f>E153*(L153+M153*1.5+N153*2+O153*3+N(K153))</f>
        <v/>
      </c>
      <c r="Q153" s="6" t="n">
        <v>395.25</v>
      </c>
      <c r="R153" s="6">
        <f>Q153-P153</f>
        <v/>
      </c>
    </row>
    <row r="154">
      <c r="P154" s="2" t="inlineStr">
        <is>
          <t>STANDBYLABOR LABOR</t>
        </is>
      </c>
      <c r="R154" s="8">
        <f>SUM(R153:R153)</f>
        <v/>
      </c>
    </row>
    <row r="156">
      <c r="B156" s="2" t="inlineStr">
        <is>
          <t>SETCRAFTSERVICELABOR</t>
        </is>
      </c>
    </row>
    <row r="157">
      <c r="A157" s="5" t="inlineStr">
        <is>
          <t>2511</t>
        </is>
      </c>
      <c r="B157" s="5" t="inlineStr">
        <is>
          <t>Maurico Solis</t>
        </is>
      </c>
      <c r="C157" s="5" t="inlineStr">
        <is>
          <t>KEYCRAFTSERVICE</t>
        </is>
      </c>
      <c r="D157" s="5" t="inlineStr">
        <is>
          <t>Local80</t>
        </is>
      </c>
      <c r="E157" s="6" t="n">
        <v>25.5</v>
      </c>
      <c r="F157" s="5" t="n"/>
      <c r="G157" s="5" t="n"/>
      <c r="H157" s="5" t="n"/>
      <c r="I157" s="5" t="n"/>
      <c r="J157" s="7">
        <f>IF(AND(N(F157)&gt;0,N(I157)&gt;0),I157-F157-IF(N(G157)&gt;0,0.5,0)-IF(N(H157)&gt;0,0.5,0),0)</f>
        <v/>
      </c>
      <c r="K157" s="5" t="n"/>
      <c r="L157" s="7">
        <f>MIN(J157,10.0)</f>
        <v/>
      </c>
      <c r="M157" s="7">
        <f>MAX(0,MIN(J157,12)-10.0)</f>
        <v/>
      </c>
      <c r="N157" s="7">
        <f>MAX(0,J157-12)</f>
        <v/>
      </c>
      <c r="O157" s="5" t="n"/>
      <c r="P157" s="6">
        <f>E157*(L157+M157*1.5+N157*2+O157*3+N(K157))</f>
        <v/>
      </c>
      <c r="Q157" s="6" t="n">
        <v>439.87</v>
      </c>
      <c r="R157" s="6">
        <f>Q157-P157</f>
        <v/>
      </c>
    </row>
    <row r="158">
      <c r="A158" s="5" t="inlineStr">
        <is>
          <t>2511</t>
        </is>
      </c>
      <c r="B158" s="5" t="inlineStr"/>
      <c r="C158" s="5" t="inlineStr">
        <is>
          <t>ASSTCRAFTSERVICE</t>
        </is>
      </c>
      <c r="D158" s="5" t="inlineStr">
        <is>
          <t>Local80</t>
        </is>
      </c>
      <c r="E158" s="6" t="n">
        <v>23.04</v>
      </c>
      <c r="F158" s="5" t="n"/>
      <c r="G158" s="5" t="n"/>
      <c r="H158" s="5" t="n"/>
      <c r="I158" s="5" t="n"/>
      <c r="J158" s="7">
        <f>IF(AND(N(F158)&gt;0,N(I158)&gt;0),I158-F158-IF(N(G158)&gt;0,0.5,0)-IF(N(H158)&gt;0,0.5,0),0)</f>
        <v/>
      </c>
      <c r="K158" s="5" t="n"/>
      <c r="L158" s="7">
        <f>MIN(J158,10.0)</f>
        <v/>
      </c>
      <c r="M158" s="7">
        <f>MAX(0,MIN(J158,12)-10.0)</f>
        <v/>
      </c>
      <c r="N158" s="7">
        <f>MAX(0,J158-12)</f>
        <v/>
      </c>
      <c r="O158" s="5" t="n"/>
      <c r="P158" s="6">
        <f>E158*(L158+M158*1.5+N158*2+O158*3+N(K158))</f>
        <v/>
      </c>
      <c r="Q158" s="6" t="n">
        <v>397.43</v>
      </c>
      <c r="R158" s="6">
        <f>Q158-P158</f>
        <v/>
      </c>
    </row>
    <row r="159">
      <c r="P159" s="2" t="inlineStr">
        <is>
          <t>SETCRAFTSERVICELABOR LABOR</t>
        </is>
      </c>
      <c r="R159" s="8">
        <f>SUM(R157:R158)</f>
        <v/>
      </c>
    </row>
    <row r="161">
      <c r="B161" s="2" t="inlineStr">
        <is>
          <t>SETFIRSTAIDLABOR</t>
        </is>
      </c>
    </row>
    <row r="162">
      <c r="A162" s="5" t="inlineStr">
        <is>
          <t>2514</t>
        </is>
      </c>
      <c r="B162" s="5" t="inlineStr">
        <is>
          <t>Robert Hill</t>
        </is>
      </c>
      <c r="C162" s="5" t="inlineStr">
        <is>
          <t>SETMEDIC</t>
        </is>
      </c>
      <c r="D162" s="5" t="inlineStr">
        <is>
          <t>Local80</t>
        </is>
      </c>
      <c r="E162" s="6" t="n">
        <v>23.04</v>
      </c>
      <c r="F162" s="5" t="n"/>
      <c r="G162" s="5" t="n"/>
      <c r="H162" s="5" t="n"/>
      <c r="I162" s="5" t="n"/>
      <c r="J162" s="7">
        <f>IF(AND(N(F162)&gt;0,N(I162)&gt;0),I162-F162-IF(N(G162)&gt;0,0.5,0)-IF(N(H162)&gt;0,0.5,0),0)</f>
        <v/>
      </c>
      <c r="K162" s="5" t="n"/>
      <c r="L162" s="7">
        <f>MIN(J162,10.0)</f>
        <v/>
      </c>
      <c r="M162" s="7">
        <f>MAX(0,MIN(J162,12)-10.0)</f>
        <v/>
      </c>
      <c r="N162" s="7">
        <f>MAX(0,J162-12)</f>
        <v/>
      </c>
      <c r="O162" s="5" t="n"/>
      <c r="P162" s="6">
        <f>E162*(L162+M162*1.5+N162*2+O162*3+N(K162))</f>
        <v/>
      </c>
      <c r="Q162" s="6" t="n">
        <v>397.43</v>
      </c>
      <c r="R162" s="6">
        <f>Q162-P162</f>
        <v/>
      </c>
    </row>
    <row r="163">
      <c r="A163" s="5" t="inlineStr">
        <is>
          <t>2514</t>
        </is>
      </c>
      <c r="B163" s="5" t="inlineStr"/>
      <c r="C163" s="5" t="inlineStr">
        <is>
          <t>RIGGINGMEDICMANDAYS</t>
        </is>
      </c>
      <c r="D163" s="5" t="inlineStr">
        <is>
          <t>Local80</t>
        </is>
      </c>
      <c r="E163" s="6" t="n">
        <v>23.04</v>
      </c>
      <c r="F163" s="5" t="n"/>
      <c r="G163" s="5" t="n"/>
      <c r="H163" s="5" t="n"/>
      <c r="I163" s="5" t="n"/>
      <c r="J163" s="7">
        <f>IF(AND(N(F163)&gt;0,N(I163)&gt;0),I163-F163-IF(N(G163)&gt;0,0.5,0)-IF(N(H163)&gt;0,0.5,0),0)</f>
        <v/>
      </c>
      <c r="K163" s="5" t="n"/>
      <c r="L163" s="7">
        <f>MIN(J163,10.0)</f>
        <v/>
      </c>
      <c r="M163" s="7">
        <f>MAX(0,MIN(J163,12)-10.0)</f>
        <v/>
      </c>
      <c r="N163" s="7">
        <f>MAX(0,J163-12)</f>
        <v/>
      </c>
      <c r="O163" s="5" t="n"/>
      <c r="P163" s="6">
        <f>E163*(L163+M163*1.5+N163*2+O163*3+N(K163))</f>
        <v/>
      </c>
      <c r="Q163" s="5" t="n"/>
      <c r="R163" s="6">
        <f>Q163-P163</f>
        <v/>
      </c>
    </row>
    <row r="164">
      <c r="P164" s="2" t="inlineStr">
        <is>
          <t>SETFIRSTAIDLABOR LABOR</t>
        </is>
      </c>
      <c r="R164" s="8">
        <f>SUM(R162:R163)</f>
        <v/>
      </c>
    </row>
    <row r="166">
      <c r="B166" s="2" t="inlineStr">
        <is>
          <t>SFXCOORDINATOR</t>
        </is>
      </c>
    </row>
    <row r="167">
      <c r="A167" s="5" t="inlineStr">
        <is>
          <t>2601</t>
        </is>
      </c>
      <c r="B167" s="5" t="inlineStr">
        <is>
          <t>Zak Knight</t>
        </is>
      </c>
      <c r="C167" s="5" t="inlineStr">
        <is>
          <t>SPFXCOORDINATOR</t>
        </is>
      </c>
      <c r="D167" s="5" t="inlineStr">
        <is>
          <t>Local44</t>
        </is>
      </c>
      <c r="E167" s="6" t="n">
        <v>42</v>
      </c>
      <c r="F167" s="5" t="n"/>
      <c r="G167" s="5" t="n"/>
      <c r="H167" s="5" t="n"/>
      <c r="I167" s="5" t="n"/>
      <c r="J167" s="7">
        <f>IF(AND(N(F167)&gt;0,N(I167)&gt;0),I167-F167-IF(N(G167)&gt;0,0.5,0)-IF(N(H167)&gt;0,0.5,0),0)</f>
        <v/>
      </c>
      <c r="K167" s="5" t="n"/>
      <c r="L167" s="7">
        <f>MIN(J167,10.0)</f>
        <v/>
      </c>
      <c r="M167" s="7">
        <f>MAX(0,MIN(J167,12)-10.0)</f>
        <v/>
      </c>
      <c r="N167" s="7">
        <f>MAX(0,J167-12)</f>
        <v/>
      </c>
      <c r="O167" s="5" t="n"/>
      <c r="P167" s="6">
        <f>E167*(L167+M167*1.5+N167*2+O167*3+N(K167))</f>
        <v/>
      </c>
      <c r="Q167" s="6" t="n">
        <v>651</v>
      </c>
      <c r="R167" s="6">
        <f>Q167-P167</f>
        <v/>
      </c>
    </row>
    <row r="168">
      <c r="P168" s="2" t="inlineStr">
        <is>
          <t>SFXCOORDINATOR LABOR</t>
        </is>
      </c>
      <c r="R168" s="8">
        <f>SUM(R167:R167)</f>
        <v/>
      </c>
    </row>
    <row r="170">
      <c r="B170" s="2" t="inlineStr">
        <is>
          <t>SFXTECHMANDAYS</t>
        </is>
      </c>
    </row>
    <row r="171">
      <c r="A171" s="5" t="inlineStr">
        <is>
          <t>2609</t>
        </is>
      </c>
      <c r="B171" s="5" t="inlineStr"/>
      <c r="C171" s="5" t="inlineStr">
        <is>
          <t>SPFXTECHMANDAYS</t>
        </is>
      </c>
      <c r="D171" s="5" t="inlineStr">
        <is>
          <t>Local44</t>
        </is>
      </c>
      <c r="E171" s="6" t="n">
        <v>40</v>
      </c>
      <c r="F171" s="5" t="n"/>
      <c r="G171" s="5" t="n"/>
      <c r="H171" s="5" t="n"/>
      <c r="I171" s="5" t="n"/>
      <c r="J171" s="7">
        <f>IF(AND(N(F171)&gt;0,N(I171)&gt;0),I171-F171-IF(N(G171)&gt;0,0.5,0)-IF(N(H171)&gt;0,0.5,0),0)</f>
        <v/>
      </c>
      <c r="K171" s="5" t="n"/>
      <c r="L171" s="7">
        <f>MIN(J171,10.0)</f>
        <v/>
      </c>
      <c r="M171" s="7">
        <f>MAX(0,MIN(J171,12)-10.0)</f>
        <v/>
      </c>
      <c r="N171" s="7">
        <f>MAX(0,J171-12)</f>
        <v/>
      </c>
      <c r="O171" s="5" t="n"/>
      <c r="P171" s="6">
        <f>E171*(L171+M171*1.5+N171*2+O171*3+N(K171))</f>
        <v/>
      </c>
      <c r="Q171" s="6" t="n">
        <v>620</v>
      </c>
      <c r="R171" s="6">
        <f>Q171-P171</f>
        <v/>
      </c>
    </row>
    <row r="172">
      <c r="A172" s="5" t="inlineStr">
        <is>
          <t>2609</t>
        </is>
      </c>
      <c r="B172" s="5" t="inlineStr"/>
      <c r="C172" s="5" t="inlineStr">
        <is>
          <t>SPFXASSISTANTMANDAYS</t>
        </is>
      </c>
      <c r="D172" s="5" t="inlineStr">
        <is>
          <t>Local44</t>
        </is>
      </c>
      <c r="E172" s="6" t="n">
        <v>25.5</v>
      </c>
      <c r="F172" s="5" t="n"/>
      <c r="G172" s="5" t="n"/>
      <c r="H172" s="5" t="n"/>
      <c r="I172" s="5" t="n"/>
      <c r="J172" s="7">
        <f>IF(AND(N(F172)&gt;0,N(I172)&gt;0),I172-F172-IF(N(G172)&gt;0,0.5,0)-IF(N(H172)&gt;0,0.5,0),0)</f>
        <v/>
      </c>
      <c r="K172" s="5" t="n"/>
      <c r="L172" s="7">
        <f>MIN(J172,10.0)</f>
        <v/>
      </c>
      <c r="M172" s="7">
        <f>MAX(0,MIN(J172,12)-10.0)</f>
        <v/>
      </c>
      <c r="N172" s="7">
        <f>MAX(0,J172-12)</f>
        <v/>
      </c>
      <c r="O172" s="5" t="n"/>
      <c r="P172" s="6">
        <f>E172*(L172+M172*1.5+N172*2+O172*3+N(K172))</f>
        <v/>
      </c>
      <c r="Q172" s="6" t="n">
        <v>395.25</v>
      </c>
      <c r="R172" s="6">
        <f>Q172-P172</f>
        <v/>
      </c>
    </row>
    <row r="173">
      <c r="A173" s="5" t="inlineStr">
        <is>
          <t>2609</t>
        </is>
      </c>
      <c r="B173" s="5" t="inlineStr"/>
      <c r="C173" s="5" t="inlineStr">
        <is>
          <t>PYROMANDAYS</t>
        </is>
      </c>
      <c r="D173" s="5" t="inlineStr">
        <is>
          <t>Local44</t>
        </is>
      </c>
      <c r="E173" s="6" t="n">
        <v>68.18000000000001</v>
      </c>
      <c r="F173" s="5" t="n"/>
      <c r="G173" s="5" t="n"/>
      <c r="H173" s="5" t="n"/>
      <c r="I173" s="5" t="n"/>
      <c r="J173" s="7">
        <f>IF(AND(N(F173)&gt;0,N(I173)&gt;0),I173-F173-IF(N(G173)&gt;0,0.5,0)-IF(N(H173)&gt;0,0.5,0),0)</f>
        <v/>
      </c>
      <c r="K173" s="5" t="n"/>
      <c r="L173" s="7">
        <f>MIN(J173,10.0)</f>
        <v/>
      </c>
      <c r="M173" s="7">
        <f>MAX(0,MIN(J173,12)-10.0)</f>
        <v/>
      </c>
      <c r="N173" s="7">
        <f>MAX(0,J173-12)</f>
        <v/>
      </c>
      <c r="O173" s="5" t="n"/>
      <c r="P173" s="6">
        <f>E173*(L173+M173*1.5+N173*2+O173*3+N(K173))</f>
        <v/>
      </c>
      <c r="Q173" s="6" t="n">
        <v>749.98</v>
      </c>
      <c r="R173" s="6">
        <f>Q173-P173</f>
        <v/>
      </c>
    </row>
    <row r="174">
      <c r="P174" s="2" t="inlineStr">
        <is>
          <t>SFXTECHMANDAYS LABOR</t>
        </is>
      </c>
      <c r="R174" s="8">
        <f>SUM(R171:R173)</f>
        <v/>
      </c>
    </row>
    <row r="176">
      <c r="B176" s="2" t="inlineStr">
        <is>
          <t>SETDECORATOR</t>
        </is>
      </c>
    </row>
    <row r="177">
      <c r="A177" s="5" t="inlineStr">
        <is>
          <t>2701</t>
        </is>
      </c>
      <c r="B177" s="5" t="inlineStr">
        <is>
          <t>Sandy Skora</t>
        </is>
      </c>
      <c r="C177" s="5" t="inlineStr">
        <is>
          <t>SETDECORATOR</t>
        </is>
      </c>
      <c r="D177" s="5" t="inlineStr">
        <is>
          <t>Local44</t>
        </is>
      </c>
      <c r="E177" s="6" t="n">
        <v>400</v>
      </c>
      <c r="F177" s="5" t="n"/>
      <c r="G177" s="5" t="n"/>
      <c r="H177" s="5" t="n"/>
      <c r="I177" s="5" t="n"/>
      <c r="J177" s="7">
        <f>IF(AND(N(F177)&gt;0,N(I177)&gt;0),I177-F177-IF(N(G177)&gt;0,0.5,0)-IF(N(H177)&gt;0,0.5,0),0)</f>
        <v/>
      </c>
      <c r="K177" s="5" t="n"/>
      <c r="L177" s="7">
        <f>MIN(J177,10.0)</f>
        <v/>
      </c>
      <c r="M177" s="7">
        <f>MAX(0,MIN(J177,12)-10.0)</f>
        <v/>
      </c>
      <c r="N177" s="7">
        <f>MAX(0,J177-12)</f>
        <v/>
      </c>
      <c r="O177" s="5" t="n"/>
      <c r="P177" s="6">
        <f>E177*(L177+M177*1.5+N177*2+O177*3+N(K177))</f>
        <v/>
      </c>
      <c r="Q177" s="6" t="n">
        <v>400</v>
      </c>
      <c r="R177" s="6">
        <f>Q177-P177</f>
        <v/>
      </c>
    </row>
    <row r="178">
      <c r="P178" s="2" t="inlineStr">
        <is>
          <t>SETDECORATOR LABOR</t>
        </is>
      </c>
      <c r="R178" s="8">
        <f>SUM(R177:R177)</f>
        <v/>
      </c>
    </row>
    <row r="180">
      <c r="B180" s="2" t="inlineStr">
        <is>
          <t>LEADPERSON</t>
        </is>
      </c>
    </row>
    <row r="181">
      <c r="A181" s="5" t="inlineStr">
        <is>
          <t>2702</t>
        </is>
      </c>
      <c r="B181" s="5" t="inlineStr">
        <is>
          <t>Josh Richmond</t>
        </is>
      </c>
      <c r="C181" s="5" t="inlineStr">
        <is>
          <t>LEADPERSON</t>
        </is>
      </c>
      <c r="D181" s="5" t="inlineStr">
        <is>
          <t>Local44</t>
        </is>
      </c>
      <c r="E181" s="6" t="n">
        <v>23.04</v>
      </c>
      <c r="F181" s="5" t="n"/>
      <c r="G181" s="5" t="n"/>
      <c r="H181" s="5" t="n"/>
      <c r="I181" s="5" t="n"/>
      <c r="J181" s="7">
        <f>IF(AND(N(F181)&gt;0,N(I181)&gt;0),I181-F181-IF(N(G181)&gt;0,0.5,0)-IF(N(H181)&gt;0,0.5,0),0)</f>
        <v/>
      </c>
      <c r="K181" s="5" t="n"/>
      <c r="L181" s="7">
        <f>MIN(J181,10.0)</f>
        <v/>
      </c>
      <c r="M181" s="7">
        <f>MAX(0,MIN(J181,12)-10.0)</f>
        <v/>
      </c>
      <c r="N181" s="7">
        <f>MAX(0,J181-12)</f>
        <v/>
      </c>
      <c r="O181" s="5" t="n"/>
      <c r="P181" s="6">
        <f>E181*(L181+M181*1.5+N181*2+O181*3+N(K181))</f>
        <v/>
      </c>
      <c r="Q181" s="6" t="n">
        <v>322.56</v>
      </c>
      <c r="R181" s="6">
        <f>Q181-P181</f>
        <v/>
      </c>
    </row>
    <row r="182">
      <c r="P182" s="2" t="inlineStr">
        <is>
          <t>LEADPERSON LABOR</t>
        </is>
      </c>
      <c r="R182" s="8">
        <f>SUM(R181:R181)</f>
        <v/>
      </c>
    </row>
    <row r="184">
      <c r="B184" s="2" t="inlineStr">
        <is>
          <t>SWINGLABOR</t>
        </is>
      </c>
    </row>
    <row r="185">
      <c r="A185" s="5" t="inlineStr">
        <is>
          <t>2703</t>
        </is>
      </c>
      <c r="B185" s="5" t="inlineStr">
        <is>
          <t>Tim Dodge</t>
        </is>
      </c>
      <c r="C185" s="5" t="inlineStr">
        <is>
          <t>SWING#1</t>
        </is>
      </c>
      <c r="D185" s="5" t="inlineStr">
        <is>
          <t>Local44</t>
        </is>
      </c>
      <c r="E185" s="6" t="n">
        <v>20.57</v>
      </c>
      <c r="F185" s="5" t="n"/>
      <c r="G185" s="5" t="n"/>
      <c r="H185" s="5" t="n"/>
      <c r="I185" s="5" t="n"/>
      <c r="J185" s="7">
        <f>IF(AND(N(F185)&gt;0,N(I185)&gt;0),I185-F185-IF(N(G185)&gt;0,0.5,0)-IF(N(H185)&gt;0,0.5,0),0)</f>
        <v/>
      </c>
      <c r="K185" s="5" t="n"/>
      <c r="L185" s="7">
        <f>MIN(J185,10.0)</f>
        <v/>
      </c>
      <c r="M185" s="7">
        <f>MAX(0,MIN(J185,12)-10.0)</f>
        <v/>
      </c>
      <c r="N185" s="7">
        <f>MAX(0,J185-12)</f>
        <v/>
      </c>
      <c r="O185" s="5" t="n"/>
      <c r="P185" s="6">
        <f>E185*(L185+M185*1.5+N185*2+O185*3+N(K185))</f>
        <v/>
      </c>
      <c r="Q185" s="6" t="n">
        <v>287.98</v>
      </c>
      <c r="R185" s="6">
        <f>Q185-P185</f>
        <v/>
      </c>
    </row>
    <row r="186">
      <c r="A186" s="5" t="inlineStr">
        <is>
          <t>2703</t>
        </is>
      </c>
      <c r="B186" s="5" t="inlineStr"/>
      <c r="C186" s="5" t="inlineStr">
        <is>
          <t>SWING#2</t>
        </is>
      </c>
      <c r="D186" s="5" t="inlineStr">
        <is>
          <t>Local44</t>
        </is>
      </c>
      <c r="E186" s="6" t="n">
        <v>20.57</v>
      </c>
      <c r="F186" s="5" t="n"/>
      <c r="G186" s="5" t="n"/>
      <c r="H186" s="5" t="n"/>
      <c r="I186" s="5" t="n"/>
      <c r="J186" s="7">
        <f>IF(AND(N(F186)&gt;0,N(I186)&gt;0),I186-F186-IF(N(G186)&gt;0,0.5,0)-IF(N(H186)&gt;0,0.5,0),0)</f>
        <v/>
      </c>
      <c r="K186" s="5" t="n"/>
      <c r="L186" s="7">
        <f>MIN(J186,10.0)</f>
        <v/>
      </c>
      <c r="M186" s="7">
        <f>MAX(0,MIN(J186,12)-10.0)</f>
        <v/>
      </c>
      <c r="N186" s="7">
        <f>MAX(0,J186-12)</f>
        <v/>
      </c>
      <c r="O186" s="5" t="n"/>
      <c r="P186" s="6">
        <f>E186*(L186+M186*1.5+N186*2+O186*3+N(K186))</f>
        <v/>
      </c>
      <c r="Q186" s="6" t="n">
        <v>287.98</v>
      </c>
      <c r="R186" s="6">
        <f>Q186-P186</f>
        <v/>
      </c>
    </row>
    <row r="187">
      <c r="A187" s="5" t="inlineStr">
        <is>
          <t>2703</t>
        </is>
      </c>
      <c r="B187" s="5" t="inlineStr"/>
      <c r="C187" s="5" t="inlineStr">
        <is>
          <t>ADDITIONALSWINGMANDAYS</t>
        </is>
      </c>
      <c r="D187" s="5" t="inlineStr">
        <is>
          <t>Local44</t>
        </is>
      </c>
      <c r="E187" s="6" t="n">
        <v>20.57</v>
      </c>
      <c r="F187" s="5" t="n"/>
      <c r="G187" s="5" t="n"/>
      <c r="H187" s="5" t="n"/>
      <c r="I187" s="5" t="n"/>
      <c r="J187" s="7">
        <f>IF(AND(N(F187)&gt;0,N(I187)&gt;0),I187-F187-IF(N(G187)&gt;0,0.5,0)-IF(N(H187)&gt;0,0.5,0),0)</f>
        <v/>
      </c>
      <c r="K187" s="5" t="n"/>
      <c r="L187" s="7">
        <f>MIN(J187,10.0)</f>
        <v/>
      </c>
      <c r="M187" s="7">
        <f>MAX(0,MIN(J187,12)-10.0)</f>
        <v/>
      </c>
      <c r="N187" s="7">
        <f>MAX(0,J187-12)</f>
        <v/>
      </c>
      <c r="O187" s="5" t="n"/>
      <c r="P187" s="6">
        <f>E187*(L187+M187*1.5+N187*2+O187*3+N(K187))</f>
        <v/>
      </c>
      <c r="Q187" s="6" t="n">
        <v>287.98</v>
      </c>
      <c r="R187" s="6">
        <f>Q187-P187</f>
        <v/>
      </c>
    </row>
    <row r="188">
      <c r="P188" s="2" t="inlineStr">
        <is>
          <t>SWINGLABOR LABOR</t>
        </is>
      </c>
      <c r="R188" s="8">
        <f>SUM(R185:R187)</f>
        <v/>
      </c>
    </row>
    <row r="190">
      <c r="B190" s="2" t="inlineStr">
        <is>
          <t>ON-SETDRESSER</t>
        </is>
      </c>
    </row>
    <row r="191">
      <c r="A191" s="5" t="inlineStr">
        <is>
          <t>2705</t>
        </is>
      </c>
      <c r="B191" s="5" t="inlineStr">
        <is>
          <t>Khamisi Thurman</t>
        </is>
      </c>
      <c r="C191" s="5" t="inlineStr">
        <is>
          <t>ON-SETDRESSER</t>
        </is>
      </c>
      <c r="D191" s="5" t="inlineStr">
        <is>
          <t>Local44</t>
        </is>
      </c>
      <c r="E191" s="6" t="n">
        <v>20.57</v>
      </c>
      <c r="F191" s="5" t="n"/>
      <c r="G191" s="5" t="n"/>
      <c r="H191" s="5" t="n"/>
      <c r="I191" s="5" t="n"/>
      <c r="J191" s="7">
        <f>IF(AND(N(F191)&gt;0,N(I191)&gt;0),I191-F191-IF(N(G191)&gt;0,0.5,0)-IF(N(H191)&gt;0,0.5,0),0)</f>
        <v/>
      </c>
      <c r="K191" s="5" t="n"/>
      <c r="L191" s="7">
        <f>MIN(J191,10.0)</f>
        <v/>
      </c>
      <c r="M191" s="7">
        <f>MAX(0,MIN(J191,12)-10.0)</f>
        <v/>
      </c>
      <c r="N191" s="7">
        <f>MAX(0,J191-12)</f>
        <v/>
      </c>
      <c r="O191" s="5" t="n"/>
      <c r="P191" s="6">
        <f>E191*(L191+M191*1.5+N191*2+O191*3+N(K191))</f>
        <v/>
      </c>
      <c r="Q191" s="6" t="n">
        <v>318.83</v>
      </c>
      <c r="R191" s="6">
        <f>Q191-P191</f>
        <v/>
      </c>
    </row>
    <row r="192">
      <c r="P192" s="2" t="inlineStr">
        <is>
          <t>ON-SETDRESSER LABOR</t>
        </is>
      </c>
      <c r="R192" s="8">
        <f>SUM(R191:R191)</f>
        <v/>
      </c>
    </row>
    <row r="194">
      <c r="B194" s="2" t="inlineStr">
        <is>
          <t>BUYERS</t>
        </is>
      </c>
    </row>
    <row r="195">
      <c r="A195" s="5" t="inlineStr">
        <is>
          <t>2706</t>
        </is>
      </c>
      <c r="B195" s="5" t="inlineStr">
        <is>
          <t>Sarah Hickman</t>
        </is>
      </c>
      <c r="C195" s="5" t="inlineStr">
        <is>
          <t>BUYER</t>
        </is>
      </c>
      <c r="D195" s="5" t="inlineStr">
        <is>
          <t>Local44</t>
        </is>
      </c>
      <c r="E195" s="6" t="n">
        <v>23.04</v>
      </c>
      <c r="F195" s="5" t="n"/>
      <c r="G195" s="5" t="n"/>
      <c r="H195" s="5" t="n"/>
      <c r="I195" s="5" t="n"/>
      <c r="J195" s="7">
        <f>IF(AND(N(F195)&gt;0,N(I195)&gt;0),I195-F195-IF(N(G195)&gt;0,0.5,0)-IF(N(H195)&gt;0,0.5,0),0)</f>
        <v/>
      </c>
      <c r="K195" s="5" t="n"/>
      <c r="L195" s="7">
        <f>MIN(J195,10.0)</f>
        <v/>
      </c>
      <c r="M195" s="7">
        <f>MAX(0,MIN(J195,12)-10.0)</f>
        <v/>
      </c>
      <c r="N195" s="7">
        <f>MAX(0,J195-12)</f>
        <v/>
      </c>
      <c r="O195" s="5" t="n"/>
      <c r="P195" s="6">
        <f>E195*(L195+M195*1.5+N195*2+O195*3+N(K195))</f>
        <v/>
      </c>
      <c r="Q195" s="5" t="n"/>
      <c r="R195" s="6">
        <f>Q195-P195</f>
        <v/>
      </c>
    </row>
    <row r="196">
      <c r="P196" s="2" t="inlineStr">
        <is>
          <t>BUYERS LABOR</t>
        </is>
      </c>
      <c r="R196" s="8">
        <f>SUM(R195:R195)</f>
        <v/>
      </c>
    </row>
    <row r="198">
      <c r="B198" s="2" t="inlineStr">
        <is>
          <t>PROPMASTER</t>
        </is>
      </c>
    </row>
    <row r="199">
      <c r="A199" s="5" t="inlineStr">
        <is>
          <t>2801</t>
        </is>
      </c>
      <c r="B199" s="5" t="inlineStr">
        <is>
          <t>Annie Brandt</t>
        </is>
      </c>
      <c r="C199" s="5" t="inlineStr">
        <is>
          <t>PROPMASTER</t>
        </is>
      </c>
      <c r="D199" s="5" t="inlineStr">
        <is>
          <t>Local44</t>
        </is>
      </c>
      <c r="E199" s="6" t="n">
        <v>25.5</v>
      </c>
      <c r="F199" s="5" t="n"/>
      <c r="G199" s="5" t="n"/>
      <c r="H199" s="5" t="n"/>
      <c r="I199" s="5" t="n"/>
      <c r="J199" s="7">
        <f>IF(AND(N(F199)&gt;0,N(I199)&gt;0),I199-F199-IF(N(G199)&gt;0,0.5,0)-IF(N(H199)&gt;0,0.5,0),0)</f>
        <v/>
      </c>
      <c r="K199" s="5" t="n"/>
      <c r="L199" s="7">
        <f>MIN(J199,10.0)</f>
        <v/>
      </c>
      <c r="M199" s="7">
        <f>MAX(0,MIN(J199,12)-10.0)</f>
        <v/>
      </c>
      <c r="N199" s="7">
        <f>MAX(0,J199-12)</f>
        <v/>
      </c>
      <c r="O199" s="5" t="n"/>
      <c r="P199" s="6">
        <f>E199*(L199+M199*1.5+N199*2+O199*3+N(K199))</f>
        <v/>
      </c>
      <c r="Q199" s="6" t="n">
        <v>395.25</v>
      </c>
      <c r="R199" s="6">
        <f>Q199-P199</f>
        <v/>
      </c>
    </row>
    <row r="200">
      <c r="P200" s="2" t="inlineStr">
        <is>
          <t>PROPMASTER LABOR</t>
        </is>
      </c>
      <c r="R200" s="8">
        <f>SUM(R199:R199)</f>
        <v/>
      </c>
    </row>
    <row r="202">
      <c r="B202" s="2" t="inlineStr">
        <is>
          <t>ASSTPROPMASTER</t>
        </is>
      </c>
    </row>
    <row r="203">
      <c r="A203" s="5" t="inlineStr">
        <is>
          <t>2802</t>
        </is>
      </c>
      <c r="B203" s="5" t="inlineStr">
        <is>
          <t>Nate Bakes</t>
        </is>
      </c>
      <c r="C203" s="5" t="inlineStr">
        <is>
          <t>ASSTPROPMASTER</t>
        </is>
      </c>
      <c r="D203" s="5" t="inlineStr">
        <is>
          <t>Local44</t>
        </is>
      </c>
      <c r="E203" s="6" t="n">
        <v>23.04</v>
      </c>
      <c r="F203" s="5" t="n"/>
      <c r="G203" s="5" t="n"/>
      <c r="H203" s="5" t="n"/>
      <c r="I203" s="5" t="n"/>
      <c r="J203" s="7">
        <f>IF(AND(N(F203)&gt;0,N(I203)&gt;0),I203-F203-IF(N(G203)&gt;0,0.5,0)-IF(N(H203)&gt;0,0.5,0),0)</f>
        <v/>
      </c>
      <c r="K203" s="5" t="n"/>
      <c r="L203" s="7">
        <f>MIN(J203,10.0)</f>
        <v/>
      </c>
      <c r="M203" s="7">
        <f>MAX(0,MIN(J203,12)-10.0)</f>
        <v/>
      </c>
      <c r="N203" s="7">
        <f>MAX(0,J203-12)</f>
        <v/>
      </c>
      <c r="O203" s="5" t="n"/>
      <c r="P203" s="6">
        <f>E203*(L203+M203*1.5+N203*2+O203*3+N(K203))</f>
        <v/>
      </c>
      <c r="Q203" s="6" t="n">
        <v>357.12</v>
      </c>
      <c r="R203" s="6">
        <f>Q203-P203</f>
        <v/>
      </c>
    </row>
    <row r="204">
      <c r="P204" s="2" t="inlineStr">
        <is>
          <t>ASSTPROPMASTER LABOR</t>
        </is>
      </c>
      <c r="R204" s="8">
        <f>SUM(R203:R203)</f>
        <v/>
      </c>
    </row>
    <row r="206">
      <c r="B206" s="2" t="inlineStr">
        <is>
          <t>COSTUMEDESIGNER</t>
        </is>
      </c>
    </row>
    <row r="207">
      <c r="A207" s="5" t="inlineStr">
        <is>
          <t>2901</t>
        </is>
      </c>
      <c r="B207" s="5" t="inlineStr">
        <is>
          <t>Megan Spatz</t>
        </is>
      </c>
      <c r="C207" s="5" t="inlineStr">
        <is>
          <t>COSTUMEDESIGNER</t>
        </is>
      </c>
      <c r="D207" s="5" t="inlineStr">
        <is>
          <t>Local892</t>
        </is>
      </c>
      <c r="E207" s="6" t="n">
        <v>540</v>
      </c>
      <c r="F207" s="5" t="n"/>
      <c r="G207" s="5" t="n"/>
      <c r="H207" s="5" t="n"/>
      <c r="I207" s="5" t="n"/>
      <c r="J207" s="7">
        <f>IF(AND(N(F207)&gt;0,N(I207)&gt;0),I207-F207-IF(N(G207)&gt;0,0.5,0)-IF(N(H207)&gt;0,0.5,0),0)</f>
        <v/>
      </c>
      <c r="K207" s="5" t="n"/>
      <c r="L207" s="7">
        <f>MIN(J207,8.0)</f>
        <v/>
      </c>
      <c r="M207" s="7">
        <f>MAX(0,MIN(J207,12)-8.0)</f>
        <v/>
      </c>
      <c r="N207" s="7">
        <f>MAX(0,J207-12)</f>
        <v/>
      </c>
      <c r="O207" s="5" t="n"/>
      <c r="P207" s="6">
        <f>E207*(L207+M207*1.5+N207*2+O207*3+N(K207))</f>
        <v/>
      </c>
      <c r="Q207" s="6" t="n">
        <v>540</v>
      </c>
      <c r="R207" s="6">
        <f>Q207-P207</f>
        <v/>
      </c>
    </row>
    <row r="208">
      <c r="P208" s="2" t="inlineStr">
        <is>
          <t>COSTUMEDESIGNER LABOR</t>
        </is>
      </c>
      <c r="R208" s="8">
        <f>SUM(R207:R207)</f>
        <v/>
      </c>
    </row>
    <row r="210">
      <c r="B210" s="2" t="inlineStr">
        <is>
          <t>COSTUMESUPERVISOR</t>
        </is>
      </c>
    </row>
    <row r="211">
      <c r="A211" s="5" t="inlineStr">
        <is>
          <t>2903</t>
        </is>
      </c>
      <c r="B211" s="5" t="inlineStr">
        <is>
          <t>Danielle Schuck</t>
        </is>
      </c>
      <c r="C211" s="5" t="inlineStr">
        <is>
          <t>COSTUMESUPERVISOR</t>
        </is>
      </c>
      <c r="D211" s="5" t="inlineStr">
        <is>
          <t>Local705</t>
        </is>
      </c>
      <c r="E211" s="6" t="n">
        <v>25.5</v>
      </c>
      <c r="F211" s="5" t="n"/>
      <c r="G211" s="5" t="n"/>
      <c r="H211" s="5" t="n"/>
      <c r="I211" s="5" t="n"/>
      <c r="J211" s="7">
        <f>IF(AND(N(F211)&gt;0,N(I211)&gt;0),I211-F211-IF(N(G211)&gt;0,0.5,0)-IF(N(H211)&gt;0,0.5,0),0)</f>
        <v/>
      </c>
      <c r="K211" s="5" t="n"/>
      <c r="L211" s="7">
        <f>MIN(J211,8.0)</f>
        <v/>
      </c>
      <c r="M211" s="7">
        <f>MAX(0,MIN(J211,12)-8.0)</f>
        <v/>
      </c>
      <c r="N211" s="7">
        <f>MAX(0,J211-12)</f>
        <v/>
      </c>
      <c r="O211" s="5" t="n"/>
      <c r="P211" s="6">
        <f>E211*(L211+M211*1.5+N211*2+O211*3+N(K211))</f>
        <v/>
      </c>
      <c r="Q211" s="6" t="n">
        <v>395.25</v>
      </c>
      <c r="R211" s="6">
        <f>Q211-P211</f>
        <v/>
      </c>
    </row>
    <row r="212">
      <c r="P212" s="2" t="inlineStr">
        <is>
          <t>COSTUMESUPERVISOR LABOR</t>
        </is>
      </c>
      <c r="R212" s="8">
        <f>SUM(R211:R211)</f>
        <v/>
      </c>
    </row>
    <row r="214">
      <c r="B214" s="2" t="inlineStr">
        <is>
          <t>SETCOSTUMERS</t>
        </is>
      </c>
    </row>
    <row r="215">
      <c r="A215" s="5" t="inlineStr">
        <is>
          <t>2905</t>
        </is>
      </c>
      <c r="B215" s="5" t="inlineStr">
        <is>
          <t>Monavie Tutop</t>
        </is>
      </c>
      <c r="C215" s="5" t="inlineStr">
        <is>
          <t>COSTUMER#1</t>
        </is>
      </c>
      <c r="D215" s="5" t="inlineStr">
        <is>
          <t>Local705</t>
        </is>
      </c>
      <c r="E215" s="6" t="n">
        <v>23.04</v>
      </c>
      <c r="F215" s="5" t="n"/>
      <c r="G215" s="5" t="n"/>
      <c r="H215" s="5" t="n"/>
      <c r="I215" s="5" t="n"/>
      <c r="J215" s="7">
        <f>IF(AND(N(F215)&gt;0,N(I215)&gt;0),I215-F215-IF(N(G215)&gt;0,0.5,0)-IF(N(H215)&gt;0,0.5,0),0)</f>
        <v/>
      </c>
      <c r="K215" s="5" t="n"/>
      <c r="L215" s="7">
        <f>MIN(J215,8.0)</f>
        <v/>
      </c>
      <c r="M215" s="7">
        <f>MAX(0,MIN(J215,12)-8.0)</f>
        <v/>
      </c>
      <c r="N215" s="7">
        <f>MAX(0,J215-12)</f>
        <v/>
      </c>
      <c r="O215" s="5" t="n"/>
      <c r="P215" s="6">
        <f>E215*(L215+M215*1.5+N215*2+O215*3+N(K215))</f>
        <v/>
      </c>
      <c r="Q215" s="6" t="n">
        <v>397.43</v>
      </c>
      <c r="R215" s="6">
        <f>Q215-P215</f>
        <v/>
      </c>
    </row>
    <row r="216">
      <c r="A216" s="5" t="inlineStr">
        <is>
          <t>2905</t>
        </is>
      </c>
      <c r="B216" s="5" t="inlineStr"/>
      <c r="C216" s="5" t="inlineStr">
        <is>
          <t>COSTUMER#2</t>
        </is>
      </c>
      <c r="D216" s="5" t="inlineStr">
        <is>
          <t>Local705</t>
        </is>
      </c>
      <c r="E216" s="6" t="n">
        <v>20.57</v>
      </c>
      <c r="F216" s="5" t="n"/>
      <c r="G216" s="5" t="n"/>
      <c r="H216" s="5" t="n"/>
      <c r="I216" s="5" t="n"/>
      <c r="J216" s="7">
        <f>IF(AND(N(F216)&gt;0,N(I216)&gt;0),I216-F216-IF(N(G216)&gt;0,0.5,0)-IF(N(H216)&gt;0,0.5,0),0)</f>
        <v/>
      </c>
      <c r="K216" s="5" t="n"/>
      <c r="L216" s="7">
        <f>MIN(J216,8.0)</f>
        <v/>
      </c>
      <c r="M216" s="7">
        <f>MAX(0,MIN(J216,12)-8.0)</f>
        <v/>
      </c>
      <c r="N216" s="7">
        <f>MAX(0,J216-12)</f>
        <v/>
      </c>
      <c r="O216" s="5" t="n"/>
      <c r="P216" s="6">
        <f>E216*(L216+M216*1.5+N216*2+O216*3+N(K216))</f>
        <v/>
      </c>
      <c r="Q216" s="6" t="n">
        <v>354.83</v>
      </c>
      <c r="R216" s="6">
        <f>Q216-P216</f>
        <v/>
      </c>
    </row>
    <row r="217">
      <c r="P217" s="2" t="inlineStr">
        <is>
          <t>SETCOSTUMERS LABOR</t>
        </is>
      </c>
      <c r="R217" s="8">
        <f>SUM(R215:R216)</f>
        <v/>
      </c>
    </row>
    <row r="219">
      <c r="B219" s="2" t="inlineStr">
        <is>
          <t>KEYMAKE-UP</t>
        </is>
      </c>
    </row>
    <row r="220">
      <c r="A220" s="5" t="inlineStr">
        <is>
          <t>3101</t>
        </is>
      </c>
      <c r="B220" s="5" t="inlineStr">
        <is>
          <t>Eleanor Sabaduquia</t>
        </is>
      </c>
      <c r="C220" s="5" t="inlineStr">
        <is>
          <t>KEYMAKEUPARTIST</t>
        </is>
      </c>
      <c r="D220" s="5" t="inlineStr">
        <is>
          <t>Local706</t>
        </is>
      </c>
      <c r="E220" s="6" t="n">
        <v>25.5</v>
      </c>
      <c r="F220" s="5" t="n"/>
      <c r="G220" s="5" t="n"/>
      <c r="H220" s="5" t="n"/>
      <c r="I220" s="5" t="n"/>
      <c r="J220" s="7">
        <f>IF(AND(N(F220)&gt;0,N(I220)&gt;0),I220-F220-IF(N(G220)&gt;0,0.5,0)-IF(N(H220)&gt;0,0.5,0),0)</f>
        <v/>
      </c>
      <c r="K220" s="5" t="n"/>
      <c r="L220" s="7">
        <f>MIN(J220,10.0)</f>
        <v/>
      </c>
      <c r="M220" s="7">
        <f>MAX(0,MIN(J220,12)-10.0)</f>
        <v/>
      </c>
      <c r="N220" s="7">
        <f>MAX(0,J220-12)</f>
        <v/>
      </c>
      <c r="O220" s="5" t="n"/>
      <c r="P220" s="6">
        <f>E220*(L220+M220*1.5+N220*2+O220*3+N(K220))</f>
        <v/>
      </c>
      <c r="Q220" s="6" t="n">
        <v>439.87</v>
      </c>
      <c r="R220" s="6">
        <f>Q220-P220</f>
        <v/>
      </c>
    </row>
    <row r="221">
      <c r="P221" s="2" t="inlineStr">
        <is>
          <t>KEYMAKE-UP LABOR</t>
        </is>
      </c>
      <c r="R221" s="8">
        <f>SUM(R220:R220)</f>
        <v/>
      </c>
    </row>
    <row r="223">
      <c r="B223" s="2" t="inlineStr">
        <is>
          <t>ASSTMAKE-UP</t>
        </is>
      </c>
    </row>
    <row r="224">
      <c r="A224" s="5" t="inlineStr">
        <is>
          <t>3102</t>
        </is>
      </c>
      <c r="B224" s="5" t="inlineStr">
        <is>
          <t>Yoko Nobushi</t>
        </is>
      </c>
      <c r="C224" s="5" t="inlineStr">
        <is>
          <t>ASSTMAKEUPARTIST#1</t>
        </is>
      </c>
      <c r="D224" s="5" t="inlineStr">
        <is>
          <t>Local706</t>
        </is>
      </c>
      <c r="E224" s="6" t="n">
        <v>23.04</v>
      </c>
      <c r="F224" s="5" t="n"/>
      <c r="G224" s="5" t="n"/>
      <c r="H224" s="5" t="n"/>
      <c r="I224" s="5" t="n"/>
      <c r="J224" s="7">
        <f>IF(AND(N(F224)&gt;0,N(I224)&gt;0),I224-F224-IF(N(G224)&gt;0,0.5,0)-IF(N(H224)&gt;0,0.5,0),0)</f>
        <v/>
      </c>
      <c r="K224" s="5" t="n"/>
      <c r="L224" s="7">
        <f>MIN(J224,10.0)</f>
        <v/>
      </c>
      <c r="M224" s="7">
        <f>MAX(0,MIN(J224,12)-10.0)</f>
        <v/>
      </c>
      <c r="N224" s="7">
        <f>MAX(0,J224-12)</f>
        <v/>
      </c>
      <c r="O224" s="5" t="n"/>
      <c r="P224" s="6">
        <f>E224*(L224+M224*1.5+N224*2+O224*3+N(K224))</f>
        <v/>
      </c>
      <c r="Q224" s="6" t="n">
        <v>397.43</v>
      </c>
      <c r="R224" s="6">
        <f>Q224-P224</f>
        <v/>
      </c>
    </row>
    <row r="225">
      <c r="P225" s="2" t="inlineStr">
        <is>
          <t>ASSTMAKE-UP LABOR</t>
        </is>
      </c>
      <c r="R225" s="8">
        <f>SUM(R224:R224)</f>
        <v/>
      </c>
    </row>
    <row r="227">
      <c r="B227" s="2" t="inlineStr">
        <is>
          <t>ADDITIONALMAKE-UPLABOR</t>
        </is>
      </c>
    </row>
    <row r="228">
      <c r="A228" s="5" t="inlineStr">
        <is>
          <t>3103</t>
        </is>
      </c>
      <c r="B228" s="5" t="inlineStr"/>
      <c r="C228" s="5" t="inlineStr">
        <is>
          <t>ADDLMAKEUPARTISTDAYS</t>
        </is>
      </c>
      <c r="D228" s="5" t="inlineStr">
        <is>
          <t>Local706</t>
        </is>
      </c>
      <c r="E228" s="6" t="n">
        <v>23.04</v>
      </c>
      <c r="F228" s="5" t="n"/>
      <c r="G228" s="5" t="n"/>
      <c r="H228" s="5" t="n"/>
      <c r="I228" s="5" t="n"/>
      <c r="J228" s="7">
        <f>IF(AND(N(F228)&gt;0,N(I228)&gt;0),I228-F228-IF(N(G228)&gt;0,0.5,0)-IF(N(H228)&gt;0,0.5,0),0)</f>
        <v/>
      </c>
      <c r="K228" s="5" t="n"/>
      <c r="L228" s="7">
        <f>MIN(J228,10.0)</f>
        <v/>
      </c>
      <c r="M228" s="7">
        <f>MAX(0,MIN(J228,12)-10.0)</f>
        <v/>
      </c>
      <c r="N228" s="7">
        <f>MAX(0,J228-12)</f>
        <v/>
      </c>
      <c r="O228" s="5" t="n"/>
      <c r="P228" s="6">
        <f>E228*(L228+M228*1.5+N228*2+O228*3+N(K228))</f>
        <v/>
      </c>
      <c r="Q228" s="6" t="n">
        <v>397.43</v>
      </c>
      <c r="R228" s="6">
        <f>Q228-P228</f>
        <v/>
      </c>
    </row>
    <row r="229">
      <c r="P229" s="2" t="inlineStr">
        <is>
          <t>ADDITIONALMAKE-UPLABOR LABOR</t>
        </is>
      </c>
      <c r="R229" s="8">
        <f>SUM(R228:R228)</f>
        <v/>
      </c>
    </row>
    <row r="231">
      <c r="B231" s="2" t="inlineStr">
        <is>
          <t>PROSTHETICS</t>
        </is>
      </c>
    </row>
    <row r="232">
      <c r="A232" s="5" t="inlineStr">
        <is>
          <t>3105</t>
        </is>
      </c>
      <c r="B232" s="5" t="inlineStr"/>
      <c r="C232" s="5" t="inlineStr">
        <is>
          <t>PROSTHETICMAKEUPARTIST</t>
        </is>
      </c>
      <c r="D232" s="5" t="inlineStr">
        <is>
          <t>Local706</t>
        </is>
      </c>
      <c r="E232" s="6" t="n">
        <v>25.5</v>
      </c>
      <c r="F232" s="5" t="n"/>
      <c r="G232" s="5" t="n"/>
      <c r="H232" s="5" t="n"/>
      <c r="I232" s="5" t="n"/>
      <c r="J232" s="7">
        <f>IF(AND(N(F232)&gt;0,N(I232)&gt;0),I232-F232-IF(N(G232)&gt;0,0.5,0)-IF(N(H232)&gt;0,0.5,0),0)</f>
        <v/>
      </c>
      <c r="K232" s="5" t="n"/>
      <c r="L232" s="7">
        <f>MIN(J232,10.0)</f>
        <v/>
      </c>
      <c r="M232" s="7">
        <f>MAX(0,MIN(J232,12)-10.0)</f>
        <v/>
      </c>
      <c r="N232" s="7">
        <f>MAX(0,J232-12)</f>
        <v/>
      </c>
      <c r="O232" s="5" t="n"/>
      <c r="P232" s="6">
        <f>E232*(L232+M232*1.5+N232*2+O232*3+N(K232))</f>
        <v/>
      </c>
      <c r="Q232" s="6" t="n">
        <v>439.87</v>
      </c>
      <c r="R232" s="6">
        <f>Q232-P232</f>
        <v/>
      </c>
    </row>
    <row r="233">
      <c r="A233" s="5" t="inlineStr">
        <is>
          <t>3105</t>
        </is>
      </c>
      <c r="B233" s="5" t="inlineStr"/>
      <c r="C233" s="5" t="inlineStr">
        <is>
          <t>LENSCONSULTANT</t>
        </is>
      </c>
      <c r="D233" s="5" t="inlineStr"/>
      <c r="E233" s="6" t="n">
        <v>50</v>
      </c>
      <c r="F233" s="5" t="n"/>
      <c r="G233" s="5" t="n"/>
      <c r="H233" s="5" t="n"/>
      <c r="I233" s="5" t="n"/>
      <c r="J233" s="7">
        <f>IF(AND(N(F233)&gt;0,N(I233)&gt;0),I233-F233-IF(N(G233)&gt;0,0.5,0)-IF(N(H233)&gt;0,0.5,0),0)</f>
        <v/>
      </c>
      <c r="K233" s="5" t="n"/>
      <c r="L233" s="7">
        <f>MIN(J233,8.0)</f>
        <v/>
      </c>
      <c r="M233" s="7">
        <f>MAX(0,MIN(J233,12)-8.0)</f>
        <v/>
      </c>
      <c r="N233" s="7">
        <f>MAX(0,J233-12)</f>
        <v/>
      </c>
      <c r="O233" s="5" t="n"/>
      <c r="P233" s="6">
        <f>E233*(L233+M233*1.5+N233*2+O233*3+N(K233))</f>
        <v/>
      </c>
      <c r="Q233" s="6" t="n">
        <v>862.53</v>
      </c>
      <c r="R233" s="6">
        <f>Q233-P233</f>
        <v/>
      </c>
    </row>
    <row r="234">
      <c r="P234" s="2" t="inlineStr">
        <is>
          <t>PROSTHETICS LABOR</t>
        </is>
      </c>
      <c r="R234" s="8">
        <f>SUM(R232:R233)</f>
        <v/>
      </c>
    </row>
    <row r="236">
      <c r="B236" s="2" t="inlineStr">
        <is>
          <t>KEYHAIR</t>
        </is>
      </c>
    </row>
    <row r="237">
      <c r="A237" s="5" t="inlineStr">
        <is>
          <t>3111</t>
        </is>
      </c>
      <c r="B237" s="5" t="inlineStr">
        <is>
          <t>Traci Smithe</t>
        </is>
      </c>
      <c r="C237" s="5" t="inlineStr">
        <is>
          <t>KEYHAIR</t>
        </is>
      </c>
      <c r="D237" s="5" t="inlineStr">
        <is>
          <t>Local706</t>
        </is>
      </c>
      <c r="E237" s="6" t="n">
        <v>25.5</v>
      </c>
      <c r="F237" s="5" t="n"/>
      <c r="G237" s="5" t="n"/>
      <c r="H237" s="5" t="n"/>
      <c r="I237" s="5" t="n"/>
      <c r="J237" s="7">
        <f>IF(AND(N(F237)&gt;0,N(I237)&gt;0),I237-F237-IF(N(G237)&gt;0,0.5,0)-IF(N(H237)&gt;0,0.5,0),0)</f>
        <v/>
      </c>
      <c r="K237" s="5" t="n"/>
      <c r="L237" s="7">
        <f>MIN(J237,10.0)</f>
        <v/>
      </c>
      <c r="M237" s="7">
        <f>MAX(0,MIN(J237,12)-10.0)</f>
        <v/>
      </c>
      <c r="N237" s="7">
        <f>MAX(0,J237-12)</f>
        <v/>
      </c>
      <c r="O237" s="5" t="n"/>
      <c r="P237" s="6">
        <f>E237*(L237+M237*1.5+N237*2+O237*3+N(K237))</f>
        <v/>
      </c>
      <c r="Q237" s="6" t="n">
        <v>439.87</v>
      </c>
      <c r="R237" s="6">
        <f>Q237-P237</f>
        <v/>
      </c>
    </row>
    <row r="238">
      <c r="P238" s="2" t="inlineStr">
        <is>
          <t>KEYHAIR LABOR</t>
        </is>
      </c>
      <c r="R238" s="8">
        <f>SUM(R237:R237)</f>
        <v/>
      </c>
    </row>
    <row r="240">
      <c r="B240" s="2" t="inlineStr">
        <is>
          <t>ASSTHAIR</t>
        </is>
      </c>
    </row>
    <row r="241">
      <c r="A241" s="5" t="inlineStr">
        <is>
          <t>3112</t>
        </is>
      </c>
      <c r="B241" s="5" t="inlineStr">
        <is>
          <t>Yunea Cruz</t>
        </is>
      </c>
      <c r="C241" s="5" t="inlineStr">
        <is>
          <t>ASSTHAIRSTYLIST#1</t>
        </is>
      </c>
      <c r="D241" s="5" t="inlineStr">
        <is>
          <t>Local706</t>
        </is>
      </c>
      <c r="E241" s="6" t="n">
        <v>23.04</v>
      </c>
      <c r="F241" s="5" t="n"/>
      <c r="G241" s="5" t="n"/>
      <c r="H241" s="5" t="n"/>
      <c r="I241" s="5" t="n"/>
      <c r="J241" s="7">
        <f>IF(AND(N(F241)&gt;0,N(I241)&gt;0),I241-F241-IF(N(G241)&gt;0,0.5,0)-IF(N(H241)&gt;0,0.5,0),0)</f>
        <v/>
      </c>
      <c r="K241" s="5" t="n"/>
      <c r="L241" s="7">
        <f>MIN(J241,10.0)</f>
        <v/>
      </c>
      <c r="M241" s="7">
        <f>MAX(0,MIN(J241,12)-10.0)</f>
        <v/>
      </c>
      <c r="N241" s="7">
        <f>MAX(0,J241-12)</f>
        <v/>
      </c>
      <c r="O241" s="5" t="n"/>
      <c r="P241" s="6">
        <f>E241*(L241+M241*1.5+N241*2+O241*3+N(K241))</f>
        <v/>
      </c>
      <c r="Q241" s="6" t="n">
        <v>397.43</v>
      </c>
      <c r="R241" s="6">
        <f>Q241-P241</f>
        <v/>
      </c>
    </row>
    <row r="242">
      <c r="P242" s="2" t="inlineStr">
        <is>
          <t>ASSTHAIR LABOR</t>
        </is>
      </c>
      <c r="R242" s="8">
        <f>SUM(R241:R241)</f>
        <v/>
      </c>
    </row>
    <row r="244">
      <c r="B244" s="2" t="inlineStr">
        <is>
          <t>ADDITIONALHAIRLABOR</t>
        </is>
      </c>
    </row>
    <row r="245">
      <c r="A245" s="5" t="inlineStr">
        <is>
          <t>3113</t>
        </is>
      </c>
      <c r="B245" s="5" t="inlineStr"/>
      <c r="C245" s="5" t="inlineStr">
        <is>
          <t>ADDLHAIRSTYLISTDAYS</t>
        </is>
      </c>
      <c r="D245" s="5" t="inlineStr">
        <is>
          <t>Local706</t>
        </is>
      </c>
      <c r="E245" s="6" t="n">
        <v>23.04</v>
      </c>
      <c r="F245" s="5" t="n"/>
      <c r="G245" s="5" t="n"/>
      <c r="H245" s="5" t="n"/>
      <c r="I245" s="5" t="n"/>
      <c r="J245" s="7">
        <f>IF(AND(N(F245)&gt;0,N(I245)&gt;0),I245-F245-IF(N(G245)&gt;0,0.5,0)-IF(N(H245)&gt;0,0.5,0),0)</f>
        <v/>
      </c>
      <c r="K245" s="5" t="n"/>
      <c r="L245" s="7">
        <f>MIN(J245,10.0)</f>
        <v/>
      </c>
      <c r="M245" s="7">
        <f>MAX(0,MIN(J245,12)-10.0)</f>
        <v/>
      </c>
      <c r="N245" s="7">
        <f>MAX(0,J245-12)</f>
        <v/>
      </c>
      <c r="O245" s="5" t="n"/>
      <c r="P245" s="6">
        <f>E245*(L245+M245*1.5+N245*2+O245*3+N(K245))</f>
        <v/>
      </c>
      <c r="Q245" s="6" t="n">
        <v>397.43</v>
      </c>
      <c r="R245" s="6">
        <f>Q245-P245</f>
        <v/>
      </c>
    </row>
    <row r="246">
      <c r="P246" s="2" t="inlineStr">
        <is>
          <t>ADDITIONALHAIRLABOR LABOR</t>
        </is>
      </c>
      <c r="R246" s="8">
        <f>SUM(R245:R245)</f>
        <v/>
      </c>
    </row>
    <row r="248">
      <c r="B248" s="2" t="inlineStr">
        <is>
          <t>GAFFER</t>
        </is>
      </c>
    </row>
    <row r="249">
      <c r="A249" s="5" t="inlineStr">
        <is>
          <t>3201</t>
        </is>
      </c>
      <c r="B249" s="5" t="inlineStr">
        <is>
          <t>Nicholas Kaat</t>
        </is>
      </c>
      <c r="C249" s="5" t="inlineStr">
        <is>
          <t>GAFFER</t>
        </is>
      </c>
      <c r="D249" s="5" t="inlineStr">
        <is>
          <t>Local728</t>
        </is>
      </c>
      <c r="E249" s="6" t="n">
        <v>25.5</v>
      </c>
      <c r="F249" s="5" t="n"/>
      <c r="G249" s="5" t="n"/>
      <c r="H249" s="5" t="n"/>
      <c r="I249" s="5" t="n"/>
      <c r="J249" s="7">
        <f>IF(AND(N(F249)&gt;0,N(I249)&gt;0),I249-F249-IF(N(G249)&gt;0,0.5,0)-IF(N(H249)&gt;0,0.5,0),0)</f>
        <v/>
      </c>
      <c r="K249" s="5" t="n"/>
      <c r="L249" s="7">
        <f>MIN(J249,10.0)</f>
        <v/>
      </c>
      <c r="M249" s="7">
        <f>MAX(0,MIN(J249,12)-10.0)</f>
        <v/>
      </c>
      <c r="N249" s="7">
        <f>MAX(0,J249-12)</f>
        <v/>
      </c>
      <c r="O249" s="5" t="n"/>
      <c r="P249" s="6">
        <f>E249*(L249+M249*1.5+N249*2+O249*3+N(K249))</f>
        <v/>
      </c>
      <c r="Q249" s="6" t="n">
        <v>395.25</v>
      </c>
      <c r="R249" s="6">
        <f>Q249-P249</f>
        <v/>
      </c>
    </row>
    <row r="250">
      <c r="P250" s="2" t="inlineStr">
        <is>
          <t>GAFFER LABOR</t>
        </is>
      </c>
      <c r="R250" s="8">
        <f>SUM(R249:R249)</f>
        <v/>
      </c>
    </row>
    <row r="252">
      <c r="B252" s="2" t="inlineStr">
        <is>
          <t>BESTBOYELECTRIC</t>
        </is>
      </c>
    </row>
    <row r="253">
      <c r="A253" s="5" t="inlineStr">
        <is>
          <t>3202</t>
        </is>
      </c>
      <c r="B253" s="5" t="inlineStr">
        <is>
          <t>Nathan Fetzer</t>
        </is>
      </c>
      <c r="C253" s="5" t="inlineStr">
        <is>
          <t>BESTBOYELECTRIC</t>
        </is>
      </c>
      <c r="D253" s="5" t="inlineStr">
        <is>
          <t>Local728</t>
        </is>
      </c>
      <c r="E253" s="6" t="n">
        <v>23.04</v>
      </c>
      <c r="F253" s="5" t="n"/>
      <c r="G253" s="5" t="n"/>
      <c r="H253" s="5" t="n"/>
      <c r="I253" s="5" t="n"/>
      <c r="J253" s="7">
        <f>IF(AND(N(F253)&gt;0,N(I253)&gt;0),I253-F253-IF(N(G253)&gt;0,0.5,0)-IF(N(H253)&gt;0,0.5,0),0)</f>
        <v/>
      </c>
      <c r="K253" s="5" t="n"/>
      <c r="L253" s="7">
        <f>MIN(J253,10.0)</f>
        <v/>
      </c>
      <c r="M253" s="7">
        <f>MAX(0,MIN(J253,12)-10.0)</f>
        <v/>
      </c>
      <c r="N253" s="7">
        <f>MAX(0,J253-12)</f>
        <v/>
      </c>
      <c r="O253" s="5" t="n"/>
      <c r="P253" s="6">
        <f>E253*(L253+M253*1.5+N253*2+O253*3+N(K253))</f>
        <v/>
      </c>
      <c r="Q253" s="6" t="n">
        <v>357.12</v>
      </c>
      <c r="R253" s="6">
        <f>Q253-P253</f>
        <v/>
      </c>
    </row>
    <row r="254">
      <c r="A254" s="5" t="inlineStr">
        <is>
          <t>3202</t>
        </is>
      </c>
      <c r="B254" s="5" t="inlineStr"/>
      <c r="C254" s="5" t="inlineStr">
        <is>
          <t>STUDIOBESTBOYELECTRIC</t>
        </is>
      </c>
      <c r="D254" s="5" t="inlineStr">
        <is>
          <t>Local728</t>
        </is>
      </c>
      <c r="E254" s="6" t="n">
        <v>43.05</v>
      </c>
      <c r="F254" s="5" t="n"/>
      <c r="G254" s="5" t="n"/>
      <c r="H254" s="5" t="n"/>
      <c r="I254" s="5" t="n"/>
      <c r="J254" s="7">
        <f>IF(AND(N(F254)&gt;0,N(I254)&gt;0),I254-F254-IF(N(G254)&gt;0,0.5,0)-IF(N(H254)&gt;0,0.5,0),0)</f>
        <v/>
      </c>
      <c r="K254" s="5" t="n"/>
      <c r="L254" s="7">
        <f>MIN(J254,10.0)</f>
        <v/>
      </c>
      <c r="M254" s="7">
        <f>MAX(0,MIN(J254,12)-10.0)</f>
        <v/>
      </c>
      <c r="N254" s="7">
        <f>MAX(0,J254-12)</f>
        <v/>
      </c>
      <c r="O254" s="5" t="n"/>
      <c r="P254" s="6">
        <f>E254*(L254+M254*1.5+N254*2+O254*3+N(K254))</f>
        <v/>
      </c>
      <c r="Q254" s="6" t="n">
        <v>667.27</v>
      </c>
      <c r="R254" s="6">
        <f>Q254-P254</f>
        <v/>
      </c>
    </row>
    <row r="255">
      <c r="P255" s="2" t="inlineStr">
        <is>
          <t>BESTBOYELECTRIC LABOR</t>
        </is>
      </c>
      <c r="R255" s="8">
        <f>SUM(R253:R254)</f>
        <v/>
      </c>
    </row>
    <row r="257">
      <c r="B257" s="2" t="inlineStr">
        <is>
          <t>ELECTRICIANS</t>
        </is>
      </c>
    </row>
    <row r="258">
      <c r="A258" s="5" t="inlineStr">
        <is>
          <t>3204</t>
        </is>
      </c>
      <c r="B258" s="5" t="inlineStr"/>
      <c r="C258" s="5" t="inlineStr">
        <is>
          <t>ELECTRICIAN#1</t>
        </is>
      </c>
      <c r="D258" s="5" t="inlineStr">
        <is>
          <t>Local728</t>
        </is>
      </c>
      <c r="E258" s="6" t="n">
        <v>20.57</v>
      </c>
      <c r="F258" s="5" t="n"/>
      <c r="G258" s="5" t="n"/>
      <c r="H258" s="5" t="n"/>
      <c r="I258" s="5" t="n"/>
      <c r="J258" s="7">
        <f>IF(AND(N(F258)&gt;0,N(I258)&gt;0),I258-F258-IF(N(G258)&gt;0,0.5,0)-IF(N(H258)&gt;0,0.5,0),0)</f>
        <v/>
      </c>
      <c r="K258" s="5" t="n"/>
      <c r="L258" s="7">
        <f>MIN(J258,10.0)</f>
        <v/>
      </c>
      <c r="M258" s="7">
        <f>MAX(0,MIN(J258,12)-10.0)</f>
        <v/>
      </c>
      <c r="N258" s="7">
        <f>MAX(0,J258-12)</f>
        <v/>
      </c>
      <c r="O258" s="5" t="n"/>
      <c r="P258" s="6">
        <f>E258*(L258+M258*1.5+N258*2+O258*3+N(K258))</f>
        <v/>
      </c>
      <c r="Q258" s="6" t="n">
        <v>318.83</v>
      </c>
      <c r="R258" s="6">
        <f>Q258-P258</f>
        <v/>
      </c>
    </row>
    <row r="259">
      <c r="A259" s="5" t="inlineStr">
        <is>
          <t>3204</t>
        </is>
      </c>
      <c r="B259" s="5" t="inlineStr"/>
      <c r="C259" s="5" t="inlineStr">
        <is>
          <t>ELECTRICIAN#2</t>
        </is>
      </c>
      <c r="D259" s="5" t="inlineStr">
        <is>
          <t>Local728</t>
        </is>
      </c>
      <c r="E259" s="6" t="n">
        <v>20.57</v>
      </c>
      <c r="F259" s="5" t="n"/>
      <c r="G259" s="5" t="n"/>
      <c r="H259" s="5" t="n"/>
      <c r="I259" s="5" t="n"/>
      <c r="J259" s="7">
        <f>IF(AND(N(F259)&gt;0,N(I259)&gt;0),I259-F259-IF(N(G259)&gt;0,0.5,0)-IF(N(H259)&gt;0,0.5,0),0)</f>
        <v/>
      </c>
      <c r="K259" s="5" t="n"/>
      <c r="L259" s="7">
        <f>MIN(J259,10.0)</f>
        <v/>
      </c>
      <c r="M259" s="7">
        <f>MAX(0,MIN(J259,12)-10.0)</f>
        <v/>
      </c>
      <c r="N259" s="7">
        <f>MAX(0,J259-12)</f>
        <v/>
      </c>
      <c r="O259" s="5" t="n"/>
      <c r="P259" s="6">
        <f>E259*(L259+M259*1.5+N259*2+O259*3+N(K259))</f>
        <v/>
      </c>
      <c r="Q259" s="6" t="n">
        <v>318.83</v>
      </c>
      <c r="R259" s="6">
        <f>Q259-P259</f>
        <v/>
      </c>
    </row>
    <row r="260">
      <c r="A260" s="5" t="inlineStr">
        <is>
          <t>3204</t>
        </is>
      </c>
      <c r="B260" s="5" t="inlineStr"/>
      <c r="C260" s="5" t="inlineStr">
        <is>
          <t>ELECTRICIAN#3</t>
        </is>
      </c>
      <c r="D260" s="5" t="inlineStr">
        <is>
          <t>Local728</t>
        </is>
      </c>
      <c r="E260" s="6" t="n">
        <v>20.57</v>
      </c>
      <c r="F260" s="5" t="n"/>
      <c r="G260" s="5" t="n"/>
      <c r="H260" s="5" t="n"/>
      <c r="I260" s="5" t="n"/>
      <c r="J260" s="7">
        <f>IF(AND(N(F260)&gt;0,N(I260)&gt;0),I260-F260-IF(N(G260)&gt;0,0.5,0)-IF(N(H260)&gt;0,0.5,0),0)</f>
        <v/>
      </c>
      <c r="K260" s="5" t="n"/>
      <c r="L260" s="7">
        <f>MIN(J260,10.0)</f>
        <v/>
      </c>
      <c r="M260" s="7">
        <f>MAX(0,MIN(J260,12)-10.0)</f>
        <v/>
      </c>
      <c r="N260" s="7">
        <f>MAX(0,J260-12)</f>
        <v/>
      </c>
      <c r="O260" s="5" t="n"/>
      <c r="P260" s="6">
        <f>E260*(L260+M260*1.5+N260*2+O260*3+N(K260))</f>
        <v/>
      </c>
      <c r="Q260" s="6" t="n">
        <v>318.83</v>
      </c>
      <c r="R260" s="6">
        <f>Q260-P260</f>
        <v/>
      </c>
    </row>
    <row r="261">
      <c r="P261" s="2" t="inlineStr">
        <is>
          <t>ELECTRICIANS LABOR</t>
        </is>
      </c>
      <c r="R261" s="8">
        <f>SUM(R258:R260)</f>
        <v/>
      </c>
    </row>
    <row r="263">
      <c r="B263" s="2" t="inlineStr">
        <is>
          <t>ADDITIONALELECTRICLABOR</t>
        </is>
      </c>
    </row>
    <row r="264">
      <c r="A264" s="5" t="inlineStr">
        <is>
          <t>3206</t>
        </is>
      </c>
      <c r="B264" s="5" t="inlineStr"/>
      <c r="C264" s="5" t="inlineStr">
        <is>
          <t>ELECTRICMANDAYS&amp;RIGGINGMANDAYS</t>
        </is>
      </c>
      <c r="D264" s="5" t="inlineStr">
        <is>
          <t>Local728</t>
        </is>
      </c>
      <c r="E264" s="6" t="n">
        <v>20.57</v>
      </c>
      <c r="F264" s="5" t="n"/>
      <c r="G264" s="5" t="n"/>
      <c r="H264" s="5" t="n"/>
      <c r="I264" s="5" t="n"/>
      <c r="J264" s="7">
        <f>IF(AND(N(F264)&gt;0,N(I264)&gt;0),I264-F264-IF(N(G264)&gt;0,0.5,0)-IF(N(H264)&gt;0,0.5,0),0)</f>
        <v/>
      </c>
      <c r="K264" s="5" t="n"/>
      <c r="L264" s="7">
        <f>MIN(J264,10.0)</f>
        <v/>
      </c>
      <c r="M264" s="7">
        <f>MAX(0,MIN(J264,12)-10.0)</f>
        <v/>
      </c>
      <c r="N264" s="7">
        <f>MAX(0,J264-12)</f>
        <v/>
      </c>
      <c r="O264" s="5" t="n"/>
      <c r="P264" s="6">
        <f>E264*(L264+M264*1.5+N264*2+O264*3+N(K264))</f>
        <v/>
      </c>
      <c r="Q264" s="6" t="n">
        <v>318.83</v>
      </c>
      <c r="R264" s="6">
        <f>Q264-P264</f>
        <v/>
      </c>
    </row>
    <row r="265">
      <c r="P265" s="2" t="inlineStr">
        <is>
          <t>ADDITIONALELECTRICLABOR LABOR</t>
        </is>
      </c>
      <c r="R265" s="8">
        <f>SUM(R264:R264)</f>
        <v/>
      </c>
    </row>
    <row r="267">
      <c r="B267" s="2" t="inlineStr">
        <is>
          <t>DIRECTOROFPHOTOGRAPHY</t>
        </is>
      </c>
    </row>
    <row r="268">
      <c r="A268" s="5" t="inlineStr">
        <is>
          <t>3301</t>
        </is>
      </c>
      <c r="B268" s="5" t="inlineStr">
        <is>
          <t>Michael Burgess</t>
        </is>
      </c>
      <c r="C268" s="5" t="inlineStr">
        <is>
          <t>DIRECTOROFPHOTOGRAPHY</t>
        </is>
      </c>
      <c r="D268" s="5" t="inlineStr">
        <is>
          <t>Local600</t>
        </is>
      </c>
      <c r="E268" s="6" t="n">
        <v>700</v>
      </c>
      <c r="F268" s="5" t="n"/>
      <c r="G268" s="5" t="n"/>
      <c r="H268" s="5" t="n"/>
      <c r="I268" s="5" t="n"/>
      <c r="J268" s="7">
        <f>IF(AND(N(F268)&gt;0,N(I268)&gt;0),I268-F268-IF(N(G268)&gt;0,0.5,0)-IF(N(H268)&gt;0,0.5,0),0)</f>
        <v/>
      </c>
      <c r="K268" s="5" t="n"/>
      <c r="L268" s="7">
        <f>MIN(J268,8.0)</f>
        <v/>
      </c>
      <c r="M268" s="7">
        <f>MAX(0,MIN(J268,12)-8.0)</f>
        <v/>
      </c>
      <c r="N268" s="7">
        <f>MAX(0,J268-12)</f>
        <v/>
      </c>
      <c r="O268" s="5" t="n"/>
      <c r="P268" s="6">
        <f>E268*(L268+M268*1.5+N268*2+O268*3+N(K268))</f>
        <v/>
      </c>
      <c r="Q268" s="6" t="n">
        <v>700</v>
      </c>
      <c r="R268" s="6">
        <f>Q268-P268</f>
        <v/>
      </c>
    </row>
    <row r="269">
      <c r="P269" s="2" t="inlineStr">
        <is>
          <t>DIRECTOROFPHOTOGRAPHY LABOR</t>
        </is>
      </c>
      <c r="R269" s="8">
        <f>SUM(R268:R268)</f>
        <v/>
      </c>
    </row>
    <row r="271">
      <c r="B271" s="2" t="inlineStr">
        <is>
          <t>CAMERAOPERATORS</t>
        </is>
      </c>
    </row>
    <row r="272">
      <c r="A272" s="5" t="inlineStr">
        <is>
          <t>3302</t>
        </is>
      </c>
      <c r="B272" s="5" t="inlineStr">
        <is>
          <t>Craig Bauer</t>
        </is>
      </c>
      <c r="C272" s="5" t="inlineStr">
        <is>
          <t>"B"CAMERAOP</t>
        </is>
      </c>
      <c r="D272" s="5" t="inlineStr">
        <is>
          <t>Local600</t>
        </is>
      </c>
      <c r="E272" s="6" t="n">
        <v>45</v>
      </c>
      <c r="F272" s="5" t="n"/>
      <c r="G272" s="5" t="n"/>
      <c r="H272" s="5" t="n"/>
      <c r="I272" s="5" t="n"/>
      <c r="J272" s="7">
        <f>IF(AND(N(F272)&gt;0,N(I272)&gt;0),I272-F272-IF(N(G272)&gt;0,0.5,0)-IF(N(H272)&gt;0,0.5,0),0)</f>
        <v/>
      </c>
      <c r="K272" s="5" t="n"/>
      <c r="L272" s="7">
        <f>MIN(J272,8.0)</f>
        <v/>
      </c>
      <c r="M272" s="7">
        <f>MAX(0,MIN(J272,12)-8.0)</f>
        <v/>
      </c>
      <c r="N272" s="7">
        <f>MAX(0,J272-12)</f>
        <v/>
      </c>
      <c r="O272" s="5" t="n"/>
      <c r="P272" s="6">
        <f>E272*(L272+M272*1.5+N272*2+O272*3+N(K272))</f>
        <v/>
      </c>
      <c r="Q272" s="6" t="n">
        <v>630</v>
      </c>
      <c r="R272" s="6">
        <f>Q272-P272</f>
        <v/>
      </c>
    </row>
    <row r="273">
      <c r="P273" s="2" t="inlineStr">
        <is>
          <t>CAMERAOPERATORS LABOR</t>
        </is>
      </c>
      <c r="R273" s="8">
        <f>SUM(R272:R272)</f>
        <v/>
      </c>
    </row>
    <row r="275">
      <c r="B275" s="2" t="inlineStr">
        <is>
          <t>DIGITALIMAGINGTECHS</t>
        </is>
      </c>
    </row>
    <row r="276">
      <c r="A276" s="5" t="inlineStr">
        <is>
          <t>3304</t>
        </is>
      </c>
      <c r="B276" s="5" t="inlineStr">
        <is>
          <t>Oliver Mancebo</t>
        </is>
      </c>
      <c r="C276" s="5" t="inlineStr">
        <is>
          <t>DIT</t>
        </is>
      </c>
      <c r="D276" s="5" t="inlineStr">
        <is>
          <t>Local600</t>
        </is>
      </c>
      <c r="E276" s="6" t="n">
        <v>35</v>
      </c>
      <c r="F276" s="5" t="n"/>
      <c r="G276" s="5" t="n"/>
      <c r="H276" s="5" t="n"/>
      <c r="I276" s="5" t="n"/>
      <c r="J276" s="7">
        <f>IF(AND(N(F276)&gt;0,N(I276)&gt;0),I276-F276-IF(N(G276)&gt;0,0.5,0)-IF(N(H276)&gt;0,0.5,0),0)</f>
        <v/>
      </c>
      <c r="K276" s="5" t="n"/>
      <c r="L276" s="7">
        <f>MIN(J276,8.0)</f>
        <v/>
      </c>
      <c r="M276" s="7">
        <f>MAX(0,MIN(J276,12)-8.0)</f>
        <v/>
      </c>
      <c r="N276" s="7">
        <f>MAX(0,J276-12)</f>
        <v/>
      </c>
      <c r="O276" s="5" t="n"/>
      <c r="P276" s="6">
        <f>E276*(L276+M276*1.5+N276*2+O276*3+N(K276))</f>
        <v/>
      </c>
      <c r="Q276" s="6" t="n">
        <v>542.5</v>
      </c>
      <c r="R276" s="6">
        <f>Q276-P276</f>
        <v/>
      </c>
    </row>
    <row r="277">
      <c r="P277" s="2" t="inlineStr">
        <is>
          <t>DIGITALIMAGINGTECHS LABOR</t>
        </is>
      </c>
      <c r="R277" s="8">
        <f>SUM(R276:R276)</f>
        <v/>
      </c>
    </row>
    <row r="279">
      <c r="B279" s="2" t="inlineStr">
        <is>
          <t>1STASSTCAMERA</t>
        </is>
      </c>
    </row>
    <row r="280">
      <c r="A280" s="5" t="inlineStr">
        <is>
          <t>3305</t>
        </is>
      </c>
      <c r="B280" s="5" t="inlineStr">
        <is>
          <t>Steve Cueva</t>
        </is>
      </c>
      <c r="C280" s="5" t="inlineStr">
        <is>
          <t>"A"CAMERA 1STAC</t>
        </is>
      </c>
      <c r="D280" s="5" t="inlineStr">
        <is>
          <t>Local600</t>
        </is>
      </c>
      <c r="E280" s="6" t="n">
        <v>25.5</v>
      </c>
      <c r="F280" s="5" t="n"/>
      <c r="G280" s="5" t="n"/>
      <c r="H280" s="5" t="n"/>
      <c r="I280" s="5" t="n"/>
      <c r="J280" s="7">
        <f>IF(AND(N(F280)&gt;0,N(I280)&gt;0),I280-F280-IF(N(G280)&gt;0,0.5,0)-IF(N(H280)&gt;0,0.5,0),0)</f>
        <v/>
      </c>
      <c r="K280" s="5" t="n"/>
      <c r="L280" s="7">
        <f>MIN(J280,8.0)</f>
        <v/>
      </c>
      <c r="M280" s="7">
        <f>MAX(0,MIN(J280,12)-8.0)</f>
        <v/>
      </c>
      <c r="N280" s="7">
        <f>MAX(0,J280-12)</f>
        <v/>
      </c>
      <c r="O280" s="5" t="n"/>
      <c r="P280" s="6">
        <f>E280*(L280+M280*1.5+N280*2+O280*3+N(K280))</f>
        <v/>
      </c>
      <c r="Q280" s="6" t="n">
        <v>395.25</v>
      </c>
      <c r="R280" s="6">
        <f>Q280-P280</f>
        <v/>
      </c>
    </row>
    <row r="281">
      <c r="A281" s="5" t="inlineStr">
        <is>
          <t>3305</t>
        </is>
      </c>
      <c r="B281" s="5" t="inlineStr">
        <is>
          <t>Chris Garcia</t>
        </is>
      </c>
      <c r="C281" s="5" t="inlineStr">
        <is>
          <t>"B"CAMERA 1STAC</t>
        </is>
      </c>
      <c r="D281" s="5" t="inlineStr">
        <is>
          <t>Local600</t>
        </is>
      </c>
      <c r="E281" s="6" t="n">
        <v>25.5</v>
      </c>
      <c r="F281" s="5" t="n"/>
      <c r="G281" s="5" t="n"/>
      <c r="H281" s="5" t="n"/>
      <c r="I281" s="5" t="n"/>
      <c r="J281" s="7">
        <f>IF(AND(N(F281)&gt;0,N(I281)&gt;0),I281-F281-IF(N(G281)&gt;0,0.5,0)-IF(N(H281)&gt;0,0.5,0),0)</f>
        <v/>
      </c>
      <c r="K281" s="5" t="n"/>
      <c r="L281" s="7">
        <f>MIN(J281,8.0)</f>
        <v/>
      </c>
      <c r="M281" s="7">
        <f>MAX(0,MIN(J281,12)-8.0)</f>
        <v/>
      </c>
      <c r="N281" s="7">
        <f>MAX(0,J281-12)</f>
        <v/>
      </c>
      <c r="O281" s="5" t="n"/>
      <c r="P281" s="6">
        <f>E281*(L281+M281*1.5+N281*2+O281*3+N(K281))</f>
        <v/>
      </c>
      <c r="Q281" s="6" t="n">
        <v>395.25</v>
      </c>
      <c r="R281" s="6">
        <f>Q281-P281</f>
        <v/>
      </c>
    </row>
    <row r="282">
      <c r="P282" s="2" t="inlineStr">
        <is>
          <t>1STASSTCAMERA LABOR</t>
        </is>
      </c>
      <c r="R282" s="8">
        <f>SUM(R280:R281)</f>
        <v/>
      </c>
    </row>
    <row r="284">
      <c r="B284" s="2" t="inlineStr">
        <is>
          <t>2NDASSTCAMERA</t>
        </is>
      </c>
    </row>
    <row r="285">
      <c r="A285" s="5" t="inlineStr">
        <is>
          <t>3306</t>
        </is>
      </c>
      <c r="B285" s="5" t="inlineStr">
        <is>
          <t>Manny Serrano</t>
        </is>
      </c>
      <c r="C285" s="5" t="inlineStr">
        <is>
          <t>"A"CAMERA 2NDAC</t>
        </is>
      </c>
      <c r="D285" s="5" t="inlineStr">
        <is>
          <t>Local600</t>
        </is>
      </c>
      <c r="E285" s="6" t="n">
        <v>23.04</v>
      </c>
      <c r="F285" s="5" t="n"/>
      <c r="G285" s="5" t="n"/>
      <c r="H285" s="5" t="n"/>
      <c r="I285" s="5" t="n"/>
      <c r="J285" s="7">
        <f>IF(AND(N(F285)&gt;0,N(I285)&gt;0),I285-F285-IF(N(G285)&gt;0,0.5,0)-IF(N(H285)&gt;0,0.5,0),0)</f>
        <v/>
      </c>
      <c r="K285" s="5" t="n"/>
      <c r="L285" s="7">
        <f>MIN(J285,8.0)</f>
        <v/>
      </c>
      <c r="M285" s="7">
        <f>MAX(0,MIN(J285,12)-8.0)</f>
        <v/>
      </c>
      <c r="N285" s="7">
        <f>MAX(0,J285-12)</f>
        <v/>
      </c>
      <c r="O285" s="5" t="n"/>
      <c r="P285" s="6">
        <f>E285*(L285+M285*1.5+N285*2+O285*3+N(K285))</f>
        <v/>
      </c>
      <c r="Q285" s="6" t="n">
        <v>357.12</v>
      </c>
      <c r="R285" s="6">
        <f>Q285-P285</f>
        <v/>
      </c>
    </row>
    <row r="286">
      <c r="A286" s="5" t="inlineStr">
        <is>
          <t>3306</t>
        </is>
      </c>
      <c r="B286" s="5" t="inlineStr"/>
      <c r="C286" s="5" t="inlineStr">
        <is>
          <t>"B"CAMERA 2NDAC</t>
        </is>
      </c>
      <c r="D286" s="5" t="inlineStr">
        <is>
          <t>Local600</t>
        </is>
      </c>
      <c r="E286" s="6" t="n">
        <v>23.04</v>
      </c>
      <c r="F286" s="5" t="n"/>
      <c r="G286" s="5" t="n"/>
      <c r="H286" s="5" t="n"/>
      <c r="I286" s="5" t="n"/>
      <c r="J286" s="7">
        <f>IF(AND(N(F286)&gt;0,N(I286)&gt;0),I286-F286-IF(N(G286)&gt;0,0.5,0)-IF(N(H286)&gt;0,0.5,0),0)</f>
        <v/>
      </c>
      <c r="K286" s="5" t="n"/>
      <c r="L286" s="7">
        <f>MIN(J286,8.0)</f>
        <v/>
      </c>
      <c r="M286" s="7">
        <f>MAX(0,MIN(J286,12)-8.0)</f>
        <v/>
      </c>
      <c r="N286" s="7">
        <f>MAX(0,J286-12)</f>
        <v/>
      </c>
      <c r="O286" s="5" t="n"/>
      <c r="P286" s="6">
        <f>E286*(L286+M286*1.5+N286*2+O286*3+N(K286))</f>
        <v/>
      </c>
      <c r="Q286" s="6" t="n">
        <v>357.12</v>
      </c>
      <c r="R286" s="6">
        <f>Q286-P286</f>
        <v/>
      </c>
    </row>
    <row r="287">
      <c r="P287" s="2" t="inlineStr">
        <is>
          <t>2NDASSTCAMERA LABOR</t>
        </is>
      </c>
      <c r="R287" s="8">
        <f>SUM(R285:R286)</f>
        <v/>
      </c>
    </row>
    <row r="289">
      <c r="B289" s="2" t="inlineStr">
        <is>
          <t>STILLPHOTOGRAPHER</t>
        </is>
      </c>
    </row>
    <row r="290">
      <c r="A290" s="5" t="inlineStr">
        <is>
          <t>3308</t>
        </is>
      </c>
      <c r="B290" s="5" t="inlineStr">
        <is>
          <t>Scott Patrick Green</t>
        </is>
      </c>
      <c r="C290" s="5" t="inlineStr">
        <is>
          <t>STILLPHOTOGRAPHER</t>
        </is>
      </c>
      <c r="D290" s="5" t="inlineStr">
        <is>
          <t>Local600</t>
        </is>
      </c>
      <c r="E290" s="6" t="n">
        <v>26.5</v>
      </c>
      <c r="F290" s="5" t="n"/>
      <c r="G290" s="5" t="n"/>
      <c r="H290" s="5" t="n"/>
      <c r="I290" s="5" t="n"/>
      <c r="J290" s="7">
        <f>IF(AND(N(F290)&gt;0,N(I290)&gt;0),I290-F290-IF(N(G290)&gt;0,0.5,0)-IF(N(H290)&gt;0,0.5,0),0)</f>
        <v/>
      </c>
      <c r="K290" s="5" t="n"/>
      <c r="L290" s="7">
        <f>MIN(J290,8.0)</f>
        <v/>
      </c>
      <c r="M290" s="7">
        <f>MAX(0,MIN(J290,12)-8.0)</f>
        <v/>
      </c>
      <c r="N290" s="7">
        <f>MAX(0,J290-12)</f>
        <v/>
      </c>
      <c r="O290" s="5" t="n"/>
      <c r="P290" s="6">
        <f>E290*(L290+M290*1.5+N290*2+O290*3+N(K290))</f>
        <v/>
      </c>
      <c r="Q290" s="6" t="n">
        <v>291.5</v>
      </c>
      <c r="R290" s="6">
        <f>Q290-P290</f>
        <v/>
      </c>
    </row>
    <row r="291">
      <c r="P291" s="2" t="inlineStr">
        <is>
          <t>STILLPHOTOGRAPHER LABOR</t>
        </is>
      </c>
      <c r="R291" s="8">
        <f>SUM(R290:R290)</f>
        <v/>
      </c>
    </row>
    <row r="293">
      <c r="B293" s="2" t="inlineStr">
        <is>
          <t>AERIAL/UNDERWATERPHOTOGRAPHY</t>
        </is>
      </c>
    </row>
    <row r="294">
      <c r="A294" s="5" t="inlineStr">
        <is>
          <t>3385</t>
        </is>
      </c>
      <c r="B294" s="5" t="inlineStr"/>
      <c r="C294" s="5" t="inlineStr">
        <is>
          <t>UNDERWATEROPERATOR</t>
        </is>
      </c>
      <c r="D294" s="5" t="inlineStr">
        <is>
          <t>Local600</t>
        </is>
      </c>
      <c r="E294" s="6" t="n">
        <v>65</v>
      </c>
      <c r="F294" s="5" t="n"/>
      <c r="G294" s="5" t="n"/>
      <c r="H294" s="5" t="n"/>
      <c r="I294" s="5" t="n"/>
      <c r="J294" s="7">
        <f>IF(AND(N(F294)&gt;0,N(I294)&gt;0),I294-F294-IF(N(G294)&gt;0,0.5,0)-IF(N(H294)&gt;0,0.5,0),0)</f>
        <v/>
      </c>
      <c r="K294" s="5" t="n"/>
      <c r="L294" s="7">
        <f>MIN(J294,8.0)</f>
        <v/>
      </c>
      <c r="M294" s="7">
        <f>MAX(0,MIN(J294,12)-8.0)</f>
        <v/>
      </c>
      <c r="N294" s="7">
        <f>MAX(0,J294-12)</f>
        <v/>
      </c>
      <c r="O294" s="5" t="n"/>
      <c r="P294" s="6">
        <f>E294*(L294+M294*1.5+N294*2+O294*3+N(K294))</f>
        <v/>
      </c>
      <c r="Q294" s="6" t="n">
        <v>910</v>
      </c>
      <c r="R294" s="6">
        <f>Q294-P294</f>
        <v/>
      </c>
    </row>
    <row r="295">
      <c r="P295" s="2" t="inlineStr">
        <is>
          <t>AERIAL/UNDERWATERPHOTOGRAPHY LABOR</t>
        </is>
      </c>
      <c r="R295" s="8">
        <f>SUM(R294:R294)</f>
        <v/>
      </c>
    </row>
    <row r="297">
      <c r="B297" s="2" t="inlineStr">
        <is>
          <t>SOUNDMIXER</t>
        </is>
      </c>
    </row>
    <row r="298">
      <c r="A298" s="5" t="inlineStr">
        <is>
          <t>3401</t>
        </is>
      </c>
      <c r="B298" s="5" t="inlineStr">
        <is>
          <t>Julian Howarth</t>
        </is>
      </c>
      <c r="C298" s="5" t="inlineStr">
        <is>
          <t>SOUNDMIXER</t>
        </is>
      </c>
      <c r="D298" s="5" t="inlineStr">
        <is>
          <t>Local695</t>
        </is>
      </c>
      <c r="E298" s="6" t="n">
        <v>26.5</v>
      </c>
      <c r="F298" s="5" t="n"/>
      <c r="G298" s="5" t="n"/>
      <c r="H298" s="5" t="n"/>
      <c r="I298" s="5" t="n"/>
      <c r="J298" s="7">
        <f>IF(AND(N(F298)&gt;0,N(I298)&gt;0),I298-F298-IF(N(G298)&gt;0,0.5,0)-IF(N(H298)&gt;0,0.5,0),0)</f>
        <v/>
      </c>
      <c r="K298" s="5" t="n"/>
      <c r="L298" s="7">
        <f>MIN(J298,10.0)</f>
        <v/>
      </c>
      <c r="M298" s="7">
        <f>MAX(0,MIN(J298,12)-10.0)</f>
        <v/>
      </c>
      <c r="N298" s="7">
        <f>MAX(0,J298-12)</f>
        <v/>
      </c>
      <c r="O298" s="5" t="n"/>
      <c r="P298" s="6">
        <f>E298*(L298+M298*1.5+N298*2+O298*3+N(K298))</f>
        <v/>
      </c>
      <c r="Q298" s="6" t="n">
        <v>410.75</v>
      </c>
      <c r="R298" s="6">
        <f>Q298-P298</f>
        <v/>
      </c>
    </row>
    <row r="299">
      <c r="P299" s="2" t="inlineStr">
        <is>
          <t>SOUNDMIXER LABOR</t>
        </is>
      </c>
      <c r="R299" s="8">
        <f>SUM(R298:R298)</f>
        <v/>
      </c>
    </row>
    <row r="301">
      <c r="B301" s="2" t="inlineStr">
        <is>
          <t>BOOMOPERATOR</t>
        </is>
      </c>
    </row>
    <row r="302">
      <c r="A302" s="5" t="inlineStr">
        <is>
          <t>3402</t>
        </is>
      </c>
      <c r="B302" s="5" t="inlineStr">
        <is>
          <t>Tim Song Jones</t>
        </is>
      </c>
      <c r="C302" s="5" t="inlineStr">
        <is>
          <t>BOOMOPERATOR</t>
        </is>
      </c>
      <c r="D302" s="5" t="inlineStr">
        <is>
          <t>Local695</t>
        </is>
      </c>
      <c r="E302" s="6" t="n">
        <v>23.04</v>
      </c>
      <c r="F302" s="5" t="n"/>
      <c r="G302" s="5" t="n"/>
      <c r="H302" s="5" t="n"/>
      <c r="I302" s="5" t="n"/>
      <c r="J302" s="7">
        <f>IF(AND(N(F302)&gt;0,N(I302)&gt;0),I302-F302-IF(N(G302)&gt;0,0.5,0)-IF(N(H302)&gt;0,0.5,0),0)</f>
        <v/>
      </c>
      <c r="K302" s="5" t="n"/>
      <c r="L302" s="7">
        <f>MIN(J302,10.0)</f>
        <v/>
      </c>
      <c r="M302" s="7">
        <f>MAX(0,MIN(J302,12)-10.0)</f>
        <v/>
      </c>
      <c r="N302" s="7">
        <f>MAX(0,J302-12)</f>
        <v/>
      </c>
      <c r="O302" s="5" t="n"/>
      <c r="P302" s="6">
        <f>E302*(L302+M302*1.5+N302*2+O302*3+N(K302))</f>
        <v/>
      </c>
      <c r="Q302" s="6" t="n">
        <v>357.12</v>
      </c>
      <c r="R302" s="6">
        <f>Q302-P302</f>
        <v/>
      </c>
    </row>
    <row r="303">
      <c r="P303" s="2" t="inlineStr">
        <is>
          <t>BOOMOPERATOR LABOR</t>
        </is>
      </c>
      <c r="R303" s="8">
        <f>SUM(R302:R302)</f>
        <v/>
      </c>
    </row>
    <row r="305">
      <c r="B305" s="2" t="inlineStr">
        <is>
          <t>CABLEPERSON</t>
        </is>
      </c>
    </row>
    <row r="306">
      <c r="A306" s="5" t="inlineStr">
        <is>
          <t>3403</t>
        </is>
      </c>
      <c r="B306" s="5" t="inlineStr"/>
      <c r="C306" s="5" t="inlineStr">
        <is>
          <t>UTILITYSOUND</t>
        </is>
      </c>
      <c r="D306" s="5" t="inlineStr">
        <is>
          <t>Local695</t>
        </is>
      </c>
      <c r="E306" s="6" t="n">
        <v>20.57</v>
      </c>
      <c r="F306" s="5" t="n"/>
      <c r="G306" s="5" t="n"/>
      <c r="H306" s="5" t="n"/>
      <c r="I306" s="5" t="n"/>
      <c r="J306" s="7">
        <f>IF(AND(N(F306)&gt;0,N(I306)&gt;0),I306-F306-IF(N(G306)&gt;0,0.5,0)-IF(N(H306)&gt;0,0.5,0),0)</f>
        <v/>
      </c>
      <c r="K306" s="5" t="n"/>
      <c r="L306" s="7">
        <f>MIN(J306,10.0)</f>
        <v/>
      </c>
      <c r="M306" s="7">
        <f>MAX(0,MIN(J306,12)-10.0)</f>
        <v/>
      </c>
      <c r="N306" s="7">
        <f>MAX(0,J306-12)</f>
        <v/>
      </c>
      <c r="O306" s="5" t="n"/>
      <c r="P306" s="6">
        <f>E306*(L306+M306*1.5+N306*2+O306*3+N(K306))</f>
        <v/>
      </c>
      <c r="Q306" s="6" t="n">
        <v>318.83</v>
      </c>
      <c r="R306" s="6">
        <f>Q306-P306</f>
        <v/>
      </c>
    </row>
    <row r="307">
      <c r="P307" s="2" t="inlineStr">
        <is>
          <t>CABLEPERSON LABOR</t>
        </is>
      </c>
      <c r="R307" s="8">
        <f>SUM(R306:R306)</f>
        <v/>
      </c>
    </row>
    <row r="309">
      <c r="B309" s="2" t="inlineStr">
        <is>
          <t>VIDEOASSIST</t>
        </is>
      </c>
    </row>
    <row r="310">
      <c r="A310" s="5" t="inlineStr">
        <is>
          <t>3404</t>
        </is>
      </c>
      <c r="B310" s="5" t="inlineStr">
        <is>
          <t>Jeff Snyder</t>
        </is>
      </c>
      <c r="C310" s="5" t="inlineStr">
        <is>
          <t>VIDEOASSISTOPERATOR</t>
        </is>
      </c>
      <c r="D310" s="5" t="inlineStr">
        <is>
          <t>Local695</t>
        </is>
      </c>
      <c r="E310" s="6" t="n">
        <v>23.04</v>
      </c>
      <c r="F310" s="5" t="n"/>
      <c r="G310" s="5" t="n"/>
      <c r="H310" s="5" t="n"/>
      <c r="I310" s="5" t="n"/>
      <c r="J310" s="7">
        <f>IF(AND(N(F310)&gt;0,N(I310)&gt;0),I310-F310-IF(N(G310)&gt;0,0.5,0)-IF(N(H310)&gt;0,0.5,0),0)</f>
        <v/>
      </c>
      <c r="K310" s="5" t="n"/>
      <c r="L310" s="7">
        <f>MIN(J310,10.0)</f>
        <v/>
      </c>
      <c r="M310" s="7">
        <f>MAX(0,MIN(J310,12)-10.0)</f>
        <v/>
      </c>
      <c r="N310" s="7">
        <f>MAX(0,J310-12)</f>
        <v/>
      </c>
      <c r="O310" s="5" t="n"/>
      <c r="P310" s="6">
        <f>E310*(L310+M310*1.5+N310*2+O310*3+N(K310))</f>
        <v/>
      </c>
      <c r="Q310" s="6" t="n">
        <v>357.12</v>
      </c>
      <c r="R310" s="6">
        <f>Q310-P310</f>
        <v/>
      </c>
    </row>
    <row r="311">
      <c r="P311" s="2" t="inlineStr">
        <is>
          <t>VIDEOASSIST LABOR</t>
        </is>
      </c>
      <c r="R311" s="8">
        <f>SUM(R310:R310)</f>
        <v/>
      </c>
    </row>
    <row r="313">
      <c r="B313" s="2" t="inlineStr">
        <is>
          <t>CAPTAIN</t>
        </is>
      </c>
    </row>
    <row r="314">
      <c r="A314" s="5" t="inlineStr">
        <is>
          <t>3502</t>
        </is>
      </c>
      <c r="B314" s="5" t="inlineStr">
        <is>
          <t>Kevin Caira</t>
        </is>
      </c>
      <c r="C314" s="5" t="inlineStr">
        <is>
          <t>TRANSPOCAPTAIN(LA)</t>
        </is>
      </c>
      <c r="D314" s="5" t="inlineStr">
        <is>
          <t>Local399</t>
        </is>
      </c>
      <c r="E314" s="6" t="n">
        <v>37.21</v>
      </c>
      <c r="F314" s="5" t="n"/>
      <c r="G314" s="5" t="n"/>
      <c r="H314" s="5" t="n"/>
      <c r="I314" s="5" t="n"/>
      <c r="J314" s="7">
        <f>IF(AND(N(F314)&gt;0,N(I314)&gt;0),I314-F314-IF(N(G314)&gt;0,0.5,0)-IF(N(H314)&gt;0,0.5,0),0)</f>
        <v/>
      </c>
      <c r="K314" s="5" t="n"/>
      <c r="L314" s="7">
        <f>MIN(J314,8.0)</f>
        <v/>
      </c>
      <c r="M314" s="7">
        <f>MAX(0,MIN(J314,12)-8.0)</f>
        <v/>
      </c>
      <c r="N314" s="7">
        <f>MAX(0,J314-12)</f>
        <v/>
      </c>
      <c r="O314" s="5" t="n"/>
      <c r="P314" s="6">
        <f>E314*(L314+M314*1.5+N314*2+O314*3+N(K314))</f>
        <v/>
      </c>
      <c r="Q314" s="6" t="n">
        <v>651.17</v>
      </c>
      <c r="R314" s="6">
        <f>Q314-P314</f>
        <v/>
      </c>
    </row>
    <row r="315">
      <c r="A315" s="5" t="inlineStr">
        <is>
          <t>3502</t>
        </is>
      </c>
      <c r="B315" s="5" t="inlineStr">
        <is>
          <t>Tina Peterson</t>
        </is>
      </c>
      <c r="C315" s="5" t="inlineStr">
        <is>
          <t>CO-CAPTAIN</t>
        </is>
      </c>
      <c r="D315" s="5" t="inlineStr">
        <is>
          <t>Local399</t>
        </is>
      </c>
      <c r="E315" s="6" t="n">
        <v>37.21</v>
      </c>
      <c r="F315" s="5" t="n"/>
      <c r="G315" s="5" t="n"/>
      <c r="H315" s="5" t="n"/>
      <c r="I315" s="5" t="n"/>
      <c r="J315" s="7">
        <f>IF(AND(N(F315)&gt;0,N(I315)&gt;0),I315-F315-IF(N(G315)&gt;0,0.5,0)-IF(N(H315)&gt;0,0.5,0),0)</f>
        <v/>
      </c>
      <c r="K315" s="5" t="n"/>
      <c r="L315" s="7">
        <f>MIN(J315,8.0)</f>
        <v/>
      </c>
      <c r="M315" s="7">
        <f>MAX(0,MIN(J315,12)-8.0)</f>
        <v/>
      </c>
      <c r="N315" s="7">
        <f>MAX(0,J315-12)</f>
        <v/>
      </c>
      <c r="O315" s="5" t="n"/>
      <c r="P315" s="6">
        <f>E315*(L315+M315*1.5+N315*2+O315*3+N(K315))</f>
        <v/>
      </c>
      <c r="Q315" s="6" t="n">
        <v>576.75</v>
      </c>
      <c r="R315" s="6">
        <f>Q315-P315</f>
        <v/>
      </c>
    </row>
    <row r="316">
      <c r="P316" s="2" t="inlineStr">
        <is>
          <t>CAPTAIN LABOR</t>
        </is>
      </c>
      <c r="R316" s="8">
        <f>SUM(R314:R315)</f>
        <v/>
      </c>
    </row>
    <row r="318">
      <c r="B318" s="2" t="inlineStr">
        <is>
          <t>DRIVERS</t>
        </is>
      </c>
    </row>
    <row r="319">
      <c r="A319" s="5" t="inlineStr">
        <is>
          <t>3503</t>
        </is>
      </c>
      <c r="B319" s="5" t="inlineStr"/>
      <c r="C319" s="5" t="inlineStr">
        <is>
          <t>GRIPTRUCK 48'TRACTORTRAILERDRIVER</t>
        </is>
      </c>
      <c r="D319" s="5" t="inlineStr"/>
      <c r="E319" s="6" t="n">
        <v>32.36</v>
      </c>
      <c r="F319" s="5" t="n"/>
      <c r="G319" s="5" t="n"/>
      <c r="H319" s="5" t="n"/>
      <c r="I319" s="5" t="n"/>
      <c r="J319" s="7">
        <f>IF(AND(N(F319)&gt;0,N(I319)&gt;0),I319-F319-IF(N(G319)&gt;0,0.5,0)-IF(N(H319)&gt;0,0.5,0),0)</f>
        <v/>
      </c>
      <c r="K319" s="5" t="n"/>
      <c r="L319" s="7">
        <f>MIN(J319,8.0)</f>
        <v/>
      </c>
      <c r="M319" s="7">
        <f>MAX(0,MIN(J319,12)-8.0)</f>
        <v/>
      </c>
      <c r="N319" s="7">
        <f>MAX(0,J319-12)</f>
        <v/>
      </c>
      <c r="O319" s="5" t="n"/>
      <c r="P319" s="6">
        <f>E319*(L319+M319*1.5+N319*2+O319*3+N(K319))</f>
        <v/>
      </c>
      <c r="Q319" s="6" t="n">
        <v>501.58</v>
      </c>
      <c r="R319" s="6">
        <f>Q319-P319</f>
        <v/>
      </c>
    </row>
    <row r="320">
      <c r="A320" s="5" t="inlineStr">
        <is>
          <t>3503</t>
        </is>
      </c>
      <c r="B320" s="5" t="inlineStr">
        <is>
          <t>Donald Wilson</t>
        </is>
      </c>
      <c r="C320" s="5" t="inlineStr">
        <is>
          <t>PROP 5-TON(ENCLOSED)</t>
        </is>
      </c>
      <c r="D320" s="5" t="inlineStr"/>
      <c r="E320" s="6" t="n">
        <v>32.36</v>
      </c>
      <c r="F320" s="5" t="n"/>
      <c r="G320" s="5" t="n"/>
      <c r="H320" s="5" t="n"/>
      <c r="I320" s="5" t="n"/>
      <c r="J320" s="7">
        <f>IF(AND(N(F320)&gt;0,N(I320)&gt;0),I320-F320-IF(N(G320)&gt;0,0.5,0)-IF(N(H320)&gt;0,0.5,0),0)</f>
        <v/>
      </c>
      <c r="K320" s="5" t="n"/>
      <c r="L320" s="7">
        <f>MIN(J320,8.0)</f>
        <v/>
      </c>
      <c r="M320" s="7">
        <f>MAX(0,MIN(J320,12)-8.0)</f>
        <v/>
      </c>
      <c r="N320" s="7">
        <f>MAX(0,J320-12)</f>
        <v/>
      </c>
      <c r="O320" s="5" t="n"/>
      <c r="P320" s="6">
        <f>E320*(L320+M320*1.5+N320*2+O320*3+N(K320))</f>
        <v/>
      </c>
      <c r="Q320" s="6" t="n">
        <v>501.58</v>
      </c>
      <c r="R320" s="6">
        <f>Q320-P320</f>
        <v/>
      </c>
    </row>
    <row r="321">
      <c r="A321" s="5" t="inlineStr">
        <is>
          <t>3503</t>
        </is>
      </c>
      <c r="B321" s="5" t="inlineStr"/>
      <c r="C321" s="5" t="inlineStr">
        <is>
          <t>WARDROBESTAKEBEDDRIVER#1</t>
        </is>
      </c>
      <c r="D321" s="5" t="inlineStr"/>
      <c r="E321" s="6" t="n">
        <v>37.99</v>
      </c>
      <c r="F321" s="5" t="n"/>
      <c r="G321" s="5" t="n"/>
      <c r="H321" s="5" t="n"/>
      <c r="I321" s="5" t="n"/>
      <c r="J321" s="7">
        <f>IF(AND(N(F321)&gt;0,N(I321)&gt;0),I321-F321-IF(N(G321)&gt;0,0.5,0)-IF(N(H321)&gt;0,0.5,0),0)</f>
        <v/>
      </c>
      <c r="K321" s="5" t="n"/>
      <c r="L321" s="7">
        <f>MIN(J321,8.0)</f>
        <v/>
      </c>
      <c r="M321" s="7">
        <f>MAX(0,MIN(J321,12)-8.0)</f>
        <v/>
      </c>
      <c r="N321" s="7">
        <f>MAX(0,J321-12)</f>
        <v/>
      </c>
      <c r="O321" s="5" t="n"/>
      <c r="P321" s="6">
        <f>E321*(L321+M321*1.5+N321*2+O321*3+N(K321))</f>
        <v/>
      </c>
      <c r="Q321" s="6" t="n">
        <v>588.85</v>
      </c>
      <c r="R321" s="6">
        <f>Q321-P321</f>
        <v/>
      </c>
    </row>
    <row r="322">
      <c r="A322" s="5" t="inlineStr">
        <is>
          <t>3503</t>
        </is>
      </c>
      <c r="B322" s="5" t="inlineStr"/>
      <c r="C322" s="5" t="inlineStr">
        <is>
          <t>MAKEUPHAIRTRAILERDRIVER</t>
        </is>
      </c>
      <c r="D322" s="5" t="inlineStr"/>
      <c r="E322" s="6" t="n">
        <v>32.36</v>
      </c>
      <c r="F322" s="5" t="n"/>
      <c r="G322" s="5" t="n"/>
      <c r="H322" s="5" t="n"/>
      <c r="I322" s="5" t="n"/>
      <c r="J322" s="7">
        <f>IF(AND(N(F322)&gt;0,N(I322)&gt;0),I322-F322-IF(N(G322)&gt;0,0.5,0)-IF(N(H322)&gt;0,0.5,0),0)</f>
        <v/>
      </c>
      <c r="K322" s="5" t="n"/>
      <c r="L322" s="7">
        <f>MIN(J322,8.0)</f>
        <v/>
      </c>
      <c r="M322" s="7">
        <f>MAX(0,MIN(J322,12)-8.0)</f>
        <v/>
      </c>
      <c r="N322" s="7">
        <f>MAX(0,J322-12)</f>
        <v/>
      </c>
      <c r="O322" s="5" t="n"/>
      <c r="P322" s="6">
        <f>E322*(L322+M322*1.5+N322*2+O322*3+N(K322))</f>
        <v/>
      </c>
      <c r="Q322" s="6" t="n">
        <v>501.58</v>
      </c>
      <c r="R322" s="6">
        <f>Q322-P322</f>
        <v/>
      </c>
    </row>
    <row r="323">
      <c r="A323" s="5" t="inlineStr">
        <is>
          <t>3503</t>
        </is>
      </c>
      <c r="B323" s="5" t="inlineStr"/>
      <c r="C323" s="5" t="inlineStr">
        <is>
          <t>ELECTRIC 10TONDRIVER(GENIEOPERATOR)</t>
        </is>
      </c>
      <c r="D323" s="5" t="inlineStr"/>
      <c r="E323" s="6" t="n">
        <v>37.99</v>
      </c>
      <c r="F323" s="5" t="n"/>
      <c r="G323" s="5" t="n"/>
      <c r="H323" s="5" t="n"/>
      <c r="I323" s="5" t="n"/>
      <c r="J323" s="7">
        <f>IF(AND(N(F323)&gt;0,N(I323)&gt;0),I323-F323-IF(N(G323)&gt;0,0.5,0)-IF(N(H323)&gt;0,0.5,0),0)</f>
        <v/>
      </c>
      <c r="K323" s="5" t="n"/>
      <c r="L323" s="7">
        <f>MIN(J323,8.0)</f>
        <v/>
      </c>
      <c r="M323" s="7">
        <f>MAX(0,MIN(J323,12)-8.0)</f>
        <v/>
      </c>
      <c r="N323" s="7">
        <f>MAX(0,J323-12)</f>
        <v/>
      </c>
      <c r="O323" s="5" t="n"/>
      <c r="P323" s="6">
        <f>E323*(L323+M323*1.5+N323*2+O323*3+N(K323))</f>
        <v/>
      </c>
      <c r="Q323" s="6" t="n">
        <v>588.85</v>
      </c>
      <c r="R323" s="6">
        <f>Q323-P323</f>
        <v/>
      </c>
    </row>
    <row r="324">
      <c r="A324" s="5" t="inlineStr">
        <is>
          <t>3503</t>
        </is>
      </c>
      <c r="B324" s="5" t="inlineStr"/>
      <c r="C324" s="5" t="inlineStr">
        <is>
          <t>SOUNDCCSTAKEBEDFUELTRUCKDRIVER</t>
        </is>
      </c>
      <c r="D324" s="5" t="inlineStr"/>
      <c r="E324" s="6" t="n">
        <v>32.36</v>
      </c>
      <c r="F324" s="5" t="n"/>
      <c r="G324" s="5" t="n"/>
      <c r="H324" s="5" t="n"/>
      <c r="I324" s="5" t="n"/>
      <c r="J324" s="7">
        <f>IF(AND(N(F324)&gt;0,N(I324)&gt;0),I324-F324-IF(N(G324)&gt;0,0.5,0)-IF(N(H324)&gt;0,0.5,0),0)</f>
        <v/>
      </c>
      <c r="K324" s="5" t="n"/>
      <c r="L324" s="7">
        <f>MIN(J324,8.0)</f>
        <v/>
      </c>
      <c r="M324" s="7">
        <f>MAX(0,MIN(J324,12)-8.0)</f>
        <v/>
      </c>
      <c r="N324" s="7">
        <f>MAX(0,J324-12)</f>
        <v/>
      </c>
      <c r="O324" s="5" t="n"/>
      <c r="P324" s="6">
        <f>E324*(L324+M324*1.5+N324*2+O324*3+N(K324))</f>
        <v/>
      </c>
      <c r="Q324" s="6" t="n">
        <v>501.58</v>
      </c>
      <c r="R324" s="6">
        <f>Q324-P324</f>
        <v/>
      </c>
    </row>
    <row r="325">
      <c r="A325" s="5" t="inlineStr">
        <is>
          <t>3503</t>
        </is>
      </c>
      <c r="B325" s="5" t="inlineStr"/>
      <c r="C325" s="5" t="inlineStr">
        <is>
          <t>9-ROOMHONEYWAGONTRACTORDRIVER</t>
        </is>
      </c>
      <c r="D325" s="5" t="inlineStr"/>
      <c r="E325" s="6" t="n">
        <v>32.36</v>
      </c>
      <c r="F325" s="5" t="n"/>
      <c r="G325" s="5" t="n"/>
      <c r="H325" s="5" t="n"/>
      <c r="I325" s="5" t="n"/>
      <c r="J325" s="7">
        <f>IF(AND(N(F325)&gt;0,N(I325)&gt;0),I325-F325-IF(N(G325)&gt;0,0.5,0)-IF(N(H325)&gt;0,0.5,0),0)</f>
        <v/>
      </c>
      <c r="K325" s="5" t="n"/>
      <c r="L325" s="7">
        <f>MIN(J325,8.0)</f>
        <v/>
      </c>
      <c r="M325" s="7">
        <f>MAX(0,MIN(J325,12)-8.0)</f>
        <v/>
      </c>
      <c r="N325" s="7">
        <f>MAX(0,J325-12)</f>
        <v/>
      </c>
      <c r="O325" s="5" t="n"/>
      <c r="P325" s="6">
        <f>E325*(L325+M325*1.5+N325*2+O325*3+N(K325))</f>
        <v/>
      </c>
      <c r="Q325" s="6" t="n">
        <v>501.58</v>
      </c>
      <c r="R325" s="6">
        <f>Q325-P325</f>
        <v/>
      </c>
    </row>
    <row r="326">
      <c r="A326" s="5" t="inlineStr">
        <is>
          <t>3503</t>
        </is>
      </c>
      <c r="B326" s="5" t="inlineStr"/>
      <c r="C326" s="5" t="inlineStr">
        <is>
          <t>FORDTRANSITVANDRIVER#1</t>
        </is>
      </c>
      <c r="D326" s="5" t="inlineStr"/>
      <c r="E326" s="6" t="n">
        <v>32.36</v>
      </c>
      <c r="F326" s="5" t="n"/>
      <c r="G326" s="5" t="n"/>
      <c r="H326" s="5" t="n"/>
      <c r="I326" s="5" t="n"/>
      <c r="J326" s="7">
        <f>IF(AND(N(F326)&gt;0,N(I326)&gt;0),I326-F326-IF(N(G326)&gt;0,0.5,0)-IF(N(H326)&gt;0,0.5,0),0)</f>
        <v/>
      </c>
      <c r="K326" s="5" t="n"/>
      <c r="L326" s="7">
        <f>MIN(J326,8.0)</f>
        <v/>
      </c>
      <c r="M326" s="7">
        <f>MAX(0,MIN(J326,12)-8.0)</f>
        <v/>
      </c>
      <c r="N326" s="7">
        <f>MAX(0,J326-12)</f>
        <v/>
      </c>
      <c r="O326" s="5" t="n"/>
      <c r="P326" s="6">
        <f>E326*(L326+M326*1.5+N326*2+O326*3+N(K326))</f>
        <v/>
      </c>
      <c r="Q326" s="6" t="n">
        <v>501.58</v>
      </c>
      <c r="R326" s="6">
        <f>Q326-P326</f>
        <v/>
      </c>
    </row>
    <row r="327">
      <c r="A327" s="5" t="inlineStr">
        <is>
          <t>3503</t>
        </is>
      </c>
      <c r="B327" s="5" t="inlineStr">
        <is>
          <t>Kaiser Clark</t>
        </is>
      </c>
      <c r="C327" s="5" t="inlineStr">
        <is>
          <t>CSETDECTRUCKDRIVER#1</t>
        </is>
      </c>
      <c r="D327" s="5" t="inlineStr"/>
      <c r="E327" s="6" t="n">
        <v>32.36</v>
      </c>
      <c r="F327" s="5" t="n"/>
      <c r="G327" s="5" t="n"/>
      <c r="H327" s="5" t="n"/>
      <c r="I327" s="5" t="n"/>
      <c r="J327" s="7">
        <f>IF(AND(N(F327)&gt;0,N(I327)&gt;0),I327-F327-IF(N(G327)&gt;0,0.5,0)-IF(N(H327)&gt;0,0.5,0),0)</f>
        <v/>
      </c>
      <c r="K327" s="5" t="n"/>
      <c r="L327" s="7">
        <f>MIN(J327,8.0)</f>
        <v/>
      </c>
      <c r="M327" s="7">
        <f>MAX(0,MIN(J327,12)-8.0)</f>
        <v/>
      </c>
      <c r="N327" s="7">
        <f>MAX(0,J327-12)</f>
        <v/>
      </c>
      <c r="O327" s="5" t="n"/>
      <c r="P327" s="6">
        <f>E327*(L327+M327*1.5+N327*2+O327*3+N(K327))</f>
        <v/>
      </c>
      <c r="Q327" s="6" t="n">
        <v>501.58</v>
      </c>
      <c r="R327" s="6">
        <f>Q327-P327</f>
        <v/>
      </c>
    </row>
    <row r="328">
      <c r="A328" s="5" t="inlineStr">
        <is>
          <t>3503</t>
        </is>
      </c>
      <c r="B328" s="5" t="inlineStr"/>
      <c r="C328" s="5" t="inlineStr">
        <is>
          <t>C 5-TONENCLOSEDRIGGINGGRIPDRIVER</t>
        </is>
      </c>
      <c r="D328" s="5" t="inlineStr"/>
      <c r="E328" s="6" t="n">
        <v>32.36</v>
      </c>
      <c r="F328" s="5" t="n"/>
      <c r="G328" s="5" t="n"/>
      <c r="H328" s="5" t="n"/>
      <c r="I328" s="5" t="n"/>
      <c r="J328" s="7">
        <f>IF(AND(N(F328)&gt;0,N(I328)&gt;0),I328-F328-IF(N(G328)&gt;0,0.5,0)-IF(N(H328)&gt;0,0.5,0),0)</f>
        <v/>
      </c>
      <c r="K328" s="5" t="n"/>
      <c r="L328" s="7">
        <f>MIN(J328,8.0)</f>
        <v/>
      </c>
      <c r="M328" s="7">
        <f>MAX(0,MIN(J328,12)-8.0)</f>
        <v/>
      </c>
      <c r="N328" s="7">
        <f>MAX(0,J328-12)</f>
        <v/>
      </c>
      <c r="O328" s="5" t="n"/>
      <c r="P328" s="6">
        <f>E328*(L328+M328*1.5+N328*2+O328*3+N(K328))</f>
        <v/>
      </c>
      <c r="Q328" s="5" t="n"/>
      <c r="R328" s="6">
        <f>Q328-P328</f>
        <v/>
      </c>
    </row>
    <row r="329">
      <c r="A329" s="5" t="inlineStr">
        <is>
          <t>3503</t>
        </is>
      </c>
      <c r="B329" s="5" t="inlineStr"/>
      <c r="C329" s="5" t="inlineStr">
        <is>
          <t>SCOUTBUS</t>
        </is>
      </c>
      <c r="D329" s="5" t="inlineStr"/>
      <c r="E329" s="6" t="n">
        <v>32.36</v>
      </c>
      <c r="F329" s="5" t="n"/>
      <c r="G329" s="5" t="n"/>
      <c r="H329" s="5" t="n"/>
      <c r="I329" s="5" t="n"/>
      <c r="J329" s="7">
        <f>IF(AND(N(F329)&gt;0,N(I329)&gt;0),I329-F329-IF(N(G329)&gt;0,0.5,0)-IF(N(H329)&gt;0,0.5,0),0)</f>
        <v/>
      </c>
      <c r="K329" s="5" t="n"/>
      <c r="L329" s="7">
        <f>MIN(J329,8.0)</f>
        <v/>
      </c>
      <c r="M329" s="7">
        <f>MAX(0,MIN(J329,12)-8.0)</f>
        <v/>
      </c>
      <c r="N329" s="7">
        <f>MAX(0,J329-12)</f>
        <v/>
      </c>
      <c r="O329" s="5" t="n"/>
      <c r="P329" s="6">
        <f>E329*(L329+M329*1.5+N329*2+O329*3+N(K329))</f>
        <v/>
      </c>
      <c r="Q329" s="5" t="n"/>
      <c r="R329" s="6">
        <f>Q329-P329</f>
        <v/>
      </c>
    </row>
    <row r="330">
      <c r="A330" s="5" t="inlineStr">
        <is>
          <t>3503</t>
        </is>
      </c>
      <c r="B330" s="5" t="inlineStr"/>
      <c r="C330" s="5" t="inlineStr">
        <is>
          <t>DRIVERMANDAYS</t>
        </is>
      </c>
      <c r="D330" s="5" t="inlineStr"/>
      <c r="E330" s="6" t="n">
        <v>32.36</v>
      </c>
      <c r="F330" s="5" t="n"/>
      <c r="G330" s="5" t="n"/>
      <c r="H330" s="5" t="n"/>
      <c r="I330" s="5" t="n"/>
      <c r="J330" s="7">
        <f>IF(AND(N(F330)&gt;0,N(I330)&gt;0),I330-F330-IF(N(G330)&gt;0,0.5,0)-IF(N(H330)&gt;0,0.5,0),0)</f>
        <v/>
      </c>
      <c r="K330" s="5" t="n"/>
      <c r="L330" s="7">
        <f>MIN(J330,8.0)</f>
        <v/>
      </c>
      <c r="M330" s="7">
        <f>MAX(0,MIN(J330,12)-8.0)</f>
        <v/>
      </c>
      <c r="N330" s="7">
        <f>MAX(0,J330-12)</f>
        <v/>
      </c>
      <c r="O330" s="5" t="n"/>
      <c r="P330" s="6">
        <f>E330*(L330+M330*1.5+N330*2+O330*3+N(K330))</f>
        <v/>
      </c>
      <c r="Q330" s="5" t="n"/>
      <c r="R330" s="6">
        <f>Q330-P330</f>
        <v/>
      </c>
    </row>
    <row r="331">
      <c r="P331" s="2" t="inlineStr">
        <is>
          <t>DRIVERS LABOR</t>
        </is>
      </c>
      <c r="R331" s="8">
        <f>SUM(R319:R330)</f>
        <v/>
      </c>
    </row>
    <row r="333">
      <c r="B333" s="2" t="inlineStr">
        <is>
          <t>LOCATIONSITEFEES</t>
        </is>
      </c>
    </row>
    <row r="334">
      <c r="A334" s="5" t="inlineStr">
        <is>
          <t>3607</t>
        </is>
      </c>
      <c r="B334" s="5" t="inlineStr"/>
      <c r="C334" s="5" t="inlineStr">
        <is>
          <t>Location#1(Hospital ER, LACountry Childrens Shelter, Shelter Dorm, Dept...</t>
        </is>
      </c>
      <c r="D334" s="5" t="inlineStr">
        <is>
          <t>Local400</t>
        </is>
      </c>
      <c r="E334" s="6" t="n">
        <v>50000</v>
      </c>
      <c r="F334" s="5" t="n"/>
      <c r="G334" s="5" t="n"/>
      <c r="H334" s="5" t="n"/>
      <c r="I334" s="5" t="n"/>
      <c r="J334" s="7">
        <f>IF(AND(N(F334)&gt;0,N(I334)&gt;0),I334-F334-IF(N(G334)&gt;0,0.5,0)-IF(N(H334)&gt;0,0.5,0),0)</f>
        <v/>
      </c>
      <c r="K334" s="5" t="n"/>
      <c r="L334" s="7">
        <f>MIN(J334,8.0)</f>
        <v/>
      </c>
      <c r="M334" s="7">
        <f>MAX(0,MIN(J334,12)-8.0)</f>
        <v/>
      </c>
      <c r="N334" s="7">
        <f>MAX(0,J334-12)</f>
        <v/>
      </c>
      <c r="O334" s="5" t="n"/>
      <c r="P334" s="6">
        <f>E334*(L334+M334*1.5+N334*2+O334*3+N(K334))</f>
        <v/>
      </c>
      <c r="Q334" s="6" t="n">
        <v>50000</v>
      </c>
      <c r="R334" s="6">
        <f>Q334-P334</f>
        <v/>
      </c>
    </row>
    <row r="335">
      <c r="P335" s="2" t="inlineStr">
        <is>
          <t>LOCATIONSITEFEES LABOR</t>
        </is>
      </c>
      <c r="R335" s="8">
        <f>SUM(R334:R334)</f>
        <v/>
      </c>
    </row>
    <row r="337">
      <c r="B337" s="2" t="inlineStr">
        <is>
          <t>CATERINGLABOR</t>
        </is>
      </c>
    </row>
    <row r="338">
      <c r="A338" s="5" t="inlineStr">
        <is>
          <t>3621</t>
        </is>
      </c>
      <c r="B338" s="5" t="inlineStr"/>
      <c r="C338" s="5" t="inlineStr">
        <is>
          <t>COOKDRIVER#1</t>
        </is>
      </c>
      <c r="D338" s="5" t="inlineStr">
        <is>
          <t>Local399</t>
        </is>
      </c>
      <c r="E338" s="6" t="n">
        <v>32.36</v>
      </c>
      <c r="F338" s="5" t="n"/>
      <c r="G338" s="5" t="n"/>
      <c r="H338" s="5" t="n"/>
      <c r="I338" s="5" t="n"/>
      <c r="J338" s="7">
        <f>IF(AND(N(F338)&gt;0,N(I338)&gt;0),I338-F338-IF(N(G338)&gt;0,0.5,0)-IF(N(H338)&gt;0,0.5,0),0)</f>
        <v/>
      </c>
      <c r="K338" s="5" t="n"/>
      <c r="L338" s="7">
        <f>MIN(J338,8.0)</f>
        <v/>
      </c>
      <c r="M338" s="7">
        <f>MAX(0,MIN(J338,12)-8.0)</f>
        <v/>
      </c>
      <c r="N338" s="7">
        <f>MAX(0,J338-12)</f>
        <v/>
      </c>
      <c r="O338" s="5" t="n"/>
      <c r="P338" s="6">
        <f>E338*(L338+M338*1.5+N338*2+O338*3+N(K338))</f>
        <v/>
      </c>
      <c r="Q338" s="6" t="n">
        <v>647.2</v>
      </c>
      <c r="R338" s="6">
        <f>Q338-P338</f>
        <v/>
      </c>
    </row>
    <row r="339">
      <c r="A339" s="5" t="inlineStr">
        <is>
          <t>3621</t>
        </is>
      </c>
      <c r="B339" s="5" t="inlineStr"/>
      <c r="C339" s="5" t="inlineStr">
        <is>
          <t>1STASSTCATERER#1</t>
        </is>
      </c>
      <c r="D339" s="5" t="inlineStr"/>
      <c r="E339" s="6" t="n">
        <v>17</v>
      </c>
      <c r="F339" s="5" t="n"/>
      <c r="G339" s="5" t="n"/>
      <c r="H339" s="5" t="n"/>
      <c r="I339" s="5" t="n"/>
      <c r="J339" s="7">
        <f>IF(AND(N(F339)&gt;0,N(I339)&gt;0),I339-F339-IF(N(G339)&gt;0,0.5,0)-IF(N(H339)&gt;0,0.5,0),0)</f>
        <v/>
      </c>
      <c r="K339" s="5" t="n"/>
      <c r="L339" s="7">
        <f>MIN(J339,8.0)</f>
        <v/>
      </c>
      <c r="M339" s="7">
        <f>MAX(0,MIN(J339,12)-8.0)</f>
        <v/>
      </c>
      <c r="N339" s="7">
        <f>MAX(0,J339-12)</f>
        <v/>
      </c>
      <c r="O339" s="5" t="n"/>
      <c r="P339" s="6">
        <f>E339*(L339+M339*1.5+N339*2+O339*3+N(K339))</f>
        <v/>
      </c>
      <c r="Q339" s="6" t="n">
        <v>340</v>
      </c>
      <c r="R339" s="6">
        <f>Q339-P339</f>
        <v/>
      </c>
    </row>
    <row r="340">
      <c r="A340" s="5" t="inlineStr">
        <is>
          <t>3621</t>
        </is>
      </c>
      <c r="B340" s="5" t="inlineStr"/>
      <c r="C340" s="5" t="inlineStr">
        <is>
          <t>1STASSTCATERER#2</t>
        </is>
      </c>
      <c r="D340" s="5" t="inlineStr"/>
      <c r="E340" s="6" t="n">
        <v>16</v>
      </c>
      <c r="F340" s="5" t="n"/>
      <c r="G340" s="5" t="n"/>
      <c r="H340" s="5" t="n"/>
      <c r="I340" s="5" t="n"/>
      <c r="J340" s="7">
        <f>IF(AND(N(F340)&gt;0,N(I340)&gt;0),I340-F340-IF(N(G340)&gt;0,0.5,0)-IF(N(H340)&gt;0,0.5,0),0)</f>
        <v/>
      </c>
      <c r="K340" s="5" t="n"/>
      <c r="L340" s="7">
        <f>MIN(J340,8.0)</f>
        <v/>
      </c>
      <c r="M340" s="7">
        <f>MAX(0,MIN(J340,12)-8.0)</f>
        <v/>
      </c>
      <c r="N340" s="7">
        <f>MAX(0,J340-12)</f>
        <v/>
      </c>
      <c r="O340" s="5" t="n"/>
      <c r="P340" s="6">
        <f>E340*(L340+M340*1.5+N340*2+O340*3+N(K340))</f>
        <v/>
      </c>
      <c r="Q340" s="6" t="n">
        <v>320</v>
      </c>
      <c r="R340" s="6">
        <f>Q340-P340</f>
        <v/>
      </c>
    </row>
    <row r="341">
      <c r="P341" s="2" t="inlineStr">
        <is>
          <t>CATERINGLABOR LABOR</t>
        </is>
      </c>
      <c r="R341" s="8">
        <f>SUM(R338:R340)</f>
        <v/>
      </c>
    </row>
    <row r="343">
      <c r="K343" s="9" t="inlineStr">
        <is>
          <t>TOTAL</t>
        </is>
      </c>
      <c r="P343" s="9" t="inlineStr">
        <is>
          <t>ACTUAL</t>
        </is>
      </c>
      <c r="Q343" s="9" t="inlineStr">
        <is>
          <t>BUDGET</t>
        </is>
      </c>
      <c r="R343" s="9" t="inlineStr">
        <is>
          <t>TOTAL VAR</t>
        </is>
      </c>
    </row>
    <row r="344">
      <c r="P344" s="9" t="inlineStr">
        <is>
          <t>DAY COST</t>
        </is>
      </c>
      <c r="Q344" s="9" t="inlineStr">
        <is>
          <t>DY COST</t>
        </is>
      </c>
      <c r="R344" s="9" t="inlineStr">
        <is>
          <t>(OVER) / UNDER</t>
        </is>
      </c>
    </row>
    <row r="345">
      <c r="P345" s="10">
        <f>SUM(P6:P6)+SUM(P10:P11)+SUM(P15:P17)+SUM(P21:P22)+SUM(P26:P32)+SUM(P36:P36)+SUM(P40:P41)+SUM(P45:P45)+SUM(P49:P49)+SUM(P53:P54)+SUM(P58:P58)+SUM(P62:P62)+SUM(P66:P67)+SUM(P71:P71)+SUM(P75:P75)+SUM(P79:P80)+SUM(P84:P84)+SUM(P88:P88)+SUM(P92:P93)+SUM(P97:P100)+SUM(P104:P104)+SUM(P108:P109)+SUM(P113:P113)+SUM(P117:P117)+SUM(P121:P121)+SUM(P125:P125)+SUM(P129:P130)+SUM(P134:P134)+SUM(P138:P139)+SUM(P143:P145)+SUM(P149:P149)+SUM(P153:P153)+SUM(P157:P158)+SUM(P162:P163)+SUM(P167:P167)+SUM(P171:P173)+SUM(P177:P177)+SUM(P181:P181)+SUM(P185:P187)+SUM(P191:P191)+SUM(P195:P195)+SUM(P199:P199)+SUM(P203:P203)+SUM(P207:P207)+SUM(P211:P211)+SUM(P215:P216)+SUM(P220:P220)+SUM(P224:P224)+SUM(P228:P228)+SUM(P232:P233)+SUM(P237:P237)+SUM(P241:P241)+SUM(P245:P245)+SUM(P249:P249)+SUM(P253:P254)+SUM(P258:P260)+SUM(P264:P264)+SUM(P268:P268)+SUM(P272:P272)+SUM(P276:P276)+SUM(P280:P281)+SUM(P285:P286)+SUM(P290:P290)+SUM(P294:P294)+SUM(P298:P298)+SUM(P302:P302)+SUM(P306:P306)+SUM(P310:P310)+SUM(P314:P315)+SUM(P319:P330)+SUM(P334:P334)+SUM(P338:P340)</f>
        <v/>
      </c>
      <c r="Q345" s="10">
        <f>SUM(Q6:Q6)+SUM(Q10:Q11)+SUM(Q15:Q17)+SUM(Q21:Q22)+SUM(Q26:Q32)+SUM(Q36:Q36)+SUM(Q40:Q41)+SUM(Q45:Q45)+SUM(Q49:Q49)+SUM(Q53:Q54)+SUM(Q58:Q58)+SUM(Q62:Q62)+SUM(Q66:Q67)+SUM(Q71:Q71)+SUM(Q75:Q75)+SUM(Q79:Q80)+SUM(Q84:Q84)+SUM(Q88:Q88)+SUM(Q92:Q93)+SUM(Q97:Q100)+SUM(Q104:Q104)+SUM(Q108:Q109)+SUM(Q113:Q113)+SUM(Q117:Q117)+SUM(Q121:Q121)+SUM(Q125:Q125)+SUM(Q129:Q130)+SUM(Q134:Q134)+SUM(Q138:Q139)+SUM(Q143:Q145)+SUM(Q149:Q149)+SUM(Q153:Q153)+SUM(Q157:Q158)+SUM(Q162:Q163)+SUM(Q167:Q167)+SUM(Q171:Q173)+SUM(Q177:Q177)+SUM(Q181:Q181)+SUM(Q185:Q187)+SUM(Q191:Q191)+SUM(Q195:Q195)+SUM(Q199:Q199)+SUM(Q203:Q203)+SUM(Q207:Q207)+SUM(Q211:Q211)+SUM(Q215:Q216)+SUM(Q220:Q220)+SUM(Q224:Q224)+SUM(Q228:Q228)+SUM(Q232:Q233)+SUM(Q237:Q237)+SUM(Q241:Q241)+SUM(Q245:Q245)+SUM(Q249:Q249)+SUM(Q253:Q254)+SUM(Q258:Q260)+SUM(Q264:Q264)+SUM(Q268:Q268)+SUM(Q272:Q272)+SUM(Q276:Q276)+SUM(Q280:Q281)+SUM(Q285:Q286)+SUM(Q290:Q290)+SUM(Q294:Q294)+SUM(Q298:Q298)+SUM(Q302:Q302)+SUM(Q306:Q306)+SUM(Q310:Q310)+SUM(Q314:Q315)+SUM(Q319:Q330)+SUM(Q334:Q334)+SUM(Q338:Q340)</f>
        <v/>
      </c>
      <c r="R345" s="10">
        <f>SUM(R6:R6)+SUM(R10:R11)+SUM(R15:R17)+SUM(R21:R22)+SUM(R26:R32)+SUM(R36:R36)+SUM(R40:R41)+SUM(R45:R45)+SUM(R49:R49)+SUM(R53:R54)+SUM(R58:R58)+SUM(R62:R62)+SUM(R66:R67)+SUM(R71:R71)+SUM(R75:R75)+SUM(R79:R80)+SUM(R84:R84)+SUM(R88:R88)+SUM(R92:R93)+SUM(R97:R100)+SUM(R104:R104)+SUM(R108:R109)+SUM(R113:R113)+SUM(R117:R117)+SUM(R121:R121)+SUM(R125:R125)+SUM(R129:R130)+SUM(R134:R134)+SUM(R138:R139)+SUM(R143:R145)+SUM(R149:R149)+SUM(R153:R153)+SUM(R157:R158)+SUM(R162:R163)+SUM(R167:R167)+SUM(R171:R173)+SUM(R177:R177)+SUM(R181:R181)+SUM(R185:R187)+SUM(R191:R191)+SUM(R195:R195)+SUM(R199:R199)+SUM(R203:R203)+SUM(R207:R207)+SUM(R211:R211)+SUM(R215:R216)+SUM(R220:R220)+SUM(R224:R224)+SUM(R228:R228)+SUM(R232:R233)+SUM(R237:R237)+SUM(R241:R241)+SUM(R245:R245)+SUM(R249:R249)+SUM(R253:R254)+SUM(R258:R260)+SUM(R264:R264)+SUM(R268:R268)+SUM(R272:R272)+SUM(R276:R276)+SUM(R280:R281)+SUM(R285:R286)+SUM(R290:R290)+SUM(R294:R294)+SUM(R298:R298)+SUM(R302:R302)+SUM(R306:R306)+SUM(R310:R310)+SUM(R314:R315)+SUM(R319:R330)+SUM(R334:R334)+SUM(R338:R340)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R34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20" customWidth="1" min="3" max="3"/>
    <col width="9" customWidth="1" min="4" max="4"/>
    <col width="9" customWidth="1" min="5" max="5"/>
    <col width="7" customWidth="1" min="6" max="6"/>
    <col width="7" customWidth="1" min="7" max="7"/>
    <col width="8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12" customWidth="1" min="16" max="16"/>
    <col width="13" customWidth="1" min="17" max="17"/>
    <col width="14" customWidth="1" min="18" max="18"/>
  </cols>
  <sheetData>
    <row r="1">
      <c r="A1" s="1" t="inlineStr">
        <is>
          <t>HOT COST</t>
        </is>
      </c>
      <c r="C1" t="inlineStr">
        <is>
          <t>Friday 10 Nov 2017</t>
        </is>
      </c>
      <c r="F1" s="2" t="inlineStr">
        <is>
          <t>DAY #20</t>
        </is>
      </c>
    </row>
    <row r="2">
      <c r="A2" s="3" t="inlineStr">
        <is>
          <t>enter CALL, LUNCH, WRAP as decimal hours (e.g. 7.5) — everything right of WRAP computes</t>
        </is>
      </c>
    </row>
    <row r="4">
      <c r="A4" s="4" t="inlineStr">
        <is>
          <t>ACCT</t>
        </is>
      </c>
      <c r="B4" s="4" t="inlineStr">
        <is>
          <t>NAME</t>
        </is>
      </c>
      <c r="C4" s="4" t="inlineStr">
        <is>
          <t>POSITION</t>
        </is>
      </c>
      <c r="D4" s="4" t="inlineStr">
        <is>
          <t>UNION</t>
        </is>
      </c>
      <c r="E4" s="4" t="inlineStr">
        <is>
          <t>RATE</t>
        </is>
      </c>
      <c r="F4" s="4" t="inlineStr">
        <is>
          <t>CALL</t>
        </is>
      </c>
      <c r="G4" s="4" t="inlineStr">
        <is>
          <t>LUNCH</t>
        </is>
      </c>
      <c r="H4" s="4" t="inlineStr">
        <is>
          <t>LUNCH 2</t>
        </is>
      </c>
      <c r="I4" s="4" t="inlineStr">
        <is>
          <t>WRAP</t>
        </is>
      </c>
      <c r="J4" s="4" t="inlineStr">
        <is>
          <t>HRS</t>
        </is>
      </c>
      <c r="K4" s="4" t="inlineStr">
        <is>
          <t>MP'S</t>
        </is>
      </c>
      <c r="L4" s="4" t="inlineStr">
        <is>
          <t>ST</t>
        </is>
      </c>
      <c r="M4" s="4" t="inlineStr">
        <is>
          <t>1.5X</t>
        </is>
      </c>
      <c r="N4" s="4" t="inlineStr">
        <is>
          <t>2X</t>
        </is>
      </c>
      <c r="O4" s="4" t="inlineStr">
        <is>
          <t>3X</t>
        </is>
      </c>
      <c r="P4" s="4" t="inlineStr">
        <is>
          <t>TOTAL / DAY</t>
        </is>
      </c>
      <c r="Q4" s="4" t="inlineStr">
        <is>
          <t>BUDGET / DAY</t>
        </is>
      </c>
      <c r="R4" s="4" t="inlineStr">
        <is>
          <t>(OVER) / UNDER</t>
        </is>
      </c>
    </row>
    <row r="5">
      <c r="B5" s="2" t="inlineStr">
        <is>
          <t>LEAD#</t>
        </is>
      </c>
    </row>
    <row r="6">
      <c r="A6" s="5" t="inlineStr">
        <is>
          <t>1401</t>
        </is>
      </c>
      <c r="B6" s="5" t="inlineStr">
        <is>
          <t>Linda Cardellini</t>
        </is>
      </c>
      <c r="C6" s="5" t="inlineStr">
        <is>
          <t>"ANNA"</t>
        </is>
      </c>
      <c r="D6" s="5" t="inlineStr"/>
      <c r="E6" s="6" t="n">
        <v>1211.8</v>
      </c>
      <c r="F6" s="5" t="n"/>
      <c r="G6" s="5" t="n"/>
      <c r="H6" s="5" t="n"/>
      <c r="I6" s="5" t="n"/>
      <c r="J6" s="7">
        <f>IF(AND(N(F6)&gt;0,N(I6)&gt;0),I6-F6-IF(N(G6)&gt;0,0.5,0)-IF(N(H6)&gt;0,0.5,0),0)</f>
        <v/>
      </c>
      <c r="K6" s="5" t="n"/>
      <c r="L6" s="7">
        <f>MIN(J6,8.0)</f>
        <v/>
      </c>
      <c r="M6" s="7">
        <f>MAX(0,MIN(J6,12)-8.0)</f>
        <v/>
      </c>
      <c r="N6" s="7">
        <f>MAX(0,J6-12)</f>
        <v/>
      </c>
      <c r="O6" s="5" t="n"/>
      <c r="P6" s="6">
        <f>E6*(L6+M6*1.5+N6*2+O6*3+N(K6))</f>
        <v/>
      </c>
      <c r="Q6" s="6" t="n">
        <v>1211.8</v>
      </c>
      <c r="R6" s="6">
        <f>Q6-P6</f>
        <v/>
      </c>
    </row>
    <row r="7">
      <c r="P7" s="2" t="inlineStr">
        <is>
          <t>LEAD# LABOR</t>
        </is>
      </c>
      <c r="R7" s="8">
        <f>SUM(R6:R6)</f>
        <v/>
      </c>
    </row>
    <row r="9">
      <c r="B9" s="2" t="inlineStr">
        <is>
          <t>LEAD#2&amp;#</t>
        </is>
      </c>
    </row>
    <row r="10">
      <c r="A10" s="5" t="inlineStr">
        <is>
          <t>1402</t>
        </is>
      </c>
      <c r="B10" s="5" t="inlineStr">
        <is>
          <t>Roman Christou</t>
        </is>
      </c>
      <c r="C10" s="5" t="inlineStr">
        <is>
          <t>"CHRIS"(Minor)</t>
        </is>
      </c>
      <c r="D10" s="5" t="inlineStr"/>
      <c r="E10" s="6" t="n">
        <v>755.4</v>
      </c>
      <c r="F10" s="5" t="n"/>
      <c r="G10" s="5" t="n"/>
      <c r="H10" s="5" t="n"/>
      <c r="I10" s="5" t="n"/>
      <c r="J10" s="7">
        <f>IF(AND(N(F10)&gt;0,N(I10)&gt;0),I10-F10-IF(N(G10)&gt;0,0.5,0)-IF(N(H10)&gt;0,0.5,0),0)</f>
        <v/>
      </c>
      <c r="K10" s="5" t="n"/>
      <c r="L10" s="7">
        <f>MIN(J10,8.0)</f>
        <v/>
      </c>
      <c r="M10" s="7">
        <f>MAX(0,MIN(J10,12)-8.0)</f>
        <v/>
      </c>
      <c r="N10" s="7">
        <f>MAX(0,J10-12)</f>
        <v/>
      </c>
      <c r="O10" s="5" t="n"/>
      <c r="P10" s="6">
        <f>E10*(L10+M10*1.5+N10*2+O10*3+N(K10))</f>
        <v/>
      </c>
      <c r="Q10" s="6" t="n">
        <v>755.4</v>
      </c>
      <c r="R10" s="6">
        <f>Q10-P10</f>
        <v/>
      </c>
    </row>
    <row r="11">
      <c r="A11" s="5" t="inlineStr">
        <is>
          <t>1402</t>
        </is>
      </c>
      <c r="B11" s="5" t="inlineStr">
        <is>
          <t>Jaynee Lynee Kinchen</t>
        </is>
      </c>
      <c r="C11" s="5" t="inlineStr">
        <is>
          <t>"SAMANTHA"(Minor)</t>
        </is>
      </c>
      <c r="D11" s="5" t="inlineStr"/>
      <c r="E11" s="6" t="n">
        <v>755.4</v>
      </c>
      <c r="F11" s="5" t="n"/>
      <c r="G11" s="5" t="n"/>
      <c r="H11" s="5" t="n"/>
      <c r="I11" s="5" t="n"/>
      <c r="J11" s="7">
        <f>IF(AND(N(F11)&gt;0,N(I11)&gt;0),I11-F11-IF(N(G11)&gt;0,0.5,0)-IF(N(H11)&gt;0,0.5,0),0)</f>
        <v/>
      </c>
      <c r="K11" s="5" t="n"/>
      <c r="L11" s="7">
        <f>MIN(J11,8.0)</f>
        <v/>
      </c>
      <c r="M11" s="7">
        <f>MAX(0,MIN(J11,12)-8.0)</f>
        <v/>
      </c>
      <c r="N11" s="7">
        <f>MAX(0,J11-12)</f>
        <v/>
      </c>
      <c r="O11" s="5" t="n"/>
      <c r="P11" s="6">
        <f>E11*(L11+M11*1.5+N11*2+O11*3+N(K11))</f>
        <v/>
      </c>
      <c r="Q11" s="6" t="n">
        <v>755.4</v>
      </c>
      <c r="R11" s="6">
        <f>Q11-P11</f>
        <v/>
      </c>
    </row>
    <row r="12">
      <c r="P12" s="2" t="inlineStr">
        <is>
          <t>LEAD#2&amp;# LABOR</t>
        </is>
      </c>
      <c r="R12" s="8">
        <f>SUM(R10:R11)</f>
        <v/>
      </c>
    </row>
    <row r="14">
      <c r="B14" s="2" t="inlineStr">
        <is>
          <t>OTHERLEADCAST</t>
        </is>
      </c>
    </row>
    <row r="15">
      <c r="A15" s="5" t="inlineStr">
        <is>
          <t>1403</t>
        </is>
      </c>
      <c r="B15" s="5" t="inlineStr">
        <is>
          <t>Raymond Cruz</t>
        </is>
      </c>
      <c r="C15" s="5" t="inlineStr">
        <is>
          <t>"RAFAELOLVERA"</t>
        </is>
      </c>
      <c r="D15" s="5" t="inlineStr"/>
      <c r="E15" s="6" t="n">
        <v>1211.8</v>
      </c>
      <c r="F15" s="5" t="n"/>
      <c r="G15" s="5" t="n"/>
      <c r="H15" s="5" t="n"/>
      <c r="I15" s="5" t="n"/>
      <c r="J15" s="7">
        <f>IF(AND(N(F15)&gt;0,N(I15)&gt;0),I15-F15-IF(N(G15)&gt;0,0.5,0)-IF(N(H15)&gt;0,0.5,0),0)</f>
        <v/>
      </c>
      <c r="K15" s="5" t="n"/>
      <c r="L15" s="7">
        <f>MIN(J15,8.0)</f>
        <v/>
      </c>
      <c r="M15" s="7">
        <f>MAX(0,MIN(J15,12)-8.0)</f>
        <v/>
      </c>
      <c r="N15" s="7">
        <f>MAX(0,J15-12)</f>
        <v/>
      </c>
      <c r="O15" s="5" t="n"/>
      <c r="P15" s="6">
        <f>E15*(L15+M15*1.5+N15*2+O15*3+N(K15))</f>
        <v/>
      </c>
      <c r="Q15" s="6" t="n">
        <v>1211.8</v>
      </c>
      <c r="R15" s="6">
        <f>Q15-P15</f>
        <v/>
      </c>
    </row>
    <row r="16">
      <c r="A16" s="5" t="inlineStr">
        <is>
          <t>1403</t>
        </is>
      </c>
      <c r="B16" s="5" t="inlineStr">
        <is>
          <t>Marisol Ramirez</t>
        </is>
      </c>
      <c r="C16" s="5" t="inlineStr">
        <is>
          <t>"LALLORONA"</t>
        </is>
      </c>
      <c r="D16" s="5" t="inlineStr"/>
      <c r="E16" s="6" t="n">
        <v>1211.8</v>
      </c>
      <c r="F16" s="5" t="n"/>
      <c r="G16" s="5" t="n"/>
      <c r="H16" s="5" t="n"/>
      <c r="I16" s="5" t="n"/>
      <c r="J16" s="7">
        <f>IF(AND(N(F16)&gt;0,N(I16)&gt;0),I16-F16-IF(N(G16)&gt;0,0.5,0)-IF(N(H16)&gt;0,0.5,0),0)</f>
        <v/>
      </c>
      <c r="K16" s="5" t="n"/>
      <c r="L16" s="7">
        <f>MIN(J16,8.0)</f>
        <v/>
      </c>
      <c r="M16" s="7">
        <f>MAX(0,MIN(J16,12)-8.0)</f>
        <v/>
      </c>
      <c r="N16" s="7">
        <f>MAX(0,J16-12)</f>
        <v/>
      </c>
      <c r="O16" s="5" t="n"/>
      <c r="P16" s="6">
        <f>E16*(L16+M16*1.5+N16*2+O16*3+N(K16))</f>
        <v/>
      </c>
      <c r="Q16" s="6" t="n">
        <v>1211.8</v>
      </c>
      <c r="R16" s="6">
        <f>Q16-P16</f>
        <v/>
      </c>
    </row>
    <row r="17">
      <c r="A17" s="5" t="inlineStr">
        <is>
          <t>1403</t>
        </is>
      </c>
      <c r="B17" s="5" t="inlineStr">
        <is>
          <t>Patrica Velasquez</t>
        </is>
      </c>
      <c r="C17" s="5" t="inlineStr">
        <is>
          <t>"PATRICIA"</t>
        </is>
      </c>
      <c r="D17" s="5" t="inlineStr"/>
      <c r="E17" s="6" t="n">
        <v>1972</v>
      </c>
      <c r="F17" s="5" t="n"/>
      <c r="G17" s="5" t="n"/>
      <c r="H17" s="5" t="n"/>
      <c r="I17" s="5" t="n"/>
      <c r="J17" s="7">
        <f>IF(AND(N(F17)&gt;0,N(I17)&gt;0),I17-F17-IF(N(G17)&gt;0,0.5,0)-IF(N(H17)&gt;0,0.5,0),0)</f>
        <v/>
      </c>
      <c r="K17" s="5" t="n"/>
      <c r="L17" s="7">
        <f>MIN(J17,8.0)</f>
        <v/>
      </c>
      <c r="M17" s="7">
        <f>MAX(0,MIN(J17,12)-8.0)</f>
        <v/>
      </c>
      <c r="N17" s="7">
        <f>MAX(0,J17-12)</f>
        <v/>
      </c>
      <c r="O17" s="5" t="n"/>
      <c r="P17" s="6">
        <f>E17*(L17+M17*1.5+N17*2+O17*3+N(K17))</f>
        <v/>
      </c>
      <c r="Q17" s="6" t="n">
        <v>1972</v>
      </c>
      <c r="R17" s="6">
        <f>Q17-P17</f>
        <v/>
      </c>
    </row>
    <row r="18">
      <c r="P18" s="2" t="inlineStr">
        <is>
          <t>OTHERLEADCAST LABOR</t>
        </is>
      </c>
      <c r="R18" s="8">
        <f>SUM(R15:R17)</f>
        <v/>
      </c>
    </row>
    <row r="20">
      <c r="B20" s="2" t="inlineStr">
        <is>
          <t>SUPPORTINGCAST</t>
        </is>
      </c>
    </row>
    <row r="21">
      <c r="A21" s="5" t="inlineStr">
        <is>
          <t>1404</t>
        </is>
      </c>
      <c r="B21" s="5" t="inlineStr">
        <is>
          <t>Sean Patrick Thomas</t>
        </is>
      </c>
      <c r="C21" s="5" t="inlineStr">
        <is>
          <t>DETCOOPER</t>
        </is>
      </c>
      <c r="D21" s="5" t="inlineStr"/>
      <c r="E21" s="6" t="n">
        <v>1211.8</v>
      </c>
      <c r="F21" s="5" t="n"/>
      <c r="G21" s="5" t="n"/>
      <c r="H21" s="5" t="n"/>
      <c r="I21" s="5" t="n"/>
      <c r="J21" s="7">
        <f>IF(AND(N(F21)&gt;0,N(I21)&gt;0),I21-F21-IF(N(G21)&gt;0,0.5,0)-IF(N(H21)&gt;0,0.5,0),0)</f>
        <v/>
      </c>
      <c r="K21" s="5" t="n"/>
      <c r="L21" s="7">
        <f>MIN(J21,8.0)</f>
        <v/>
      </c>
      <c r="M21" s="7">
        <f>MAX(0,MIN(J21,12)-8.0)</f>
        <v/>
      </c>
      <c r="N21" s="7">
        <f>MAX(0,J21-12)</f>
        <v/>
      </c>
      <c r="O21" s="5" t="n"/>
      <c r="P21" s="6">
        <f>E21*(L21+M21*1.5+N21*2+O21*3+N(K21))</f>
        <v/>
      </c>
      <c r="Q21" s="6" t="n">
        <v>1211.8</v>
      </c>
      <c r="R21" s="6">
        <f>Q21-P21</f>
        <v/>
      </c>
    </row>
    <row r="22">
      <c r="A22" s="5" t="inlineStr">
        <is>
          <t>1404</t>
        </is>
      </c>
      <c r="B22" s="5" t="inlineStr">
        <is>
          <t>Tony Amendola</t>
        </is>
      </c>
      <c r="C22" s="5" t="inlineStr">
        <is>
          <t>"FATHERPEREZ"</t>
        </is>
      </c>
      <c r="D22" s="5" t="inlineStr"/>
      <c r="E22" s="6" t="n">
        <v>1972</v>
      </c>
      <c r="F22" s="5" t="n"/>
      <c r="G22" s="5" t="n"/>
      <c r="H22" s="5" t="n"/>
      <c r="I22" s="5" t="n"/>
      <c r="J22" s="7">
        <f>IF(AND(N(F22)&gt;0,N(I22)&gt;0),I22-F22-IF(N(G22)&gt;0,0.5,0)-IF(N(H22)&gt;0,0.5,0),0)</f>
        <v/>
      </c>
      <c r="K22" s="5" t="n"/>
      <c r="L22" s="7">
        <f>MIN(J22,8.0)</f>
        <v/>
      </c>
      <c r="M22" s="7">
        <f>MAX(0,MIN(J22,12)-8.0)</f>
        <v/>
      </c>
      <c r="N22" s="7">
        <f>MAX(0,J22-12)</f>
        <v/>
      </c>
      <c r="O22" s="5" t="n"/>
      <c r="P22" s="6">
        <f>E22*(L22+M22*1.5+N22*2+O22*3+N(K22))</f>
        <v/>
      </c>
      <c r="Q22" s="6" t="n">
        <v>1972</v>
      </c>
      <c r="R22" s="6">
        <f>Q22-P22</f>
        <v/>
      </c>
    </row>
    <row r="23">
      <c r="P23" s="2" t="inlineStr">
        <is>
          <t>SUPPORTINGCAST LABOR</t>
        </is>
      </c>
      <c r="R23" s="8">
        <f>SUM(R21:R22)</f>
        <v/>
      </c>
    </row>
    <row r="25">
      <c r="B25" s="2" t="inlineStr">
        <is>
          <t>DAYPLAYERS</t>
        </is>
      </c>
    </row>
    <row r="26">
      <c r="A26" s="5" t="inlineStr">
        <is>
          <t>1405</t>
        </is>
      </c>
      <c r="B26" s="5" t="inlineStr">
        <is>
          <t>Kristy Keng(Drop/Pickup)</t>
        </is>
      </c>
      <c r="C26" s="5" t="inlineStr">
        <is>
          <t>"DONNA"</t>
        </is>
      </c>
      <c r="D26" s="5" t="inlineStr"/>
      <c r="E26" s="6" t="n">
        <v>1972</v>
      </c>
      <c r="F26" s="5" t="n"/>
      <c r="G26" s="5" t="n"/>
      <c r="H26" s="5" t="n"/>
      <c r="I26" s="5" t="n"/>
      <c r="J26" s="7">
        <f>IF(AND(N(F26)&gt;0,N(I26)&gt;0),I26-F26-IF(N(G26)&gt;0,0.5,0)-IF(N(H26)&gt;0,0.5,0),0)</f>
        <v/>
      </c>
      <c r="K26" s="5" t="n"/>
      <c r="L26" s="7">
        <f>MIN(J26,8.0)</f>
        <v/>
      </c>
      <c r="M26" s="7">
        <f>MAX(0,MIN(J26,12)-8.0)</f>
        <v/>
      </c>
      <c r="N26" s="7">
        <f>MAX(0,J26-12)</f>
        <v/>
      </c>
      <c r="O26" s="5" t="n"/>
      <c r="P26" s="6">
        <f>E26*(L26+M26*1.5+N26*2+O26*3+N(K26))</f>
        <v/>
      </c>
      <c r="Q26" s="6" t="n">
        <v>1972</v>
      </c>
      <c r="R26" s="6">
        <f>Q26-P26</f>
        <v/>
      </c>
    </row>
    <row r="27">
      <c r="A27" s="5" t="inlineStr">
        <is>
          <t>1405</t>
        </is>
      </c>
      <c r="B27" s="5" t="inlineStr">
        <is>
          <t>Oliver Alexander</t>
        </is>
      </c>
      <c r="C27" s="5" t="inlineStr">
        <is>
          <t>"CARLOS"(Minor)</t>
        </is>
      </c>
      <c r="D27" s="5" t="inlineStr"/>
      <c r="E27" s="6" t="n">
        <v>1249</v>
      </c>
      <c r="F27" s="5" t="n"/>
      <c r="G27" s="5" t="n"/>
      <c r="H27" s="5" t="n"/>
      <c r="I27" s="5" t="n"/>
      <c r="J27" s="7">
        <f>IF(AND(N(F27)&gt;0,N(I27)&gt;0),I27-F27-IF(N(G27)&gt;0,0.5,0)-IF(N(H27)&gt;0,0.5,0),0)</f>
        <v/>
      </c>
      <c r="K27" s="5" t="n"/>
      <c r="L27" s="7">
        <f>MIN(J27,8.0)</f>
        <v/>
      </c>
      <c r="M27" s="7">
        <f>MAX(0,MIN(J27,12)-8.0)</f>
        <v/>
      </c>
      <c r="N27" s="7">
        <f>MAX(0,J27-12)</f>
        <v/>
      </c>
      <c r="O27" s="5" t="n"/>
      <c r="P27" s="6">
        <f>E27*(L27+M27*1.5+N27*2+O27*3+N(K27))</f>
        <v/>
      </c>
      <c r="Q27" s="6" t="n">
        <v>1249</v>
      </c>
      <c r="R27" s="6">
        <f>Q27-P27</f>
        <v/>
      </c>
    </row>
    <row r="28">
      <c r="A28" s="5" t="inlineStr">
        <is>
          <t>1405</t>
        </is>
      </c>
      <c r="B28" s="5" t="inlineStr">
        <is>
          <t>Adam Lewandowski</t>
        </is>
      </c>
      <c r="C28" s="5" t="inlineStr">
        <is>
          <t>"TOMAS"(Minor)</t>
        </is>
      </c>
      <c r="D28" s="5" t="inlineStr"/>
      <c r="E28" s="6" t="n">
        <v>1249</v>
      </c>
      <c r="F28" s="5" t="n"/>
      <c r="G28" s="5" t="n"/>
      <c r="H28" s="5" t="n"/>
      <c r="I28" s="5" t="n"/>
      <c r="J28" s="7">
        <f>IF(AND(N(F28)&gt;0,N(I28)&gt;0),I28-F28-IF(N(G28)&gt;0,0.5,0)-IF(N(H28)&gt;0,0.5,0),0)</f>
        <v/>
      </c>
      <c r="K28" s="5" t="n"/>
      <c r="L28" s="7">
        <f>MIN(J28,8.0)</f>
        <v/>
      </c>
      <c r="M28" s="7">
        <f>MAX(0,MIN(J28,12)-8.0)</f>
        <v/>
      </c>
      <c r="N28" s="7">
        <f>MAX(0,J28-12)</f>
        <v/>
      </c>
      <c r="O28" s="5" t="n"/>
      <c r="P28" s="6">
        <f>E28*(L28+M28*1.5+N28*2+O28*3+N(K28))</f>
        <v/>
      </c>
      <c r="Q28" s="6" t="n">
        <v>1249</v>
      </c>
      <c r="R28" s="6">
        <f>Q28-P28</f>
        <v/>
      </c>
    </row>
    <row r="29">
      <c r="A29" s="5" t="inlineStr">
        <is>
          <t>1405</t>
        </is>
      </c>
      <c r="B29" s="5" t="inlineStr">
        <is>
          <t>Paul Rodriquez Jr.</t>
        </is>
      </c>
      <c r="C29" s="5" t="inlineStr">
        <is>
          <t>"OFFICERCLARO"</t>
        </is>
      </c>
      <c r="D29" s="5" t="inlineStr"/>
      <c r="E29" s="6" t="n">
        <v>1972</v>
      </c>
      <c r="F29" s="5" t="n"/>
      <c r="G29" s="5" t="n"/>
      <c r="H29" s="5" t="n"/>
      <c r="I29" s="5" t="n"/>
      <c r="J29" s="7">
        <f>IF(AND(N(F29)&gt;0,N(I29)&gt;0),I29-F29-IF(N(G29)&gt;0,0.5,0)-IF(N(H29)&gt;0,0.5,0),0)</f>
        <v/>
      </c>
      <c r="K29" s="5" t="n"/>
      <c r="L29" s="7">
        <f>MIN(J29,8.0)</f>
        <v/>
      </c>
      <c r="M29" s="7">
        <f>MAX(0,MIN(J29,12)-8.0)</f>
        <v/>
      </c>
      <c r="N29" s="7">
        <f>MAX(0,J29-12)</f>
        <v/>
      </c>
      <c r="O29" s="5" t="n"/>
      <c r="P29" s="6">
        <f>E29*(L29+M29*1.5+N29*2+O29*3+N(K29))</f>
        <v/>
      </c>
      <c r="Q29" s="6" t="n">
        <v>1972</v>
      </c>
      <c r="R29" s="6">
        <f>Q29-P29</f>
        <v/>
      </c>
    </row>
    <row r="30">
      <c r="A30" s="5" t="inlineStr">
        <is>
          <t>1405</t>
        </is>
      </c>
      <c r="B30" s="5" t="inlineStr">
        <is>
          <t>Sophia Santi</t>
        </is>
      </c>
      <c r="C30" s="5" t="inlineStr">
        <is>
          <t>"FEMALECUSTOMER"</t>
        </is>
      </c>
      <c r="D30" s="5" t="inlineStr"/>
      <c r="E30" s="6" t="n">
        <v>1972</v>
      </c>
      <c r="F30" s="5" t="n"/>
      <c r="G30" s="5" t="n"/>
      <c r="H30" s="5" t="n"/>
      <c r="I30" s="5" t="n"/>
      <c r="J30" s="7">
        <f>IF(AND(N(F30)&gt;0,N(I30)&gt;0),I30-F30-IF(N(G30)&gt;0,0.5,0)-IF(N(H30)&gt;0,0.5,0),0)</f>
        <v/>
      </c>
      <c r="K30" s="5" t="n"/>
      <c r="L30" s="7">
        <f>MIN(J30,8.0)</f>
        <v/>
      </c>
      <c r="M30" s="7">
        <f>MAX(0,MIN(J30,12)-8.0)</f>
        <v/>
      </c>
      <c r="N30" s="7">
        <f>MAX(0,J30-12)</f>
        <v/>
      </c>
      <c r="O30" s="5" t="n"/>
      <c r="P30" s="6">
        <f>E30*(L30+M30*1.5+N30*2+O30*3+N(K30))</f>
        <v/>
      </c>
      <c r="Q30" s="6" t="n">
        <v>1972</v>
      </c>
      <c r="R30" s="6">
        <f>Q30-P30</f>
        <v/>
      </c>
    </row>
    <row r="31">
      <c r="A31" s="5" t="inlineStr">
        <is>
          <t>1405</t>
        </is>
      </c>
      <c r="B31" s="5" t="inlineStr">
        <is>
          <t>John Marshall Jones</t>
        </is>
      </c>
      <c r="C31" s="5" t="inlineStr">
        <is>
          <t>"MRHANKINS"</t>
        </is>
      </c>
      <c r="D31" s="5" t="inlineStr"/>
      <c r="E31" s="6" t="n">
        <v>1972</v>
      </c>
      <c r="F31" s="5" t="n"/>
      <c r="G31" s="5" t="n"/>
      <c r="H31" s="5" t="n"/>
      <c r="I31" s="5" t="n"/>
      <c r="J31" s="7">
        <f>IF(AND(N(F31)&gt;0,N(I31)&gt;0),I31-F31-IF(N(G31)&gt;0,0.5,0)-IF(N(H31)&gt;0,0.5,0),0)</f>
        <v/>
      </c>
      <c r="K31" s="5" t="n"/>
      <c r="L31" s="7">
        <f>MIN(J31,8.0)</f>
        <v/>
      </c>
      <c r="M31" s="7">
        <f>MAX(0,MIN(J31,12)-8.0)</f>
        <v/>
      </c>
      <c r="N31" s="7">
        <f>MAX(0,J31-12)</f>
        <v/>
      </c>
      <c r="O31" s="5" t="n"/>
      <c r="P31" s="6">
        <f>E31*(L31+M31*1.5+N31*2+O31*3+N(K31))</f>
        <v/>
      </c>
      <c r="Q31" s="6" t="n">
        <v>1972</v>
      </c>
      <c r="R31" s="6">
        <f>Q31-P31</f>
        <v/>
      </c>
    </row>
    <row r="32">
      <c r="A32" s="5" t="inlineStr">
        <is>
          <t>1405</t>
        </is>
      </c>
      <c r="B32" s="5" t="inlineStr">
        <is>
          <t>Madeleine Mcgraw</t>
        </is>
      </c>
      <c r="C32" s="5" t="inlineStr">
        <is>
          <t>"APRIL"(Minor)</t>
        </is>
      </c>
      <c r="D32" s="5" t="inlineStr"/>
      <c r="E32" s="6" t="n">
        <v>1249</v>
      </c>
      <c r="F32" s="5" t="n"/>
      <c r="G32" s="5" t="n"/>
      <c r="H32" s="5" t="n"/>
      <c r="I32" s="5" t="n"/>
      <c r="J32" s="7">
        <f>IF(AND(N(F32)&gt;0,N(I32)&gt;0),I32-F32-IF(N(G32)&gt;0,0.5,0)-IF(N(H32)&gt;0,0.5,0),0)</f>
        <v/>
      </c>
      <c r="K32" s="5" t="n"/>
      <c r="L32" s="7">
        <f>MIN(J32,8.0)</f>
        <v/>
      </c>
      <c r="M32" s="7">
        <f>MAX(0,MIN(J32,12)-8.0)</f>
        <v/>
      </c>
      <c r="N32" s="7">
        <f>MAX(0,J32-12)</f>
        <v/>
      </c>
      <c r="O32" s="5" t="n"/>
      <c r="P32" s="6">
        <f>E32*(L32+M32*1.5+N32*2+O32*3+N(K32))</f>
        <v/>
      </c>
      <c r="Q32" s="6" t="n">
        <v>1249</v>
      </c>
      <c r="R32" s="6">
        <f>Q32-P32</f>
        <v/>
      </c>
    </row>
    <row r="33">
      <c r="P33" s="2" t="inlineStr">
        <is>
          <t>DAYPLAYERS LABOR</t>
        </is>
      </c>
      <c r="R33" s="8">
        <f>SUM(R26:R32)</f>
        <v/>
      </c>
    </row>
    <row r="35">
      <c r="B35" s="2" t="inlineStr">
        <is>
          <t>STUNTCOORD</t>
        </is>
      </c>
    </row>
    <row r="36">
      <c r="A36" s="5" t="inlineStr">
        <is>
          <t>1406</t>
        </is>
      </c>
      <c r="B36" s="5" t="inlineStr">
        <is>
          <t>Rob King</t>
        </is>
      </c>
      <c r="C36" s="5" t="inlineStr">
        <is>
          <t>STUNTCOORDINATOR</t>
        </is>
      </c>
      <c r="D36" s="5" t="inlineStr"/>
      <c r="E36" s="6" t="n">
        <v>1173</v>
      </c>
      <c r="F36" s="5" t="n"/>
      <c r="G36" s="5" t="n"/>
      <c r="H36" s="5" t="n"/>
      <c r="I36" s="5" t="n"/>
      <c r="J36" s="7">
        <f>IF(AND(N(F36)&gt;0,N(I36)&gt;0),I36-F36-IF(N(G36)&gt;0,0.5,0)-IF(N(H36)&gt;0,0.5,0),0)</f>
        <v/>
      </c>
      <c r="K36" s="5" t="n"/>
      <c r="L36" s="7">
        <f>MIN(J36,8.0)</f>
        <v/>
      </c>
      <c r="M36" s="7">
        <f>MAX(0,MIN(J36,12)-8.0)</f>
        <v/>
      </c>
      <c r="N36" s="7">
        <f>MAX(0,J36-12)</f>
        <v/>
      </c>
      <c r="O36" s="5" t="n"/>
      <c r="P36" s="6">
        <f>E36*(L36+M36*1.5+N36*2+O36*3+N(K36))</f>
        <v/>
      </c>
      <c r="Q36" s="6" t="n">
        <v>1173</v>
      </c>
      <c r="R36" s="6">
        <f>Q36-P36</f>
        <v/>
      </c>
    </row>
    <row r="37">
      <c r="P37" s="2" t="inlineStr">
        <is>
          <t>STUNTCOORD LABOR</t>
        </is>
      </c>
      <c r="R37" s="8">
        <f>SUM(R36:R36)</f>
        <v/>
      </c>
    </row>
    <row r="39">
      <c r="B39" s="2" t="inlineStr">
        <is>
          <t>TEACHER/WELFAREWORKER</t>
        </is>
      </c>
    </row>
    <row r="40">
      <c r="A40" s="5" t="inlineStr">
        <is>
          <t>1412</t>
        </is>
      </c>
      <c r="B40" s="5" t="inlineStr"/>
      <c r="C40" s="5" t="inlineStr">
        <is>
          <t>WELFAREWORKER</t>
        </is>
      </c>
      <c r="D40" s="5" t="inlineStr">
        <is>
          <t>Local884</t>
        </is>
      </c>
      <c r="E40" s="6" t="n">
        <v>25.5</v>
      </c>
      <c r="F40" s="5" t="n"/>
      <c r="G40" s="5" t="n"/>
      <c r="H40" s="5" t="n"/>
      <c r="I40" s="5" t="n"/>
      <c r="J40" s="7">
        <f>IF(AND(N(F40)&gt;0,N(I40)&gt;0),I40-F40-IF(N(G40)&gt;0,0.5,0)-IF(N(H40)&gt;0,0.5,0),0)</f>
        <v/>
      </c>
      <c r="K40" s="5" t="n"/>
      <c r="L40" s="7">
        <f>MIN(J40,8.0)</f>
        <v/>
      </c>
      <c r="M40" s="7">
        <f>MAX(0,MIN(J40,12)-8.0)</f>
        <v/>
      </c>
      <c r="N40" s="7">
        <f>MAX(0,J40-12)</f>
        <v/>
      </c>
      <c r="O40" s="5" t="n"/>
      <c r="P40" s="6">
        <f>E40*(L40+M40*1.5+N40*2+O40*3+N(K40))</f>
        <v/>
      </c>
      <c r="Q40" s="6" t="n">
        <v>280.5</v>
      </c>
      <c r="R40" s="6">
        <f>Q40-P40</f>
        <v/>
      </c>
    </row>
    <row r="41">
      <c r="A41" s="5" t="inlineStr">
        <is>
          <t>1412</t>
        </is>
      </c>
      <c r="B41" s="5" t="inlineStr"/>
      <c r="C41" s="5" t="inlineStr">
        <is>
          <t>ADDLWELFAREWORKER</t>
        </is>
      </c>
      <c r="D41" s="5" t="inlineStr">
        <is>
          <t>Local884</t>
        </is>
      </c>
      <c r="E41" s="6" t="n">
        <v>25.5</v>
      </c>
      <c r="F41" s="5" t="n"/>
      <c r="G41" s="5" t="n"/>
      <c r="H41" s="5" t="n"/>
      <c r="I41" s="5" t="n"/>
      <c r="J41" s="7">
        <f>IF(AND(N(F41)&gt;0,N(I41)&gt;0),I41-F41-IF(N(G41)&gt;0,0.5,0)-IF(N(H41)&gt;0,0.5,0),0)</f>
        <v/>
      </c>
      <c r="K41" s="5" t="n"/>
      <c r="L41" s="7">
        <f>MIN(J41,8.0)</f>
        <v/>
      </c>
      <c r="M41" s="7">
        <f>MAX(0,MIN(J41,12)-8.0)</f>
        <v/>
      </c>
      <c r="N41" s="7">
        <f>MAX(0,J41-12)</f>
        <v/>
      </c>
      <c r="O41" s="5" t="n"/>
      <c r="P41" s="6">
        <f>E41*(L41+M41*1.5+N41*2+O41*3+N(K41))</f>
        <v/>
      </c>
      <c r="Q41" s="6" t="n">
        <v>280.5</v>
      </c>
      <c r="R41" s="6">
        <f>Q41-P41</f>
        <v/>
      </c>
    </row>
    <row r="42">
      <c r="P42" s="2" t="inlineStr">
        <is>
          <t>TEACHER/WELFAREWORKER LABOR</t>
        </is>
      </c>
      <c r="R42" s="8">
        <f>SUM(R40:R41)</f>
        <v/>
      </c>
    </row>
    <row r="44">
      <c r="B44" s="2" t="inlineStr">
        <is>
          <t>CASTINGDIRECTORS</t>
        </is>
      </c>
    </row>
    <row r="45">
      <c r="A45" s="5" t="inlineStr">
        <is>
          <t>1413</t>
        </is>
      </c>
      <c r="B45" s="5" t="inlineStr">
        <is>
          <t>Rich Delia</t>
        </is>
      </c>
      <c r="C45" s="5" t="inlineStr">
        <is>
          <t>CASTINGDIRECTOR</t>
        </is>
      </c>
      <c r="D45" s="5" t="inlineStr"/>
      <c r="E45" s="6" t="n">
        <v>600</v>
      </c>
      <c r="F45" s="5" t="n"/>
      <c r="G45" s="5" t="n"/>
      <c r="H45" s="5" t="n"/>
      <c r="I45" s="5" t="n"/>
      <c r="J45" s="7">
        <f>IF(AND(N(F45)&gt;0,N(I45)&gt;0),I45-F45-IF(N(G45)&gt;0,0.5,0)-IF(N(H45)&gt;0,0.5,0),0)</f>
        <v/>
      </c>
      <c r="K45" s="5" t="n"/>
      <c r="L45" s="7">
        <f>MIN(J45,8.0)</f>
        <v/>
      </c>
      <c r="M45" s="7">
        <f>MAX(0,MIN(J45,12)-8.0)</f>
        <v/>
      </c>
      <c r="N45" s="7">
        <f>MAX(0,J45-12)</f>
        <v/>
      </c>
      <c r="O45" s="5" t="n"/>
      <c r="P45" s="6">
        <f>E45*(L45+M45*1.5+N45*2+O45*3+N(K45))</f>
        <v/>
      </c>
      <c r="Q45" s="5" t="n"/>
      <c r="R45" s="6">
        <f>Q45-P45</f>
        <v/>
      </c>
    </row>
    <row r="46">
      <c r="P46" s="2" t="inlineStr">
        <is>
          <t>CASTINGDIRECTORS LABOR</t>
        </is>
      </c>
      <c r="R46" s="8">
        <f>SUM(R45:R45)</f>
        <v/>
      </c>
    </row>
    <row r="48">
      <c r="B48" s="2" t="inlineStr">
        <is>
          <t>CASTINGASSOCIATES/ASSISTANTS</t>
        </is>
      </c>
    </row>
    <row r="49">
      <c r="A49" s="5" t="inlineStr">
        <is>
          <t>1414</t>
        </is>
      </c>
      <c r="B49" s="5" t="inlineStr">
        <is>
          <t>Adam Richards</t>
        </is>
      </c>
      <c r="C49" s="5" t="inlineStr">
        <is>
          <t>CASTINGASSOCIATE</t>
        </is>
      </c>
      <c r="D49" s="5" t="inlineStr"/>
      <c r="E49" s="6" t="n">
        <v>200</v>
      </c>
      <c r="F49" s="5" t="n"/>
      <c r="G49" s="5" t="n"/>
      <c r="H49" s="5" t="n"/>
      <c r="I49" s="5" t="n"/>
      <c r="J49" s="7">
        <f>IF(AND(N(F49)&gt;0,N(I49)&gt;0),I49-F49-IF(N(G49)&gt;0,0.5,0)-IF(N(H49)&gt;0,0.5,0),0)</f>
        <v/>
      </c>
      <c r="K49" s="5" t="n"/>
      <c r="L49" s="7">
        <f>MIN(J49,8.0)</f>
        <v/>
      </c>
      <c r="M49" s="7">
        <f>MAX(0,MIN(J49,12)-8.0)</f>
        <v/>
      </c>
      <c r="N49" s="7">
        <f>MAX(0,J49-12)</f>
        <v/>
      </c>
      <c r="O49" s="5" t="n"/>
      <c r="P49" s="6">
        <f>E49*(L49+M49*1.5+N49*2+O49*3+N(K49))</f>
        <v/>
      </c>
      <c r="Q49" s="5" t="n"/>
      <c r="R49" s="6">
        <f>Q49-P49</f>
        <v/>
      </c>
    </row>
    <row r="50">
      <c r="P50" s="2" t="inlineStr">
        <is>
          <t>CASTINGASSOCIATES/ASSISTANTS LABOR</t>
        </is>
      </c>
      <c r="R50" s="8">
        <f>SUM(R49:R49)</f>
        <v/>
      </c>
    </row>
    <row r="52">
      <c r="B52" s="2" t="inlineStr">
        <is>
          <t>CASTDRIVERS/VEHICLES</t>
        </is>
      </c>
    </row>
    <row r="53">
      <c r="A53" s="5" t="inlineStr">
        <is>
          <t>1455</t>
        </is>
      </c>
      <c r="B53" s="5" t="inlineStr"/>
      <c r="C53" s="5" t="inlineStr">
        <is>
          <t>CAST 3-RMDRIVER</t>
        </is>
      </c>
      <c r="D53" s="5" t="inlineStr">
        <is>
          <t>Local399</t>
        </is>
      </c>
      <c r="E53" s="6" t="n">
        <v>32.36</v>
      </c>
      <c r="F53" s="5" t="n"/>
      <c r="G53" s="5" t="n"/>
      <c r="H53" s="5" t="n"/>
      <c r="I53" s="5" t="n"/>
      <c r="J53" s="7">
        <f>IF(AND(N(F53)&gt;0,N(I53)&gt;0),I53-F53-IF(N(G53)&gt;0,0.5,0)-IF(N(H53)&gt;0,0.5,0),0)</f>
        <v/>
      </c>
      <c r="K53" s="5" t="n"/>
      <c r="L53" s="7">
        <f>MIN(J53,8.0)</f>
        <v/>
      </c>
      <c r="M53" s="7">
        <f>MAX(0,MIN(J53,12)-8.0)</f>
        <v/>
      </c>
      <c r="N53" s="7">
        <f>MAX(0,J53-12)</f>
        <v/>
      </c>
      <c r="O53" s="5" t="n"/>
      <c r="P53" s="6">
        <f>E53*(L53+M53*1.5+N53*2+O53*3+N(K53))</f>
        <v/>
      </c>
      <c r="Q53" s="6" t="n">
        <v>501.58</v>
      </c>
      <c r="R53" s="6">
        <f>Q53-P53</f>
        <v/>
      </c>
    </row>
    <row r="54">
      <c r="A54" s="5" t="inlineStr">
        <is>
          <t>1455</t>
        </is>
      </c>
      <c r="B54" s="5" t="inlineStr"/>
      <c r="C54" s="5" t="inlineStr">
        <is>
          <t>CASTMINIVANDRIVER</t>
        </is>
      </c>
      <c r="D54" s="5" t="inlineStr">
        <is>
          <t>Local399</t>
        </is>
      </c>
      <c r="E54" s="6" t="n">
        <v>32.36</v>
      </c>
      <c r="F54" s="5" t="n"/>
      <c r="G54" s="5" t="n"/>
      <c r="H54" s="5" t="n"/>
      <c r="I54" s="5" t="n"/>
      <c r="J54" s="7">
        <f>IF(AND(N(F54)&gt;0,N(I54)&gt;0),I54-F54-IF(N(G54)&gt;0,0.5,0)-IF(N(H54)&gt;0,0.5,0),0)</f>
        <v/>
      </c>
      <c r="K54" s="5" t="n"/>
      <c r="L54" s="7">
        <f>MIN(J54,8.0)</f>
        <v/>
      </c>
      <c r="M54" s="7">
        <f>MAX(0,MIN(J54,12)-8.0)</f>
        <v/>
      </c>
      <c r="N54" s="7">
        <f>MAX(0,J54-12)</f>
        <v/>
      </c>
      <c r="O54" s="5" t="n"/>
      <c r="P54" s="6">
        <f>E54*(L54+M54*1.5+N54*2+O54*3+N(K54))</f>
        <v/>
      </c>
      <c r="Q54" s="6" t="n">
        <v>501.58</v>
      </c>
      <c r="R54" s="6">
        <f>Q54-P54</f>
        <v/>
      </c>
    </row>
    <row r="55">
      <c r="P55" s="2" t="inlineStr">
        <is>
          <t>CASTDRIVERS/VEHICLES LABOR</t>
        </is>
      </c>
      <c r="R55" s="8">
        <f>SUM(R53:R54)</f>
        <v/>
      </c>
    </row>
    <row r="57">
      <c r="B57" s="2" t="inlineStr">
        <is>
          <t>PRODUCTIONMANAGER</t>
        </is>
      </c>
    </row>
    <row r="58">
      <c r="A58" s="5" t="inlineStr">
        <is>
          <t>2001</t>
        </is>
      </c>
      <c r="B58" s="5" t="inlineStr">
        <is>
          <t>Carrie Morrow</t>
        </is>
      </c>
      <c r="C58" s="5" t="inlineStr">
        <is>
          <t>UPM</t>
        </is>
      </c>
      <c r="D58" s="5" t="inlineStr">
        <is>
          <t>DGA</t>
        </is>
      </c>
      <c r="E58" s="6" t="n">
        <v>1063.6</v>
      </c>
      <c r="F58" s="5" t="n"/>
      <c r="G58" s="5" t="n"/>
      <c r="H58" s="5" t="n"/>
      <c r="I58" s="5" t="n"/>
      <c r="J58" s="7">
        <f>IF(AND(N(F58)&gt;0,N(I58)&gt;0),I58-F58-IF(N(G58)&gt;0,0.5,0)-IF(N(H58)&gt;0,0.5,0),0)</f>
        <v/>
      </c>
      <c r="K58" s="5" t="n"/>
      <c r="L58" s="7">
        <f>MIN(J58,8.0)</f>
        <v/>
      </c>
      <c r="M58" s="7">
        <f>MAX(0,MIN(J58,12)-8.0)</f>
        <v/>
      </c>
      <c r="N58" s="7">
        <f>MAX(0,J58-12)</f>
        <v/>
      </c>
      <c r="O58" s="5" t="n"/>
      <c r="P58" s="6">
        <f>E58*(L58+M58*1.5+N58*2+O58*3+N(K58))</f>
        <v/>
      </c>
      <c r="Q58" s="6" t="n">
        <v>1063.6</v>
      </c>
      <c r="R58" s="6">
        <f>Q58-P58</f>
        <v/>
      </c>
    </row>
    <row r="59">
      <c r="P59" s="2" t="inlineStr">
        <is>
          <t>PRODUCTIONMANAGER LABOR</t>
        </is>
      </c>
      <c r="R59" s="8">
        <f>SUM(R58:R58)</f>
        <v/>
      </c>
    </row>
    <row r="61">
      <c r="B61" s="2" t="inlineStr">
        <is>
          <t>1STASSTDIRECTOR</t>
        </is>
      </c>
    </row>
    <row r="62">
      <c r="A62" s="5" t="inlineStr">
        <is>
          <t>2002</t>
        </is>
      </c>
      <c r="B62" s="5" t="inlineStr">
        <is>
          <t>James Moran</t>
        </is>
      </c>
      <c r="C62" s="5" t="inlineStr">
        <is>
          <t>1STASSTDIRECTOR</t>
        </is>
      </c>
      <c r="D62" s="5" t="inlineStr">
        <is>
          <t>DGA</t>
        </is>
      </c>
      <c r="E62" s="6" t="n">
        <v>985.6</v>
      </c>
      <c r="F62" s="5" t="n"/>
      <c r="G62" s="5" t="n"/>
      <c r="H62" s="5" t="n"/>
      <c r="I62" s="5" t="n"/>
      <c r="J62" s="7">
        <f>IF(AND(N(F62)&gt;0,N(I62)&gt;0),I62-F62-IF(N(G62)&gt;0,0.5,0)-IF(N(H62)&gt;0,0.5,0),0)</f>
        <v/>
      </c>
      <c r="K62" s="5" t="n"/>
      <c r="L62" s="7">
        <f>MIN(J62,8.0)</f>
        <v/>
      </c>
      <c r="M62" s="7">
        <f>MAX(0,MIN(J62,12)-8.0)</f>
        <v/>
      </c>
      <c r="N62" s="7">
        <f>MAX(0,J62-12)</f>
        <v/>
      </c>
      <c r="O62" s="5" t="n"/>
      <c r="P62" s="6">
        <f>E62*(L62+M62*1.5+N62*2+O62*3+N(K62))</f>
        <v/>
      </c>
      <c r="Q62" s="6" t="n">
        <v>985.6</v>
      </c>
      <c r="R62" s="6">
        <f>Q62-P62</f>
        <v/>
      </c>
    </row>
    <row r="63">
      <c r="P63" s="2" t="inlineStr">
        <is>
          <t>1STASSTDIRECTOR LABOR</t>
        </is>
      </c>
      <c r="R63" s="8">
        <f>SUM(R62:R62)</f>
        <v/>
      </c>
    </row>
    <row r="65">
      <c r="B65" s="2" t="inlineStr">
        <is>
          <t>2NDASSTDIRECTORS</t>
        </is>
      </c>
    </row>
    <row r="66">
      <c r="A66" s="5" t="inlineStr">
        <is>
          <t>2003</t>
        </is>
      </c>
      <c r="B66" s="5" t="inlineStr">
        <is>
          <t>Mark Newland</t>
        </is>
      </c>
      <c r="C66" s="5" t="inlineStr">
        <is>
          <t>KEY 2NDA. D.</t>
        </is>
      </c>
      <c r="D66" s="5" t="inlineStr">
        <is>
          <t>DGA</t>
        </is>
      </c>
      <c r="E66" s="6" t="n">
        <v>674.6</v>
      </c>
      <c r="F66" s="5" t="n"/>
      <c r="G66" s="5" t="n"/>
      <c r="H66" s="5" t="n"/>
      <c r="I66" s="5" t="n"/>
      <c r="J66" s="7">
        <f>IF(AND(N(F66)&gt;0,N(I66)&gt;0),I66-F66-IF(N(G66)&gt;0,0.5,0)-IF(N(H66)&gt;0,0.5,0),0)</f>
        <v/>
      </c>
      <c r="K66" s="5" t="n"/>
      <c r="L66" s="7">
        <f>MIN(J66,8.0)</f>
        <v/>
      </c>
      <c r="M66" s="7">
        <f>MAX(0,MIN(J66,12)-8.0)</f>
        <v/>
      </c>
      <c r="N66" s="7">
        <f>MAX(0,J66-12)</f>
        <v/>
      </c>
      <c r="O66" s="5" t="n"/>
      <c r="P66" s="6">
        <f>E66*(L66+M66*1.5+N66*2+O66*3+N(K66))</f>
        <v/>
      </c>
      <c r="Q66" s="6" t="n">
        <v>674.6</v>
      </c>
      <c r="R66" s="6">
        <f>Q66-P66</f>
        <v/>
      </c>
    </row>
    <row r="67">
      <c r="A67" s="5" t="inlineStr">
        <is>
          <t>2003</t>
        </is>
      </c>
      <c r="B67" s="5" t="inlineStr"/>
      <c r="C67" s="5" t="inlineStr">
        <is>
          <t>2ND 2NDA. D.</t>
        </is>
      </c>
      <c r="D67" s="5" t="inlineStr">
        <is>
          <t>DGA</t>
        </is>
      </c>
      <c r="E67" s="6" t="n">
        <v>526</v>
      </c>
      <c r="F67" s="5" t="n"/>
      <c r="G67" s="5" t="n"/>
      <c r="H67" s="5" t="n"/>
      <c r="I67" s="5" t="n"/>
      <c r="J67" s="7">
        <f>IF(AND(N(F67)&gt;0,N(I67)&gt;0),I67-F67-IF(N(G67)&gt;0,0.5,0)-IF(N(H67)&gt;0,0.5,0),0)</f>
        <v/>
      </c>
      <c r="K67" s="5" t="n"/>
      <c r="L67" s="7">
        <f>MIN(J67,8.0)</f>
        <v/>
      </c>
      <c r="M67" s="7">
        <f>MAX(0,MIN(J67,12)-8.0)</f>
        <v/>
      </c>
      <c r="N67" s="7">
        <f>MAX(0,J67-12)</f>
        <v/>
      </c>
      <c r="O67" s="5" t="n"/>
      <c r="P67" s="6">
        <f>E67*(L67+M67*1.5+N67*2+O67*3+N(K67))</f>
        <v/>
      </c>
      <c r="Q67" s="6" t="n">
        <v>526</v>
      </c>
      <c r="R67" s="6">
        <f>Q67-P67</f>
        <v/>
      </c>
    </row>
    <row r="68">
      <c r="P68" s="2" t="inlineStr">
        <is>
          <t>2NDASSTDIRECTORS LABOR</t>
        </is>
      </c>
      <c r="R68" s="8">
        <f>SUM(R66:R67)</f>
        <v/>
      </c>
    </row>
    <row r="70">
      <c r="B70" s="2" t="inlineStr">
        <is>
          <t>SCRIPTSUPERVISOR</t>
        </is>
      </c>
    </row>
    <row r="71">
      <c r="A71" s="5" t="inlineStr">
        <is>
          <t>2005</t>
        </is>
      </c>
      <c r="B71" s="5" t="inlineStr">
        <is>
          <t>Renata Amador</t>
        </is>
      </c>
      <c r="C71" s="5" t="inlineStr">
        <is>
          <t>SCRIPTSUPERVISOR</t>
        </is>
      </c>
      <c r="D71" s="5" t="inlineStr">
        <is>
          <t>Local871</t>
        </is>
      </c>
      <c r="E71" s="6" t="n">
        <v>25.5</v>
      </c>
      <c r="F71" s="5" t="n"/>
      <c r="G71" s="5" t="n"/>
      <c r="H71" s="5" t="n"/>
      <c r="I71" s="5" t="n"/>
      <c r="J71" s="7">
        <f>IF(AND(N(F71)&gt;0,N(I71)&gt;0),I71-F71-IF(N(G71)&gt;0,0.5,0)-IF(N(H71)&gt;0,0.5,0),0)</f>
        <v/>
      </c>
      <c r="K71" s="5" t="n"/>
      <c r="L71" s="7">
        <f>MIN(J71,10.0)</f>
        <v/>
      </c>
      <c r="M71" s="7">
        <f>MAX(0,MIN(J71,12)-10.0)</f>
        <v/>
      </c>
      <c r="N71" s="7">
        <f>MAX(0,J71-12)</f>
        <v/>
      </c>
      <c r="O71" s="5" t="n"/>
      <c r="P71" s="6">
        <f>E71*(L71+M71*1.5+N71*2+O71*3+N(K71))</f>
        <v/>
      </c>
      <c r="Q71" s="6" t="n">
        <v>439.87</v>
      </c>
      <c r="R71" s="6">
        <f>Q71-P71</f>
        <v/>
      </c>
    </row>
    <row r="72">
      <c r="P72" s="2" t="inlineStr">
        <is>
          <t>SCRIPTSUPERVISOR LABOR</t>
        </is>
      </c>
      <c r="R72" s="8">
        <f>SUM(R71:R71)</f>
        <v/>
      </c>
    </row>
    <row r="74">
      <c r="B74" s="2" t="inlineStr">
        <is>
          <t>LOCATIONMANAGERS</t>
        </is>
      </c>
    </row>
    <row r="75">
      <c r="A75" s="5" t="inlineStr">
        <is>
          <t>2007</t>
        </is>
      </c>
      <c r="B75" s="5" t="inlineStr">
        <is>
          <t>Stacey Brashear-Rodriquez</t>
        </is>
      </c>
      <c r="C75" s="5" t="inlineStr">
        <is>
          <t>LOCATIONMANAGER</t>
        </is>
      </c>
      <c r="D75" s="5" t="inlineStr">
        <is>
          <t>Local399</t>
        </is>
      </c>
      <c r="E75" s="6" t="n">
        <v>557.6</v>
      </c>
      <c r="F75" s="5" t="n"/>
      <c r="G75" s="5" t="n"/>
      <c r="H75" s="5" t="n"/>
      <c r="I75" s="5" t="n"/>
      <c r="J75" s="7">
        <f>IF(AND(N(F75)&gt;0,N(I75)&gt;0),I75-F75-IF(N(G75)&gt;0,0.5,0)-IF(N(H75)&gt;0,0.5,0),0)</f>
        <v/>
      </c>
      <c r="K75" s="5" t="n"/>
      <c r="L75" s="7">
        <f>MIN(J75,8.0)</f>
        <v/>
      </c>
      <c r="M75" s="7">
        <f>MAX(0,MIN(J75,12)-8.0)</f>
        <v/>
      </c>
      <c r="N75" s="7">
        <f>MAX(0,J75-12)</f>
        <v/>
      </c>
      <c r="O75" s="5" t="n"/>
      <c r="P75" s="6">
        <f>E75*(L75+M75*1.5+N75*2+O75*3+N(K75))</f>
        <v/>
      </c>
      <c r="Q75" s="6" t="n">
        <v>557.6</v>
      </c>
      <c r="R75" s="6">
        <f>Q75-P75</f>
        <v/>
      </c>
    </row>
    <row r="76">
      <c r="P76" s="2" t="inlineStr">
        <is>
          <t>LOCATIONMANAGERS LABOR</t>
        </is>
      </c>
      <c r="R76" s="8">
        <f>SUM(R75:R75)</f>
        <v/>
      </c>
    </row>
    <row r="78">
      <c r="B78" s="2" t="inlineStr">
        <is>
          <t>ASSISTANTLOCATIONMANAGERS</t>
        </is>
      </c>
    </row>
    <row r="79">
      <c r="A79" s="5" t="inlineStr">
        <is>
          <t>2008</t>
        </is>
      </c>
      <c r="B79" s="5" t="inlineStr">
        <is>
          <t>Rich Heichel</t>
        </is>
      </c>
      <c r="C79" s="5" t="inlineStr">
        <is>
          <t>KEYASSTLOCATIONMGR#1</t>
        </is>
      </c>
      <c r="D79" s="5" t="inlineStr">
        <is>
          <t>Local399</t>
        </is>
      </c>
      <c r="E79" s="6" t="n">
        <v>334.2</v>
      </c>
      <c r="F79" s="5" t="n"/>
      <c r="G79" s="5" t="n"/>
      <c r="H79" s="5" t="n"/>
      <c r="I79" s="5" t="n"/>
      <c r="J79" s="7">
        <f>IF(AND(N(F79)&gt;0,N(I79)&gt;0),I79-F79-IF(N(G79)&gt;0,0.5,0)-IF(N(H79)&gt;0,0.5,0),0)</f>
        <v/>
      </c>
      <c r="K79" s="5" t="n"/>
      <c r="L79" s="7">
        <f>MIN(J79,8.0)</f>
        <v/>
      </c>
      <c r="M79" s="7">
        <f>MAX(0,MIN(J79,12)-8.0)</f>
        <v/>
      </c>
      <c r="N79" s="7">
        <f>MAX(0,J79-12)</f>
        <v/>
      </c>
      <c r="O79" s="5" t="n"/>
      <c r="P79" s="6">
        <f>E79*(L79+M79*1.5+N79*2+O79*3+N(K79))</f>
        <v/>
      </c>
      <c r="Q79" s="6" t="n">
        <v>334.2</v>
      </c>
      <c r="R79" s="6">
        <f>Q79-P79</f>
        <v/>
      </c>
    </row>
    <row r="80">
      <c r="A80" s="5" t="inlineStr">
        <is>
          <t>2008</t>
        </is>
      </c>
      <c r="B80" s="5" t="inlineStr">
        <is>
          <t>Jason Mc Cauley</t>
        </is>
      </c>
      <c r="C80" s="5" t="inlineStr">
        <is>
          <t>LOCATIONASST</t>
        </is>
      </c>
      <c r="D80" s="5" t="inlineStr">
        <is>
          <t>Local399</t>
        </is>
      </c>
      <c r="E80" s="6" t="n">
        <v>229</v>
      </c>
      <c r="F80" s="5" t="n"/>
      <c r="G80" s="5" t="n"/>
      <c r="H80" s="5" t="n"/>
      <c r="I80" s="5" t="n"/>
      <c r="J80" s="7">
        <f>IF(AND(N(F80)&gt;0,N(I80)&gt;0),I80-F80-IF(N(G80)&gt;0,0.5,0)-IF(N(H80)&gt;0,0.5,0),0)</f>
        <v/>
      </c>
      <c r="K80" s="5" t="n"/>
      <c r="L80" s="7">
        <f>MIN(J80,8.0)</f>
        <v/>
      </c>
      <c r="M80" s="7">
        <f>MAX(0,MIN(J80,12)-8.0)</f>
        <v/>
      </c>
      <c r="N80" s="7">
        <f>MAX(0,J80-12)</f>
        <v/>
      </c>
      <c r="O80" s="5" t="n"/>
      <c r="P80" s="6">
        <f>E80*(L80+M80*1.5+N80*2+O80*3+N(K80))</f>
        <v/>
      </c>
      <c r="Q80" s="6" t="n">
        <v>229</v>
      </c>
      <c r="R80" s="6">
        <f>Q80-P80</f>
        <v/>
      </c>
    </row>
    <row r="81">
      <c r="P81" s="2" t="inlineStr">
        <is>
          <t>ASSISTANTLOCATIONMANAGERS LABOR</t>
        </is>
      </c>
      <c r="R81" s="8">
        <f>SUM(R79:R80)</f>
        <v/>
      </c>
    </row>
    <row r="83">
      <c r="B83" s="2" t="inlineStr">
        <is>
          <t>PRODUCTIONCOORDINATOR</t>
        </is>
      </c>
    </row>
    <row r="84">
      <c r="A84" s="5" t="inlineStr">
        <is>
          <t>2009</t>
        </is>
      </c>
      <c r="B84" s="5" t="inlineStr">
        <is>
          <t>Ali Griffith</t>
        </is>
      </c>
      <c r="C84" s="5" t="inlineStr">
        <is>
          <t>PRODUCTIONOFCCOORD</t>
        </is>
      </c>
      <c r="D84" s="5" t="inlineStr"/>
      <c r="E84" s="6" t="n">
        <v>360</v>
      </c>
      <c r="F84" s="5" t="n"/>
      <c r="G84" s="5" t="n"/>
      <c r="H84" s="5" t="n"/>
      <c r="I84" s="5" t="n"/>
      <c r="J84" s="7">
        <f>IF(AND(N(F84)&gt;0,N(I84)&gt;0),I84-F84-IF(N(G84)&gt;0,0.5,0)-IF(N(H84)&gt;0,0.5,0),0)</f>
        <v/>
      </c>
      <c r="K84" s="5" t="n"/>
      <c r="L84" s="7">
        <f>MIN(J84,8.0)</f>
        <v/>
      </c>
      <c r="M84" s="7">
        <f>MAX(0,MIN(J84,12)-8.0)</f>
        <v/>
      </c>
      <c r="N84" s="7">
        <f>MAX(0,J84-12)</f>
        <v/>
      </c>
      <c r="O84" s="5" t="n"/>
      <c r="P84" s="6">
        <f>E84*(L84+M84*1.5+N84*2+O84*3+N(K84))</f>
        <v/>
      </c>
      <c r="Q84" s="6" t="n">
        <v>360</v>
      </c>
      <c r="R84" s="6">
        <f>Q84-P84</f>
        <v/>
      </c>
    </row>
    <row r="85">
      <c r="P85" s="2" t="inlineStr">
        <is>
          <t>PRODUCTIONCOORDINATOR LABOR</t>
        </is>
      </c>
      <c r="R85" s="8">
        <f>SUM(R84:R84)</f>
        <v/>
      </c>
    </row>
    <row r="87">
      <c r="B87" s="2" t="inlineStr">
        <is>
          <t>ASSTPRODUCTIONCOORDINATOR</t>
        </is>
      </c>
    </row>
    <row r="88">
      <c r="A88" s="5" t="inlineStr">
        <is>
          <t>2010</t>
        </is>
      </c>
      <c r="B88" s="5" t="inlineStr">
        <is>
          <t>Holly Dellocono</t>
        </is>
      </c>
      <c r="C88" s="5" t="inlineStr">
        <is>
          <t>APOC</t>
        </is>
      </c>
      <c r="D88" s="5" t="inlineStr">
        <is>
          <t>Local871</t>
        </is>
      </c>
      <c r="E88" s="6" t="n">
        <v>20.57</v>
      </c>
      <c r="F88" s="5" t="n"/>
      <c r="G88" s="5" t="n"/>
      <c r="H88" s="5" t="n"/>
      <c r="I88" s="5" t="n"/>
      <c r="J88" s="7">
        <f>IF(AND(N(F88)&gt;0,N(I88)&gt;0),I88-F88-IF(N(G88)&gt;0,0.5,0)-IF(N(H88)&gt;0,0.5,0),0)</f>
        <v/>
      </c>
      <c r="K88" s="5" t="n"/>
      <c r="L88" s="7">
        <f>MIN(J88,10.0)</f>
        <v/>
      </c>
      <c r="M88" s="7">
        <f>MAX(0,MIN(J88,12)-10.0)</f>
        <v/>
      </c>
      <c r="N88" s="7">
        <f>MAX(0,J88-12)</f>
        <v/>
      </c>
      <c r="O88" s="5" t="n"/>
      <c r="P88" s="6">
        <f>E88*(L88+M88*1.5+N88*2+O88*3+N(K88))</f>
        <v/>
      </c>
      <c r="Q88" s="6" t="n">
        <v>287.98</v>
      </c>
      <c r="R88" s="6">
        <f>Q88-P88</f>
        <v/>
      </c>
    </row>
    <row r="89">
      <c r="P89" s="2" t="inlineStr">
        <is>
          <t>ASSTPRODUCTIONCOORDINATOR LABOR</t>
        </is>
      </c>
      <c r="R89" s="8">
        <f>SUM(R88:R88)</f>
        <v/>
      </c>
    </row>
    <row r="91">
      <c r="B91" s="2" t="inlineStr">
        <is>
          <t>OFFICESTAFFASSISTANTS</t>
        </is>
      </c>
    </row>
    <row r="92">
      <c r="A92" s="5" t="inlineStr">
        <is>
          <t>2011</t>
        </is>
      </c>
      <c r="B92" s="5" t="inlineStr">
        <is>
          <t>John Humber</t>
        </is>
      </c>
      <c r="C92" s="5" t="inlineStr">
        <is>
          <t>OFFICEPA#1</t>
        </is>
      </c>
      <c r="D92" s="5" t="inlineStr"/>
      <c r="E92" s="6" t="n">
        <v>22.5</v>
      </c>
      <c r="F92" s="5" t="n"/>
      <c r="G92" s="5" t="n"/>
      <c r="H92" s="5" t="n"/>
      <c r="I92" s="5" t="n"/>
      <c r="J92" s="7">
        <f>IF(AND(N(F92)&gt;0,N(I92)&gt;0),I92-F92-IF(N(G92)&gt;0,0.5,0)-IF(N(H92)&gt;0,0.5,0),0)</f>
        <v/>
      </c>
      <c r="K92" s="5" t="n"/>
      <c r="L92" s="7">
        <f>MIN(J92,8.0)</f>
        <v/>
      </c>
      <c r="M92" s="7">
        <f>MAX(0,MIN(J92,12)-8.0)</f>
        <v/>
      </c>
      <c r="N92" s="7">
        <f>MAX(0,J92-12)</f>
        <v/>
      </c>
      <c r="O92" s="5" t="n"/>
      <c r="P92" s="6">
        <f>E92*(L92+M92*1.5+N92*2+O92*3+N(K92))</f>
        <v/>
      </c>
      <c r="Q92" s="6" t="n">
        <v>168</v>
      </c>
      <c r="R92" s="6">
        <f>Q92-P92</f>
        <v/>
      </c>
    </row>
    <row r="93">
      <c r="A93" s="5" t="inlineStr">
        <is>
          <t>2011</t>
        </is>
      </c>
      <c r="B93" s="5" t="inlineStr">
        <is>
          <t>Sarah Semenas</t>
        </is>
      </c>
      <c r="C93" s="5" t="inlineStr">
        <is>
          <t>OFFICEPA#2</t>
        </is>
      </c>
      <c r="D93" s="5" t="inlineStr"/>
      <c r="E93" s="6" t="n">
        <v>22.5</v>
      </c>
      <c r="F93" s="5" t="n"/>
      <c r="G93" s="5" t="n"/>
      <c r="H93" s="5" t="n"/>
      <c r="I93" s="5" t="n"/>
      <c r="J93" s="7">
        <f>IF(AND(N(F93)&gt;0,N(I93)&gt;0),I93-F93-IF(N(G93)&gt;0,0.5,0)-IF(N(H93)&gt;0,0.5,0),0)</f>
        <v/>
      </c>
      <c r="K93" s="5" t="n"/>
      <c r="L93" s="7">
        <f>MIN(J93,8.0)</f>
        <v/>
      </c>
      <c r="M93" s="7">
        <f>MAX(0,MIN(J93,12)-8.0)</f>
        <v/>
      </c>
      <c r="N93" s="7">
        <f>MAX(0,J93-12)</f>
        <v/>
      </c>
      <c r="O93" s="5" t="n"/>
      <c r="P93" s="6">
        <f>E93*(L93+M93*1.5+N93*2+O93*3+N(K93))</f>
        <v/>
      </c>
      <c r="Q93" s="6" t="n">
        <v>168</v>
      </c>
      <c r="R93" s="6">
        <f>Q93-P93</f>
        <v/>
      </c>
    </row>
    <row r="94">
      <c r="P94" s="2" t="inlineStr">
        <is>
          <t>OFFICESTAFFASSISTANTS LABOR</t>
        </is>
      </c>
      <c r="R94" s="8">
        <f>SUM(R92:R93)</f>
        <v/>
      </c>
    </row>
    <row r="96">
      <c r="B96" s="2" t="inlineStr">
        <is>
          <t>SETSTAFFASSISTANTS</t>
        </is>
      </c>
    </row>
    <row r="97">
      <c r="A97" s="5" t="inlineStr">
        <is>
          <t>2012</t>
        </is>
      </c>
      <c r="B97" s="5" t="inlineStr">
        <is>
          <t>Paula Henry</t>
        </is>
      </c>
      <c r="C97" s="5" t="inlineStr">
        <is>
          <t>KEYSETPA</t>
        </is>
      </c>
      <c r="D97" s="5" t="inlineStr"/>
      <c r="E97" s="6" t="n">
        <v>12</v>
      </c>
      <c r="F97" s="5" t="n"/>
      <c r="G97" s="5" t="n"/>
      <c r="H97" s="5" t="n"/>
      <c r="I97" s="5" t="n"/>
      <c r="J97" s="7">
        <f>IF(AND(N(F97)&gt;0,N(I97)&gt;0),I97-F97-IF(N(G97)&gt;0,0.5,0)-IF(N(H97)&gt;0,0.5,0),0)</f>
        <v/>
      </c>
      <c r="K97" s="5" t="n"/>
      <c r="L97" s="7">
        <f>MIN(J97,8.0)</f>
        <v/>
      </c>
      <c r="M97" s="7">
        <f>MAX(0,MIN(J97,12)-8.0)</f>
        <v/>
      </c>
      <c r="N97" s="7">
        <f>MAX(0,J97-12)</f>
        <v/>
      </c>
      <c r="O97" s="5" t="n"/>
      <c r="P97" s="6">
        <f>E97*(L97+M97*1.5+N97*2+O97*3+N(K97))</f>
        <v/>
      </c>
      <c r="Q97" s="6" t="n">
        <v>216</v>
      </c>
      <c r="R97" s="6">
        <f>Q97-P97</f>
        <v/>
      </c>
    </row>
    <row r="98">
      <c r="A98" s="5" t="inlineStr">
        <is>
          <t>2012</t>
        </is>
      </c>
      <c r="B98" s="5" t="inlineStr"/>
      <c r="C98" s="5" t="inlineStr">
        <is>
          <t>SETPA#2</t>
        </is>
      </c>
      <c r="D98" s="5" t="inlineStr"/>
      <c r="E98" s="6" t="n">
        <v>12</v>
      </c>
      <c r="F98" s="5" t="n"/>
      <c r="G98" s="5" t="n"/>
      <c r="H98" s="5" t="n"/>
      <c r="I98" s="5" t="n"/>
      <c r="J98" s="7">
        <f>IF(AND(N(F98)&gt;0,N(I98)&gt;0),I98-F98-IF(N(G98)&gt;0,0.5,0)-IF(N(H98)&gt;0,0.5,0),0)</f>
        <v/>
      </c>
      <c r="K98" s="5" t="n"/>
      <c r="L98" s="7">
        <f>MIN(J98,8.0)</f>
        <v/>
      </c>
      <c r="M98" s="7">
        <f>MAX(0,MIN(J98,12)-8.0)</f>
        <v/>
      </c>
      <c r="N98" s="7">
        <f>MAX(0,J98-12)</f>
        <v/>
      </c>
      <c r="O98" s="5" t="n"/>
      <c r="P98" s="6">
        <f>E98*(L98+M98*1.5+N98*2+O98*3+N(K98))</f>
        <v/>
      </c>
      <c r="Q98" s="6" t="n">
        <v>216</v>
      </c>
      <c r="R98" s="6">
        <f>Q98-P98</f>
        <v/>
      </c>
    </row>
    <row r="99">
      <c r="A99" s="5" t="inlineStr">
        <is>
          <t>2012</t>
        </is>
      </c>
      <c r="B99" s="5" t="inlineStr"/>
      <c r="C99" s="5" t="inlineStr">
        <is>
          <t>SETPA#3</t>
        </is>
      </c>
      <c r="D99" s="5" t="inlineStr"/>
      <c r="E99" s="6" t="n">
        <v>12</v>
      </c>
      <c r="F99" s="5" t="n"/>
      <c r="G99" s="5" t="n"/>
      <c r="H99" s="5" t="n"/>
      <c r="I99" s="5" t="n"/>
      <c r="J99" s="7">
        <f>IF(AND(N(F99)&gt;0,N(I99)&gt;0),I99-F99-IF(N(G99)&gt;0,0.5,0)-IF(N(H99)&gt;0,0.5,0),0)</f>
        <v/>
      </c>
      <c r="K99" s="5" t="n"/>
      <c r="L99" s="7">
        <f>MIN(J99,8.0)</f>
        <v/>
      </c>
      <c r="M99" s="7">
        <f>MAX(0,MIN(J99,12)-8.0)</f>
        <v/>
      </c>
      <c r="N99" s="7">
        <f>MAX(0,J99-12)</f>
        <v/>
      </c>
      <c r="O99" s="5" t="n"/>
      <c r="P99" s="6">
        <f>E99*(L99+M99*1.5+N99*2+O99*3+N(K99))</f>
        <v/>
      </c>
      <c r="Q99" s="6" t="n">
        <v>216</v>
      </c>
      <c r="R99" s="6">
        <f>Q99-P99</f>
        <v/>
      </c>
    </row>
    <row r="100">
      <c r="A100" s="5" t="inlineStr">
        <is>
          <t>2012</t>
        </is>
      </c>
      <c r="B100" s="5" t="inlineStr"/>
      <c r="C100" s="5" t="inlineStr">
        <is>
          <t>SETPA#4</t>
        </is>
      </c>
      <c r="D100" s="5" t="inlineStr"/>
      <c r="E100" s="6" t="n">
        <v>12</v>
      </c>
      <c r="F100" s="5" t="n"/>
      <c r="G100" s="5" t="n"/>
      <c r="H100" s="5" t="n"/>
      <c r="I100" s="5" t="n"/>
      <c r="J100" s="7">
        <f>IF(AND(N(F100)&gt;0,N(I100)&gt;0),I100-F100-IF(N(G100)&gt;0,0.5,0)-IF(N(H100)&gt;0,0.5,0),0)</f>
        <v/>
      </c>
      <c r="K100" s="5" t="n"/>
      <c r="L100" s="7">
        <f>MIN(J100,8.0)</f>
        <v/>
      </c>
      <c r="M100" s="7">
        <f>MAX(0,MIN(J100,12)-8.0)</f>
        <v/>
      </c>
      <c r="N100" s="7">
        <f>MAX(0,J100-12)</f>
        <v/>
      </c>
      <c r="O100" s="5" t="n"/>
      <c r="P100" s="6">
        <f>E100*(L100+M100*1.5+N100*2+O100*3+N(K100))</f>
        <v/>
      </c>
      <c r="Q100" s="6" t="n">
        <v>216</v>
      </c>
      <c r="R100" s="6">
        <f>Q100-P100</f>
        <v/>
      </c>
    </row>
    <row r="101">
      <c r="P101" s="2" t="inlineStr">
        <is>
          <t>SETSTAFFASSISTANTS LABOR</t>
        </is>
      </c>
      <c r="R101" s="8">
        <f>SUM(R97:R100)</f>
        <v/>
      </c>
    </row>
    <row r="103">
      <c r="B103" s="2" t="inlineStr">
        <is>
          <t>PRODUCTIONACCOUNTANT</t>
        </is>
      </c>
    </row>
    <row r="104">
      <c r="A104" s="5" t="inlineStr">
        <is>
          <t>2013</t>
        </is>
      </c>
      <c r="B104" s="5" t="inlineStr">
        <is>
          <t>Joel Tokarsky</t>
        </is>
      </c>
      <c r="C104" s="5" t="inlineStr">
        <is>
          <t>PRODUCTIONACCOUNTANT</t>
        </is>
      </c>
      <c r="D104" s="5" t="inlineStr">
        <is>
          <t>Local871</t>
        </is>
      </c>
      <c r="E104" s="6" t="n">
        <v>740</v>
      </c>
      <c r="F104" s="5" t="n"/>
      <c r="G104" s="5" t="n"/>
      <c r="H104" s="5" t="n"/>
      <c r="I104" s="5" t="n"/>
      <c r="J104" s="7">
        <f>IF(AND(N(F104)&gt;0,N(I104)&gt;0),I104-F104-IF(N(G104)&gt;0,0.5,0)-IF(N(H104)&gt;0,0.5,0),0)</f>
        <v/>
      </c>
      <c r="K104" s="5" t="n"/>
      <c r="L104" s="7">
        <f>MIN(J104,10.0)</f>
        <v/>
      </c>
      <c r="M104" s="7">
        <f>MAX(0,MIN(J104,12)-10.0)</f>
        <v/>
      </c>
      <c r="N104" s="7">
        <f>MAX(0,J104-12)</f>
        <v/>
      </c>
      <c r="O104" s="5" t="n"/>
      <c r="P104" s="6">
        <f>E104*(L104+M104*1.5+N104*2+O104*3+N(K104))</f>
        <v/>
      </c>
      <c r="Q104" s="6" t="n">
        <v>740</v>
      </c>
      <c r="R104" s="6">
        <f>Q104-P104</f>
        <v/>
      </c>
    </row>
    <row r="105">
      <c r="P105" s="2" t="inlineStr">
        <is>
          <t>PRODUCTIONACCOUNTANT LABOR</t>
        </is>
      </c>
      <c r="R105" s="8">
        <f>SUM(R104:R104)</f>
        <v/>
      </c>
    </row>
    <row r="107">
      <c r="B107" s="2" t="inlineStr">
        <is>
          <t>ASSTPRODUCTIONACCOUNTANTS</t>
        </is>
      </c>
    </row>
    <row r="108">
      <c r="A108" s="5" t="inlineStr">
        <is>
          <t>2014</t>
        </is>
      </c>
      <c r="B108" s="5" t="inlineStr">
        <is>
          <t>Co-Co Aiello</t>
        </is>
      </c>
      <c r="C108" s="5" t="inlineStr">
        <is>
          <t>1STASSTACCT</t>
        </is>
      </c>
      <c r="D108" s="5" t="inlineStr">
        <is>
          <t>Local871</t>
        </is>
      </c>
      <c r="E108" s="6" t="n">
        <v>480</v>
      </c>
      <c r="F108" s="5" t="n"/>
      <c r="G108" s="5" t="n"/>
      <c r="H108" s="5" t="n"/>
      <c r="I108" s="5" t="n"/>
      <c r="J108" s="7">
        <f>IF(AND(N(F108)&gt;0,N(I108)&gt;0),I108-F108-IF(N(G108)&gt;0,0.5,0)-IF(N(H108)&gt;0,0.5,0),0)</f>
        <v/>
      </c>
      <c r="K108" s="5" t="n"/>
      <c r="L108" s="7">
        <f>MIN(J108,10.0)</f>
        <v/>
      </c>
      <c r="M108" s="7">
        <f>MAX(0,MIN(J108,12)-10.0)</f>
        <v/>
      </c>
      <c r="N108" s="7">
        <f>MAX(0,J108-12)</f>
        <v/>
      </c>
      <c r="O108" s="5" t="n"/>
      <c r="P108" s="6">
        <f>E108*(L108+M108*1.5+N108*2+O108*3+N(K108))</f>
        <v/>
      </c>
      <c r="Q108" s="6" t="n">
        <v>480</v>
      </c>
      <c r="R108" s="6">
        <f>Q108-P108</f>
        <v/>
      </c>
    </row>
    <row r="109">
      <c r="A109" s="5" t="inlineStr">
        <is>
          <t>2014</t>
        </is>
      </c>
      <c r="B109" s="5" t="inlineStr">
        <is>
          <t>Steve Goldstein</t>
        </is>
      </c>
      <c r="C109" s="5" t="inlineStr">
        <is>
          <t>PAYROLLACCT</t>
        </is>
      </c>
      <c r="D109" s="5" t="inlineStr">
        <is>
          <t>Local871</t>
        </is>
      </c>
      <c r="E109" s="6" t="n">
        <v>420</v>
      </c>
      <c r="F109" s="5" t="n"/>
      <c r="G109" s="5" t="n"/>
      <c r="H109" s="5" t="n"/>
      <c r="I109" s="5" t="n"/>
      <c r="J109" s="7">
        <f>IF(AND(N(F109)&gt;0,N(I109)&gt;0),I109-F109-IF(N(G109)&gt;0,0.5,0)-IF(N(H109)&gt;0,0.5,0),0)</f>
        <v/>
      </c>
      <c r="K109" s="5" t="n"/>
      <c r="L109" s="7">
        <f>MIN(J109,10.0)</f>
        <v/>
      </c>
      <c r="M109" s="7">
        <f>MAX(0,MIN(J109,12)-10.0)</f>
        <v/>
      </c>
      <c r="N109" s="7">
        <f>MAX(0,J109-12)</f>
        <v/>
      </c>
      <c r="O109" s="5" t="n"/>
      <c r="P109" s="6">
        <f>E109*(L109+M109*1.5+N109*2+O109*3+N(K109))</f>
        <v/>
      </c>
      <c r="Q109" s="6" t="n">
        <v>420</v>
      </c>
      <c r="R109" s="6">
        <f>Q109-P109</f>
        <v/>
      </c>
    </row>
    <row r="110">
      <c r="P110" s="2" t="inlineStr">
        <is>
          <t>ASSTPRODUCTIONACCOUNTANTS LABOR</t>
        </is>
      </c>
      <c r="R110" s="8">
        <f>SUM(R108:R109)</f>
        <v/>
      </c>
    </row>
    <row r="112">
      <c r="B112" s="2" t="inlineStr">
        <is>
          <t>CONSTRUCTIONCOORDINATOR</t>
        </is>
      </c>
    </row>
    <row r="113">
      <c r="A113" s="5" t="inlineStr">
        <is>
          <t>2302</t>
        </is>
      </c>
      <c r="B113" s="5" t="inlineStr">
        <is>
          <t>Drew Rebelin</t>
        </is>
      </c>
      <c r="C113" s="5" t="inlineStr">
        <is>
          <t>CONSTCOORDINATOR</t>
        </is>
      </c>
      <c r="D113" s="5" t="inlineStr">
        <is>
          <t>Local44</t>
        </is>
      </c>
      <c r="E113" s="6" t="n">
        <v>400</v>
      </c>
      <c r="F113" s="5" t="n"/>
      <c r="G113" s="5" t="n"/>
      <c r="H113" s="5" t="n"/>
      <c r="I113" s="5" t="n"/>
      <c r="J113" s="7">
        <f>IF(AND(N(F113)&gt;0,N(I113)&gt;0),I113-F113-IF(N(G113)&gt;0,0.5,0)-IF(N(H113)&gt;0,0.5,0),0)</f>
        <v/>
      </c>
      <c r="K113" s="5" t="n"/>
      <c r="L113" s="7">
        <f>MIN(J113,10.0)</f>
        <v/>
      </c>
      <c r="M113" s="7">
        <f>MAX(0,MIN(J113,12)-10.0)</f>
        <v/>
      </c>
      <c r="N113" s="7">
        <f>MAX(0,J113-12)</f>
        <v/>
      </c>
      <c r="O113" s="5" t="n"/>
      <c r="P113" s="6">
        <f>E113*(L113+M113*1.5+N113*2+O113*3+N(K113))</f>
        <v/>
      </c>
      <c r="Q113" s="5" t="n"/>
      <c r="R113" s="6">
        <f>Q113-P113</f>
        <v/>
      </c>
    </row>
    <row r="114">
      <c r="P114" s="2" t="inlineStr">
        <is>
          <t>CONSTRUCTIONCOORDINATOR LABOR</t>
        </is>
      </c>
      <c r="R114" s="8">
        <f>SUM(R113:R113)</f>
        <v/>
      </c>
    </row>
    <row r="116">
      <c r="B116" s="2" t="inlineStr">
        <is>
          <t>PAINTFOREMAN</t>
        </is>
      </c>
    </row>
    <row r="117">
      <c r="A117" s="5" t="inlineStr">
        <is>
          <t>2304</t>
        </is>
      </c>
      <c r="B117" s="5" t="inlineStr">
        <is>
          <t>Kristeen Reimnitz</t>
        </is>
      </c>
      <c r="C117" s="5" t="inlineStr">
        <is>
          <t>PAINTER</t>
        </is>
      </c>
      <c r="D117" s="5" t="inlineStr">
        <is>
          <t>Local729</t>
        </is>
      </c>
      <c r="E117" s="6" t="n">
        <v>23.04</v>
      </c>
      <c r="F117" s="5" t="n"/>
      <c r="G117" s="5" t="n"/>
      <c r="H117" s="5" t="n"/>
      <c r="I117" s="5" t="n"/>
      <c r="J117" s="7">
        <f>IF(AND(N(F117)&gt;0,N(I117)&gt;0),I117-F117-IF(N(G117)&gt;0,0.5,0)-IF(N(H117)&gt;0,0.5,0),0)</f>
        <v/>
      </c>
      <c r="K117" s="5" t="n"/>
      <c r="L117" s="7">
        <f>MIN(J117,10.0)</f>
        <v/>
      </c>
      <c r="M117" s="7">
        <f>MAX(0,MIN(J117,12)-10.0)</f>
        <v/>
      </c>
      <c r="N117" s="7">
        <f>MAX(0,J117-12)</f>
        <v/>
      </c>
      <c r="O117" s="5" t="n"/>
      <c r="P117" s="6">
        <f>E117*(L117+M117*1.5+N117*2+O117*3+N(K117))</f>
        <v/>
      </c>
      <c r="Q117" s="5" t="n"/>
      <c r="R117" s="6">
        <f>Q117-P117</f>
        <v/>
      </c>
    </row>
    <row r="118">
      <c r="P118" s="2" t="inlineStr">
        <is>
          <t>PAINTFOREMAN LABOR</t>
        </is>
      </c>
      <c r="R118" s="8">
        <f>SUM(R117:R117)</f>
        <v/>
      </c>
    </row>
    <row r="120">
      <c r="B120" s="2" t="inlineStr">
        <is>
          <t>FIRSTAIDLABOR</t>
        </is>
      </c>
    </row>
    <row r="121">
      <c r="A121" s="5" t="inlineStr">
        <is>
          <t>2310</t>
        </is>
      </c>
      <c r="B121" s="5" t="inlineStr"/>
      <c r="C121" s="5" t="inlineStr">
        <is>
          <t>CONSTRUCTIONMEDIC</t>
        </is>
      </c>
      <c r="D121" s="5" t="inlineStr">
        <is>
          <t>Local80</t>
        </is>
      </c>
      <c r="E121" s="6" t="n">
        <v>23.04</v>
      </c>
      <c r="F121" s="5" t="n"/>
      <c r="G121" s="5" t="n"/>
      <c r="H121" s="5" t="n"/>
      <c r="I121" s="5" t="n"/>
      <c r="J121" s="7">
        <f>IF(AND(N(F121)&gt;0,N(I121)&gt;0),I121-F121-IF(N(G121)&gt;0,0.5,0)-IF(N(H121)&gt;0,0.5,0),0)</f>
        <v/>
      </c>
      <c r="K121" s="5" t="n"/>
      <c r="L121" s="7">
        <f>MIN(J121,10.0)</f>
        <v/>
      </c>
      <c r="M121" s="7">
        <f>MAX(0,MIN(J121,12)-10.0)</f>
        <v/>
      </c>
      <c r="N121" s="7">
        <f>MAX(0,J121-12)</f>
        <v/>
      </c>
      <c r="O121" s="5" t="n"/>
      <c r="P121" s="6">
        <f>E121*(L121+M121*1.5+N121*2+O121*3+N(K121))</f>
        <v/>
      </c>
      <c r="Q121" s="5" t="n"/>
      <c r="R121" s="6">
        <f>Q121-P121</f>
        <v/>
      </c>
    </row>
    <row r="122">
      <c r="P122" s="2" t="inlineStr">
        <is>
          <t>FIRSTAIDLABOR LABOR</t>
        </is>
      </c>
      <c r="R122" s="8">
        <f>SUM(R121:R121)</f>
        <v/>
      </c>
    </row>
    <row r="124">
      <c r="B124" s="2" t="inlineStr">
        <is>
          <t>KEYGRIP</t>
        </is>
      </c>
    </row>
    <row r="125">
      <c r="A125" s="5" t="inlineStr">
        <is>
          <t>2501</t>
        </is>
      </c>
      <c r="B125" s="5" t="inlineStr">
        <is>
          <t>Pat O'Mara</t>
        </is>
      </c>
      <c r="C125" s="5" t="inlineStr">
        <is>
          <t>KEYGRIP</t>
        </is>
      </c>
      <c r="D125" s="5" t="inlineStr">
        <is>
          <t>Local80</t>
        </is>
      </c>
      <c r="E125" s="6" t="n">
        <v>25.5</v>
      </c>
      <c r="F125" s="5" t="n"/>
      <c r="G125" s="5" t="n"/>
      <c r="H125" s="5" t="n"/>
      <c r="I125" s="5" t="n"/>
      <c r="J125" s="7">
        <f>IF(AND(N(F125)&gt;0,N(I125)&gt;0),I125-F125-IF(N(G125)&gt;0,0.5,0)-IF(N(H125)&gt;0,0.5,0),0)</f>
        <v/>
      </c>
      <c r="K125" s="5" t="n"/>
      <c r="L125" s="7">
        <f>MIN(J125,10.0)</f>
        <v/>
      </c>
      <c r="M125" s="7">
        <f>MAX(0,MIN(J125,12)-10.0)</f>
        <v/>
      </c>
      <c r="N125" s="7">
        <f>MAX(0,J125-12)</f>
        <v/>
      </c>
      <c r="O125" s="5" t="n"/>
      <c r="P125" s="6">
        <f>E125*(L125+M125*1.5+N125*2+O125*3+N(K125))</f>
        <v/>
      </c>
      <c r="Q125" s="6" t="n">
        <v>395.25</v>
      </c>
      <c r="R125" s="6">
        <f>Q125-P125</f>
        <v/>
      </c>
    </row>
    <row r="126">
      <c r="P126" s="2" t="inlineStr">
        <is>
          <t>KEYGRIP LABOR</t>
        </is>
      </c>
      <c r="R126" s="8">
        <f>SUM(R125:R125)</f>
        <v/>
      </c>
    </row>
    <row r="128">
      <c r="B128" s="2" t="inlineStr">
        <is>
          <t>BESTBOYGRIP</t>
        </is>
      </c>
    </row>
    <row r="129">
      <c r="A129" s="5" t="inlineStr">
        <is>
          <t>2502</t>
        </is>
      </c>
      <c r="B129" s="5" t="inlineStr">
        <is>
          <t>Aaron Fairley</t>
        </is>
      </c>
      <c r="C129" s="5" t="inlineStr">
        <is>
          <t>BESTBOYGRIP</t>
        </is>
      </c>
      <c r="D129" s="5" t="inlineStr">
        <is>
          <t>Local80</t>
        </is>
      </c>
      <c r="E129" s="6" t="n">
        <v>23.04</v>
      </c>
      <c r="F129" s="5" t="n"/>
      <c r="G129" s="5" t="n"/>
      <c r="H129" s="5" t="n"/>
      <c r="I129" s="5" t="n"/>
      <c r="J129" s="7">
        <f>IF(AND(N(F129)&gt;0,N(I129)&gt;0),I129-F129-IF(N(G129)&gt;0,0.5,0)-IF(N(H129)&gt;0,0.5,0),0)</f>
        <v/>
      </c>
      <c r="K129" s="5" t="n"/>
      <c r="L129" s="7">
        <f>MIN(J129,10.0)</f>
        <v/>
      </c>
      <c r="M129" s="7">
        <f>MAX(0,MIN(J129,12)-10.0)</f>
        <v/>
      </c>
      <c r="N129" s="7">
        <f>MAX(0,J129-12)</f>
        <v/>
      </c>
      <c r="O129" s="5" t="n"/>
      <c r="P129" s="6">
        <f>E129*(L129+M129*1.5+N129*2+O129*3+N(K129))</f>
        <v/>
      </c>
      <c r="Q129" s="6" t="n">
        <v>357.12</v>
      </c>
      <c r="R129" s="6">
        <f>Q129-P129</f>
        <v/>
      </c>
    </row>
    <row r="130">
      <c r="A130" s="5" t="inlineStr">
        <is>
          <t>2502</t>
        </is>
      </c>
      <c r="B130" s="5" t="inlineStr"/>
      <c r="C130" s="5" t="inlineStr">
        <is>
          <t>STUDIOBESTBOYGRIP</t>
        </is>
      </c>
      <c r="D130" s="5" t="inlineStr">
        <is>
          <t>Local80</t>
        </is>
      </c>
      <c r="E130" s="6" t="n">
        <v>43.05</v>
      </c>
      <c r="F130" s="5" t="n"/>
      <c r="G130" s="5" t="n"/>
      <c r="H130" s="5" t="n"/>
      <c r="I130" s="5" t="n"/>
      <c r="J130" s="7">
        <f>IF(AND(N(F130)&gt;0,N(I130)&gt;0),I130-F130-IF(N(G130)&gt;0,0.5,0)-IF(N(H130)&gt;0,0.5,0),0)</f>
        <v/>
      </c>
      <c r="K130" s="5" t="n"/>
      <c r="L130" s="7">
        <f>MIN(J130,10.0)</f>
        <v/>
      </c>
      <c r="M130" s="7">
        <f>MAX(0,MIN(J130,12)-10.0)</f>
        <v/>
      </c>
      <c r="N130" s="7">
        <f>MAX(0,J130-12)</f>
        <v/>
      </c>
      <c r="O130" s="5" t="n"/>
      <c r="P130" s="6">
        <f>E130*(L130+M130*1.5+N130*2+O130*3+N(K130))</f>
        <v/>
      </c>
      <c r="Q130" s="6" t="n">
        <v>667.27</v>
      </c>
      <c r="R130" s="6">
        <f>Q130-P130</f>
        <v/>
      </c>
    </row>
    <row r="131">
      <c r="P131" s="2" t="inlineStr">
        <is>
          <t>BESTBOYGRIP LABOR</t>
        </is>
      </c>
      <c r="R131" s="8">
        <f>SUM(R129:R130)</f>
        <v/>
      </c>
    </row>
    <row r="133">
      <c r="B133" s="2" t="inlineStr">
        <is>
          <t>DOLLYGRIP</t>
        </is>
      </c>
    </row>
    <row r="134">
      <c r="A134" s="5" t="inlineStr">
        <is>
          <t>2503</t>
        </is>
      </c>
      <c r="B134" s="5" t="inlineStr">
        <is>
          <t>Peter Weidenfeller</t>
        </is>
      </c>
      <c r="C134" s="5" t="inlineStr">
        <is>
          <t>"A"DOLLYGRIP</t>
        </is>
      </c>
      <c r="D134" s="5" t="inlineStr">
        <is>
          <t>Local80</t>
        </is>
      </c>
      <c r="E134" s="6" t="n">
        <v>23.04</v>
      </c>
      <c r="F134" s="5" t="n"/>
      <c r="G134" s="5" t="n"/>
      <c r="H134" s="5" t="n"/>
      <c r="I134" s="5" t="n"/>
      <c r="J134" s="7">
        <f>IF(AND(N(F134)&gt;0,N(I134)&gt;0),I134-F134-IF(N(G134)&gt;0,0.5,0)-IF(N(H134)&gt;0,0.5,0),0)</f>
        <v/>
      </c>
      <c r="K134" s="5" t="n"/>
      <c r="L134" s="7">
        <f>MIN(J134,10.0)</f>
        <v/>
      </c>
      <c r="M134" s="7">
        <f>MAX(0,MIN(J134,12)-10.0)</f>
        <v/>
      </c>
      <c r="N134" s="7">
        <f>MAX(0,J134-12)</f>
        <v/>
      </c>
      <c r="O134" s="5" t="n"/>
      <c r="P134" s="6">
        <f>E134*(L134+M134*1.5+N134*2+O134*3+N(K134))</f>
        <v/>
      </c>
      <c r="Q134" s="6" t="n">
        <v>357.12</v>
      </c>
      <c r="R134" s="6">
        <f>Q134-P134</f>
        <v/>
      </c>
    </row>
    <row r="135">
      <c r="P135" s="2" t="inlineStr">
        <is>
          <t>DOLLYGRIP LABOR</t>
        </is>
      </c>
      <c r="R135" s="8">
        <f>SUM(R134:R134)</f>
        <v/>
      </c>
    </row>
    <row r="137">
      <c r="B137" s="2" t="inlineStr">
        <is>
          <t>CRANEGRIPS</t>
        </is>
      </c>
    </row>
    <row r="138">
      <c r="A138" s="5" t="inlineStr">
        <is>
          <t>2504</t>
        </is>
      </c>
      <c r="B138" s="5" t="inlineStr"/>
      <c r="C138" s="5" t="inlineStr">
        <is>
          <t>CRANEOPERATOR</t>
        </is>
      </c>
      <c r="D138" s="5" t="inlineStr">
        <is>
          <t>Local80</t>
        </is>
      </c>
      <c r="E138" s="6" t="n">
        <v>792</v>
      </c>
      <c r="F138" s="5" t="n"/>
      <c r="G138" s="5" t="n"/>
      <c r="H138" s="5" t="n"/>
      <c r="I138" s="5" t="n"/>
      <c r="J138" s="7">
        <f>IF(AND(N(F138)&gt;0,N(I138)&gt;0),I138-F138-IF(N(G138)&gt;0,0.5,0)-IF(N(H138)&gt;0,0.5,0),0)</f>
        <v/>
      </c>
      <c r="K138" s="5" t="n"/>
      <c r="L138" s="7">
        <f>MIN(J138,10.0)</f>
        <v/>
      </c>
      <c r="M138" s="7">
        <f>MAX(0,MIN(J138,12)-10.0)</f>
        <v/>
      </c>
      <c r="N138" s="7">
        <f>MAX(0,J138-12)</f>
        <v/>
      </c>
      <c r="O138" s="5" t="n"/>
      <c r="P138" s="6">
        <f>E138*(L138+M138*1.5+N138*2+O138*3+N(K138))</f>
        <v/>
      </c>
      <c r="Q138" s="6" t="n">
        <v>924</v>
      </c>
      <c r="R138" s="6">
        <f>Q138-P138</f>
        <v/>
      </c>
    </row>
    <row r="139">
      <c r="A139" s="5" t="inlineStr">
        <is>
          <t>2504</t>
        </is>
      </c>
      <c r="B139" s="5" t="inlineStr"/>
      <c r="C139" s="5" t="inlineStr">
        <is>
          <t>CRANEASSISTANT</t>
        </is>
      </c>
      <c r="D139" s="5" t="inlineStr">
        <is>
          <t>Local80</t>
        </is>
      </c>
      <c r="E139" s="6" t="n">
        <v>660</v>
      </c>
      <c r="F139" s="5" t="n"/>
      <c r="G139" s="5" t="n"/>
      <c r="H139" s="5" t="n"/>
      <c r="I139" s="5" t="n"/>
      <c r="J139" s="7">
        <f>IF(AND(N(F139)&gt;0,N(I139)&gt;0),I139-F139-IF(N(G139)&gt;0,0.5,0)-IF(N(H139)&gt;0,0.5,0),0)</f>
        <v/>
      </c>
      <c r="K139" s="5" t="n"/>
      <c r="L139" s="7">
        <f>MIN(J139,10.0)</f>
        <v/>
      </c>
      <c r="M139" s="7">
        <f>MAX(0,MIN(J139,12)-10.0)</f>
        <v/>
      </c>
      <c r="N139" s="7">
        <f>MAX(0,J139-12)</f>
        <v/>
      </c>
      <c r="O139" s="5" t="n"/>
      <c r="P139" s="6">
        <f>E139*(L139+M139*1.5+N139*2+O139*3+N(K139))</f>
        <v/>
      </c>
      <c r="Q139" s="6" t="n">
        <v>770</v>
      </c>
      <c r="R139" s="6">
        <f>Q139-P139</f>
        <v/>
      </c>
    </row>
    <row r="140">
      <c r="P140" s="2" t="inlineStr">
        <is>
          <t>CRANEGRIPS LABOR</t>
        </is>
      </c>
      <c r="R140" s="8">
        <f>SUM(R138:R139)</f>
        <v/>
      </c>
    </row>
    <row r="142">
      <c r="B142" s="2" t="inlineStr">
        <is>
          <t>COMPANYGRIPS</t>
        </is>
      </c>
    </row>
    <row r="143">
      <c r="A143" s="5" t="inlineStr">
        <is>
          <t>2505</t>
        </is>
      </c>
      <c r="B143" s="5" t="inlineStr"/>
      <c r="C143" s="5" t="inlineStr">
        <is>
          <t>GRIP#1</t>
        </is>
      </c>
      <c r="D143" s="5" t="inlineStr">
        <is>
          <t>Local80</t>
        </is>
      </c>
      <c r="E143" s="6" t="n">
        <v>20.57</v>
      </c>
      <c r="F143" s="5" t="n"/>
      <c r="G143" s="5" t="n"/>
      <c r="H143" s="5" t="n"/>
      <c r="I143" s="5" t="n"/>
      <c r="J143" s="7">
        <f>IF(AND(N(F143)&gt;0,N(I143)&gt;0),I143-F143-IF(N(G143)&gt;0,0.5,0)-IF(N(H143)&gt;0,0.5,0),0)</f>
        <v/>
      </c>
      <c r="K143" s="5" t="n"/>
      <c r="L143" s="7">
        <f>MIN(J143,10.0)</f>
        <v/>
      </c>
      <c r="M143" s="7">
        <f>MAX(0,MIN(J143,12)-10.0)</f>
        <v/>
      </c>
      <c r="N143" s="7">
        <f>MAX(0,J143-12)</f>
        <v/>
      </c>
      <c r="O143" s="5" t="n"/>
      <c r="P143" s="6">
        <f>E143*(L143+M143*1.5+N143*2+O143*3+N(K143))</f>
        <v/>
      </c>
      <c r="Q143" s="6" t="n">
        <v>318.83</v>
      </c>
      <c r="R143" s="6">
        <f>Q143-P143</f>
        <v/>
      </c>
    </row>
    <row r="144">
      <c r="A144" s="5" t="inlineStr">
        <is>
          <t>2505</t>
        </is>
      </c>
      <c r="B144" s="5" t="inlineStr"/>
      <c r="C144" s="5" t="inlineStr">
        <is>
          <t>GRIP#2</t>
        </is>
      </c>
      <c r="D144" s="5" t="inlineStr">
        <is>
          <t>Local80</t>
        </is>
      </c>
      <c r="E144" s="6" t="n">
        <v>20.57</v>
      </c>
      <c r="F144" s="5" t="n"/>
      <c r="G144" s="5" t="n"/>
      <c r="H144" s="5" t="n"/>
      <c r="I144" s="5" t="n"/>
      <c r="J144" s="7">
        <f>IF(AND(N(F144)&gt;0,N(I144)&gt;0),I144-F144-IF(N(G144)&gt;0,0.5,0)-IF(N(H144)&gt;0,0.5,0),0)</f>
        <v/>
      </c>
      <c r="K144" s="5" t="n"/>
      <c r="L144" s="7">
        <f>MIN(J144,10.0)</f>
        <v/>
      </c>
      <c r="M144" s="7">
        <f>MAX(0,MIN(J144,12)-10.0)</f>
        <v/>
      </c>
      <c r="N144" s="7">
        <f>MAX(0,J144-12)</f>
        <v/>
      </c>
      <c r="O144" s="5" t="n"/>
      <c r="P144" s="6">
        <f>E144*(L144+M144*1.5+N144*2+O144*3+N(K144))</f>
        <v/>
      </c>
      <c r="Q144" s="6" t="n">
        <v>318.83</v>
      </c>
      <c r="R144" s="6">
        <f>Q144-P144</f>
        <v/>
      </c>
    </row>
    <row r="145">
      <c r="A145" s="5" t="inlineStr">
        <is>
          <t>2505</t>
        </is>
      </c>
      <c r="B145" s="5" t="inlineStr"/>
      <c r="C145" s="5" t="inlineStr">
        <is>
          <t>GRIP#3</t>
        </is>
      </c>
      <c r="D145" s="5" t="inlineStr">
        <is>
          <t>Local80</t>
        </is>
      </c>
      <c r="E145" s="6" t="n">
        <v>20.57</v>
      </c>
      <c r="F145" s="5" t="n"/>
      <c r="G145" s="5" t="n"/>
      <c r="H145" s="5" t="n"/>
      <c r="I145" s="5" t="n"/>
      <c r="J145" s="7">
        <f>IF(AND(N(F145)&gt;0,N(I145)&gt;0),I145-F145-IF(N(G145)&gt;0,0.5,0)-IF(N(H145)&gt;0,0.5,0),0)</f>
        <v/>
      </c>
      <c r="K145" s="5" t="n"/>
      <c r="L145" s="7">
        <f>MIN(J145,10.0)</f>
        <v/>
      </c>
      <c r="M145" s="7">
        <f>MAX(0,MIN(J145,12)-10.0)</f>
        <v/>
      </c>
      <c r="N145" s="7">
        <f>MAX(0,J145-12)</f>
        <v/>
      </c>
      <c r="O145" s="5" t="n"/>
      <c r="P145" s="6">
        <f>E145*(L145+M145*1.5+N145*2+O145*3+N(K145))</f>
        <v/>
      </c>
      <c r="Q145" s="6" t="n">
        <v>318.83</v>
      </c>
      <c r="R145" s="6">
        <f>Q145-P145</f>
        <v/>
      </c>
    </row>
    <row r="146">
      <c r="P146" s="2" t="inlineStr">
        <is>
          <t>COMPANYGRIPS LABOR</t>
        </is>
      </c>
      <c r="R146" s="8">
        <f>SUM(R143:R145)</f>
        <v/>
      </c>
    </row>
    <row r="148">
      <c r="B148" s="2" t="inlineStr">
        <is>
          <t>OTHERLABOR</t>
        </is>
      </c>
    </row>
    <row r="149">
      <c r="A149" s="5" t="inlineStr">
        <is>
          <t>2506</t>
        </is>
      </c>
      <c r="B149" s="5" t="inlineStr"/>
      <c r="C149" s="5" t="inlineStr">
        <is>
          <t>GRIPMANDAYS&amp;RIGGINGMANDAYS</t>
        </is>
      </c>
      <c r="D149" s="5" t="inlineStr">
        <is>
          <t>Local80</t>
        </is>
      </c>
      <c r="E149" s="6" t="n">
        <v>20.57</v>
      </c>
      <c r="F149" s="5" t="n"/>
      <c r="G149" s="5" t="n"/>
      <c r="H149" s="5" t="n"/>
      <c r="I149" s="5" t="n"/>
      <c r="J149" s="7">
        <f>IF(AND(N(F149)&gt;0,N(I149)&gt;0),I149-F149-IF(N(G149)&gt;0,0.5,0)-IF(N(H149)&gt;0,0.5,0),0)</f>
        <v/>
      </c>
      <c r="K149" s="5" t="n"/>
      <c r="L149" s="7">
        <f>MIN(J149,10.0)</f>
        <v/>
      </c>
      <c r="M149" s="7">
        <f>MAX(0,MIN(J149,12)-10.0)</f>
        <v/>
      </c>
      <c r="N149" s="7">
        <f>MAX(0,J149-12)</f>
        <v/>
      </c>
      <c r="O149" s="5" t="n"/>
      <c r="P149" s="6">
        <f>E149*(L149+M149*1.5+N149*2+O149*3+N(K149))</f>
        <v/>
      </c>
      <c r="Q149" s="6" t="n">
        <v>318.83</v>
      </c>
      <c r="R149" s="6">
        <f>Q149-P149</f>
        <v/>
      </c>
    </row>
    <row r="150">
      <c r="P150" s="2" t="inlineStr">
        <is>
          <t>OTHERLABOR LABOR</t>
        </is>
      </c>
      <c r="R150" s="8">
        <f>SUM(R149:R149)</f>
        <v/>
      </c>
    </row>
    <row r="152">
      <c r="B152" s="2" t="inlineStr">
        <is>
          <t>STANDBYLABOR</t>
        </is>
      </c>
    </row>
    <row r="153">
      <c r="A153" s="5" t="inlineStr">
        <is>
          <t>2510</t>
        </is>
      </c>
      <c r="B153" s="5" t="inlineStr"/>
      <c r="C153" s="5" t="inlineStr">
        <is>
          <t>LAYOUTBOARD</t>
        </is>
      </c>
      <c r="D153" s="5" t="inlineStr">
        <is>
          <t>Local729</t>
        </is>
      </c>
      <c r="E153" s="6" t="n">
        <v>25.5</v>
      </c>
      <c r="F153" s="5" t="n"/>
      <c r="G153" s="5" t="n"/>
      <c r="H153" s="5" t="n"/>
      <c r="I153" s="5" t="n"/>
      <c r="J153" s="7">
        <f>IF(AND(N(F153)&gt;0,N(I153)&gt;0),I153-F153-IF(N(G153)&gt;0,0.5,0)-IF(N(H153)&gt;0,0.5,0),0)</f>
        <v/>
      </c>
      <c r="K153" s="5" t="n"/>
      <c r="L153" s="7">
        <f>MIN(J153,10.0)</f>
        <v/>
      </c>
      <c r="M153" s="7">
        <f>MAX(0,MIN(J153,12)-10.0)</f>
        <v/>
      </c>
      <c r="N153" s="7">
        <f>MAX(0,J153-12)</f>
        <v/>
      </c>
      <c r="O153" s="5" t="n"/>
      <c r="P153" s="6">
        <f>E153*(L153+M153*1.5+N153*2+O153*3+N(K153))</f>
        <v/>
      </c>
      <c r="Q153" s="6" t="n">
        <v>395.25</v>
      </c>
      <c r="R153" s="6">
        <f>Q153-P153</f>
        <v/>
      </c>
    </row>
    <row r="154">
      <c r="P154" s="2" t="inlineStr">
        <is>
          <t>STANDBYLABOR LABOR</t>
        </is>
      </c>
      <c r="R154" s="8">
        <f>SUM(R153:R153)</f>
        <v/>
      </c>
    </row>
    <row r="156">
      <c r="B156" s="2" t="inlineStr">
        <is>
          <t>SETCRAFTSERVICELABOR</t>
        </is>
      </c>
    </row>
    <row r="157">
      <c r="A157" s="5" t="inlineStr">
        <is>
          <t>2511</t>
        </is>
      </c>
      <c r="B157" s="5" t="inlineStr">
        <is>
          <t>Maurico Solis</t>
        </is>
      </c>
      <c r="C157" s="5" t="inlineStr">
        <is>
          <t>KEYCRAFTSERVICE</t>
        </is>
      </c>
      <c r="D157" s="5" t="inlineStr">
        <is>
          <t>Local80</t>
        </is>
      </c>
      <c r="E157" s="6" t="n">
        <v>25.5</v>
      </c>
      <c r="F157" s="5" t="n"/>
      <c r="G157" s="5" t="n"/>
      <c r="H157" s="5" t="n"/>
      <c r="I157" s="5" t="n"/>
      <c r="J157" s="7">
        <f>IF(AND(N(F157)&gt;0,N(I157)&gt;0),I157-F157-IF(N(G157)&gt;0,0.5,0)-IF(N(H157)&gt;0,0.5,0),0)</f>
        <v/>
      </c>
      <c r="K157" s="5" t="n"/>
      <c r="L157" s="7">
        <f>MIN(J157,10.0)</f>
        <v/>
      </c>
      <c r="M157" s="7">
        <f>MAX(0,MIN(J157,12)-10.0)</f>
        <v/>
      </c>
      <c r="N157" s="7">
        <f>MAX(0,J157-12)</f>
        <v/>
      </c>
      <c r="O157" s="5" t="n"/>
      <c r="P157" s="6">
        <f>E157*(L157+M157*1.5+N157*2+O157*3+N(K157))</f>
        <v/>
      </c>
      <c r="Q157" s="6" t="n">
        <v>439.87</v>
      </c>
      <c r="R157" s="6">
        <f>Q157-P157</f>
        <v/>
      </c>
    </row>
    <row r="158">
      <c r="A158" s="5" t="inlineStr">
        <is>
          <t>2511</t>
        </is>
      </c>
      <c r="B158" s="5" t="inlineStr"/>
      <c r="C158" s="5" t="inlineStr">
        <is>
          <t>ASSTCRAFTSERVICE</t>
        </is>
      </c>
      <c r="D158" s="5" t="inlineStr">
        <is>
          <t>Local80</t>
        </is>
      </c>
      <c r="E158" s="6" t="n">
        <v>23.04</v>
      </c>
      <c r="F158" s="5" t="n"/>
      <c r="G158" s="5" t="n"/>
      <c r="H158" s="5" t="n"/>
      <c r="I158" s="5" t="n"/>
      <c r="J158" s="7">
        <f>IF(AND(N(F158)&gt;0,N(I158)&gt;0),I158-F158-IF(N(G158)&gt;0,0.5,0)-IF(N(H158)&gt;0,0.5,0),0)</f>
        <v/>
      </c>
      <c r="K158" s="5" t="n"/>
      <c r="L158" s="7">
        <f>MIN(J158,10.0)</f>
        <v/>
      </c>
      <c r="M158" s="7">
        <f>MAX(0,MIN(J158,12)-10.0)</f>
        <v/>
      </c>
      <c r="N158" s="7">
        <f>MAX(0,J158-12)</f>
        <v/>
      </c>
      <c r="O158" s="5" t="n"/>
      <c r="P158" s="6">
        <f>E158*(L158+M158*1.5+N158*2+O158*3+N(K158))</f>
        <v/>
      </c>
      <c r="Q158" s="6" t="n">
        <v>397.43</v>
      </c>
      <c r="R158" s="6">
        <f>Q158-P158</f>
        <v/>
      </c>
    </row>
    <row r="159">
      <c r="P159" s="2" t="inlineStr">
        <is>
          <t>SETCRAFTSERVICELABOR LABOR</t>
        </is>
      </c>
      <c r="R159" s="8">
        <f>SUM(R157:R158)</f>
        <v/>
      </c>
    </row>
    <row r="161">
      <c r="B161" s="2" t="inlineStr">
        <is>
          <t>SETFIRSTAIDLABOR</t>
        </is>
      </c>
    </row>
    <row r="162">
      <c r="A162" s="5" t="inlineStr">
        <is>
          <t>2514</t>
        </is>
      </c>
      <c r="B162" s="5" t="inlineStr">
        <is>
          <t>Robert Hill</t>
        </is>
      </c>
      <c r="C162" s="5" t="inlineStr">
        <is>
          <t>SETMEDIC</t>
        </is>
      </c>
      <c r="D162" s="5" t="inlineStr">
        <is>
          <t>Local80</t>
        </is>
      </c>
      <c r="E162" s="6" t="n">
        <v>23.04</v>
      </c>
      <c r="F162" s="5" t="n"/>
      <c r="G162" s="5" t="n"/>
      <c r="H162" s="5" t="n"/>
      <c r="I162" s="5" t="n"/>
      <c r="J162" s="7">
        <f>IF(AND(N(F162)&gt;0,N(I162)&gt;0),I162-F162-IF(N(G162)&gt;0,0.5,0)-IF(N(H162)&gt;0,0.5,0),0)</f>
        <v/>
      </c>
      <c r="K162" s="5" t="n"/>
      <c r="L162" s="7">
        <f>MIN(J162,10.0)</f>
        <v/>
      </c>
      <c r="M162" s="7">
        <f>MAX(0,MIN(J162,12)-10.0)</f>
        <v/>
      </c>
      <c r="N162" s="7">
        <f>MAX(0,J162-12)</f>
        <v/>
      </c>
      <c r="O162" s="5" t="n"/>
      <c r="P162" s="6">
        <f>E162*(L162+M162*1.5+N162*2+O162*3+N(K162))</f>
        <v/>
      </c>
      <c r="Q162" s="6" t="n">
        <v>397.43</v>
      </c>
      <c r="R162" s="6">
        <f>Q162-P162</f>
        <v/>
      </c>
    </row>
    <row r="163">
      <c r="A163" s="5" t="inlineStr">
        <is>
          <t>2514</t>
        </is>
      </c>
      <c r="B163" s="5" t="inlineStr"/>
      <c r="C163" s="5" t="inlineStr">
        <is>
          <t>RIGGINGMEDICMANDAYS</t>
        </is>
      </c>
      <c r="D163" s="5" t="inlineStr">
        <is>
          <t>Local80</t>
        </is>
      </c>
      <c r="E163" s="6" t="n">
        <v>23.04</v>
      </c>
      <c r="F163" s="5" t="n"/>
      <c r="G163" s="5" t="n"/>
      <c r="H163" s="5" t="n"/>
      <c r="I163" s="5" t="n"/>
      <c r="J163" s="7">
        <f>IF(AND(N(F163)&gt;0,N(I163)&gt;0),I163-F163-IF(N(G163)&gt;0,0.5,0)-IF(N(H163)&gt;0,0.5,0),0)</f>
        <v/>
      </c>
      <c r="K163" s="5" t="n"/>
      <c r="L163" s="7">
        <f>MIN(J163,10.0)</f>
        <v/>
      </c>
      <c r="M163" s="7">
        <f>MAX(0,MIN(J163,12)-10.0)</f>
        <v/>
      </c>
      <c r="N163" s="7">
        <f>MAX(0,J163-12)</f>
        <v/>
      </c>
      <c r="O163" s="5" t="n"/>
      <c r="P163" s="6">
        <f>E163*(L163+M163*1.5+N163*2+O163*3+N(K163))</f>
        <v/>
      </c>
      <c r="Q163" s="5" t="n"/>
      <c r="R163" s="6">
        <f>Q163-P163</f>
        <v/>
      </c>
    </row>
    <row r="164">
      <c r="P164" s="2" t="inlineStr">
        <is>
          <t>SETFIRSTAIDLABOR LABOR</t>
        </is>
      </c>
      <c r="R164" s="8">
        <f>SUM(R162:R163)</f>
        <v/>
      </c>
    </row>
    <row r="166">
      <c r="B166" s="2" t="inlineStr">
        <is>
          <t>SFXCOORDINATOR</t>
        </is>
      </c>
    </row>
    <row r="167">
      <c r="A167" s="5" t="inlineStr">
        <is>
          <t>2601</t>
        </is>
      </c>
      <c r="B167" s="5" t="inlineStr">
        <is>
          <t>Zak Knight</t>
        </is>
      </c>
      <c r="C167" s="5" t="inlineStr">
        <is>
          <t>SPFXCOORDINATOR</t>
        </is>
      </c>
      <c r="D167" s="5" t="inlineStr">
        <is>
          <t>Local44</t>
        </is>
      </c>
      <c r="E167" s="6" t="n">
        <v>42</v>
      </c>
      <c r="F167" s="5" t="n"/>
      <c r="G167" s="5" t="n"/>
      <c r="H167" s="5" t="n"/>
      <c r="I167" s="5" t="n"/>
      <c r="J167" s="7">
        <f>IF(AND(N(F167)&gt;0,N(I167)&gt;0),I167-F167-IF(N(G167)&gt;0,0.5,0)-IF(N(H167)&gt;0,0.5,0),0)</f>
        <v/>
      </c>
      <c r="K167" s="5" t="n"/>
      <c r="L167" s="7">
        <f>MIN(J167,10.0)</f>
        <v/>
      </c>
      <c r="M167" s="7">
        <f>MAX(0,MIN(J167,12)-10.0)</f>
        <v/>
      </c>
      <c r="N167" s="7">
        <f>MAX(0,J167-12)</f>
        <v/>
      </c>
      <c r="O167" s="5" t="n"/>
      <c r="P167" s="6">
        <f>E167*(L167+M167*1.5+N167*2+O167*3+N(K167))</f>
        <v/>
      </c>
      <c r="Q167" s="6" t="n">
        <v>651</v>
      </c>
      <c r="R167" s="6">
        <f>Q167-P167</f>
        <v/>
      </c>
    </row>
    <row r="168">
      <c r="P168" s="2" t="inlineStr">
        <is>
          <t>SFXCOORDINATOR LABOR</t>
        </is>
      </c>
      <c r="R168" s="8">
        <f>SUM(R167:R167)</f>
        <v/>
      </c>
    </row>
    <row r="170">
      <c r="B170" s="2" t="inlineStr">
        <is>
          <t>SFXTECHMANDAYS</t>
        </is>
      </c>
    </row>
    <row r="171">
      <c r="A171" s="5" t="inlineStr">
        <is>
          <t>2609</t>
        </is>
      </c>
      <c r="B171" s="5" t="inlineStr"/>
      <c r="C171" s="5" t="inlineStr">
        <is>
          <t>SPFXTECHMANDAYS</t>
        </is>
      </c>
      <c r="D171" s="5" t="inlineStr">
        <is>
          <t>Local44</t>
        </is>
      </c>
      <c r="E171" s="6" t="n">
        <v>40</v>
      </c>
      <c r="F171" s="5" t="n"/>
      <c r="G171" s="5" t="n"/>
      <c r="H171" s="5" t="n"/>
      <c r="I171" s="5" t="n"/>
      <c r="J171" s="7">
        <f>IF(AND(N(F171)&gt;0,N(I171)&gt;0),I171-F171-IF(N(G171)&gt;0,0.5,0)-IF(N(H171)&gt;0,0.5,0),0)</f>
        <v/>
      </c>
      <c r="K171" s="5" t="n"/>
      <c r="L171" s="7">
        <f>MIN(J171,10.0)</f>
        <v/>
      </c>
      <c r="M171" s="7">
        <f>MAX(0,MIN(J171,12)-10.0)</f>
        <v/>
      </c>
      <c r="N171" s="7">
        <f>MAX(0,J171-12)</f>
        <v/>
      </c>
      <c r="O171" s="5" t="n"/>
      <c r="P171" s="6">
        <f>E171*(L171+M171*1.5+N171*2+O171*3+N(K171))</f>
        <v/>
      </c>
      <c r="Q171" s="6" t="n">
        <v>620</v>
      </c>
      <c r="R171" s="6">
        <f>Q171-P171</f>
        <v/>
      </c>
    </row>
    <row r="172">
      <c r="A172" s="5" t="inlineStr">
        <is>
          <t>2609</t>
        </is>
      </c>
      <c r="B172" s="5" t="inlineStr"/>
      <c r="C172" s="5" t="inlineStr">
        <is>
          <t>SPFXASSISTANTMANDAYS</t>
        </is>
      </c>
      <c r="D172" s="5" t="inlineStr">
        <is>
          <t>Local44</t>
        </is>
      </c>
      <c r="E172" s="6" t="n">
        <v>25.5</v>
      </c>
      <c r="F172" s="5" t="n"/>
      <c r="G172" s="5" t="n"/>
      <c r="H172" s="5" t="n"/>
      <c r="I172" s="5" t="n"/>
      <c r="J172" s="7">
        <f>IF(AND(N(F172)&gt;0,N(I172)&gt;0),I172-F172-IF(N(G172)&gt;0,0.5,0)-IF(N(H172)&gt;0,0.5,0),0)</f>
        <v/>
      </c>
      <c r="K172" s="5" t="n"/>
      <c r="L172" s="7">
        <f>MIN(J172,10.0)</f>
        <v/>
      </c>
      <c r="M172" s="7">
        <f>MAX(0,MIN(J172,12)-10.0)</f>
        <v/>
      </c>
      <c r="N172" s="7">
        <f>MAX(0,J172-12)</f>
        <v/>
      </c>
      <c r="O172" s="5" t="n"/>
      <c r="P172" s="6">
        <f>E172*(L172+M172*1.5+N172*2+O172*3+N(K172))</f>
        <v/>
      </c>
      <c r="Q172" s="6" t="n">
        <v>395.25</v>
      </c>
      <c r="R172" s="6">
        <f>Q172-P172</f>
        <v/>
      </c>
    </row>
    <row r="173">
      <c r="A173" s="5" t="inlineStr">
        <is>
          <t>2609</t>
        </is>
      </c>
      <c r="B173" s="5" t="inlineStr"/>
      <c r="C173" s="5" t="inlineStr">
        <is>
          <t>PYROMANDAYS</t>
        </is>
      </c>
      <c r="D173" s="5" t="inlineStr">
        <is>
          <t>Local44</t>
        </is>
      </c>
      <c r="E173" s="6" t="n">
        <v>68.18000000000001</v>
      </c>
      <c r="F173" s="5" t="n"/>
      <c r="G173" s="5" t="n"/>
      <c r="H173" s="5" t="n"/>
      <c r="I173" s="5" t="n"/>
      <c r="J173" s="7">
        <f>IF(AND(N(F173)&gt;0,N(I173)&gt;0),I173-F173-IF(N(G173)&gt;0,0.5,0)-IF(N(H173)&gt;0,0.5,0),0)</f>
        <v/>
      </c>
      <c r="K173" s="5" t="n"/>
      <c r="L173" s="7">
        <f>MIN(J173,10.0)</f>
        <v/>
      </c>
      <c r="M173" s="7">
        <f>MAX(0,MIN(J173,12)-10.0)</f>
        <v/>
      </c>
      <c r="N173" s="7">
        <f>MAX(0,J173-12)</f>
        <v/>
      </c>
      <c r="O173" s="5" t="n"/>
      <c r="P173" s="6">
        <f>E173*(L173+M173*1.5+N173*2+O173*3+N(K173))</f>
        <v/>
      </c>
      <c r="Q173" s="6" t="n">
        <v>749.98</v>
      </c>
      <c r="R173" s="6">
        <f>Q173-P173</f>
        <v/>
      </c>
    </row>
    <row r="174">
      <c r="P174" s="2" t="inlineStr">
        <is>
          <t>SFXTECHMANDAYS LABOR</t>
        </is>
      </c>
      <c r="R174" s="8">
        <f>SUM(R171:R173)</f>
        <v/>
      </c>
    </row>
    <row r="176">
      <c r="B176" s="2" t="inlineStr">
        <is>
          <t>SETDECORATOR</t>
        </is>
      </c>
    </row>
    <row r="177">
      <c r="A177" s="5" t="inlineStr">
        <is>
          <t>2701</t>
        </is>
      </c>
      <c r="B177" s="5" t="inlineStr">
        <is>
          <t>Sandy Skora</t>
        </is>
      </c>
      <c r="C177" s="5" t="inlineStr">
        <is>
          <t>SETDECORATOR</t>
        </is>
      </c>
      <c r="D177" s="5" t="inlineStr">
        <is>
          <t>Local44</t>
        </is>
      </c>
      <c r="E177" s="6" t="n">
        <v>400</v>
      </c>
      <c r="F177" s="5" t="n"/>
      <c r="G177" s="5" t="n"/>
      <c r="H177" s="5" t="n"/>
      <c r="I177" s="5" t="n"/>
      <c r="J177" s="7">
        <f>IF(AND(N(F177)&gt;0,N(I177)&gt;0),I177-F177-IF(N(G177)&gt;0,0.5,0)-IF(N(H177)&gt;0,0.5,0),0)</f>
        <v/>
      </c>
      <c r="K177" s="5" t="n"/>
      <c r="L177" s="7">
        <f>MIN(J177,10.0)</f>
        <v/>
      </c>
      <c r="M177" s="7">
        <f>MAX(0,MIN(J177,12)-10.0)</f>
        <v/>
      </c>
      <c r="N177" s="7">
        <f>MAX(0,J177-12)</f>
        <v/>
      </c>
      <c r="O177" s="5" t="n"/>
      <c r="P177" s="6">
        <f>E177*(L177+M177*1.5+N177*2+O177*3+N(K177))</f>
        <v/>
      </c>
      <c r="Q177" s="6" t="n">
        <v>400</v>
      </c>
      <c r="R177" s="6">
        <f>Q177-P177</f>
        <v/>
      </c>
    </row>
    <row r="178">
      <c r="P178" s="2" t="inlineStr">
        <is>
          <t>SETDECORATOR LABOR</t>
        </is>
      </c>
      <c r="R178" s="8">
        <f>SUM(R177:R177)</f>
        <v/>
      </c>
    </row>
    <row r="180">
      <c r="B180" s="2" t="inlineStr">
        <is>
          <t>LEADPERSON</t>
        </is>
      </c>
    </row>
    <row r="181">
      <c r="A181" s="5" t="inlineStr">
        <is>
          <t>2702</t>
        </is>
      </c>
      <c r="B181" s="5" t="inlineStr">
        <is>
          <t>Josh Richmond</t>
        </is>
      </c>
      <c r="C181" s="5" t="inlineStr">
        <is>
          <t>LEADPERSON</t>
        </is>
      </c>
      <c r="D181" s="5" t="inlineStr">
        <is>
          <t>Local44</t>
        </is>
      </c>
      <c r="E181" s="6" t="n">
        <v>23.04</v>
      </c>
      <c r="F181" s="5" t="n"/>
      <c r="G181" s="5" t="n"/>
      <c r="H181" s="5" t="n"/>
      <c r="I181" s="5" t="n"/>
      <c r="J181" s="7">
        <f>IF(AND(N(F181)&gt;0,N(I181)&gt;0),I181-F181-IF(N(G181)&gt;0,0.5,0)-IF(N(H181)&gt;0,0.5,0),0)</f>
        <v/>
      </c>
      <c r="K181" s="5" t="n"/>
      <c r="L181" s="7">
        <f>MIN(J181,10.0)</f>
        <v/>
      </c>
      <c r="M181" s="7">
        <f>MAX(0,MIN(J181,12)-10.0)</f>
        <v/>
      </c>
      <c r="N181" s="7">
        <f>MAX(0,J181-12)</f>
        <v/>
      </c>
      <c r="O181" s="5" t="n"/>
      <c r="P181" s="6">
        <f>E181*(L181+M181*1.5+N181*2+O181*3+N(K181))</f>
        <v/>
      </c>
      <c r="Q181" s="6" t="n">
        <v>322.56</v>
      </c>
      <c r="R181" s="6">
        <f>Q181-P181</f>
        <v/>
      </c>
    </row>
    <row r="182">
      <c r="P182" s="2" t="inlineStr">
        <is>
          <t>LEADPERSON LABOR</t>
        </is>
      </c>
      <c r="R182" s="8">
        <f>SUM(R181:R181)</f>
        <v/>
      </c>
    </row>
    <row r="184">
      <c r="B184" s="2" t="inlineStr">
        <is>
          <t>SWINGLABOR</t>
        </is>
      </c>
    </row>
    <row r="185">
      <c r="A185" s="5" t="inlineStr">
        <is>
          <t>2703</t>
        </is>
      </c>
      <c r="B185" s="5" t="inlineStr">
        <is>
          <t>Tim Dodge</t>
        </is>
      </c>
      <c r="C185" s="5" t="inlineStr">
        <is>
          <t>SWING#1</t>
        </is>
      </c>
      <c r="D185" s="5" t="inlineStr">
        <is>
          <t>Local44</t>
        </is>
      </c>
      <c r="E185" s="6" t="n">
        <v>20.57</v>
      </c>
      <c r="F185" s="5" t="n"/>
      <c r="G185" s="5" t="n"/>
      <c r="H185" s="5" t="n"/>
      <c r="I185" s="5" t="n"/>
      <c r="J185" s="7">
        <f>IF(AND(N(F185)&gt;0,N(I185)&gt;0),I185-F185-IF(N(G185)&gt;0,0.5,0)-IF(N(H185)&gt;0,0.5,0),0)</f>
        <v/>
      </c>
      <c r="K185" s="5" t="n"/>
      <c r="L185" s="7">
        <f>MIN(J185,10.0)</f>
        <v/>
      </c>
      <c r="M185" s="7">
        <f>MAX(0,MIN(J185,12)-10.0)</f>
        <v/>
      </c>
      <c r="N185" s="7">
        <f>MAX(0,J185-12)</f>
        <v/>
      </c>
      <c r="O185" s="5" t="n"/>
      <c r="P185" s="6">
        <f>E185*(L185+M185*1.5+N185*2+O185*3+N(K185))</f>
        <v/>
      </c>
      <c r="Q185" s="6" t="n">
        <v>287.98</v>
      </c>
      <c r="R185" s="6">
        <f>Q185-P185</f>
        <v/>
      </c>
    </row>
    <row r="186">
      <c r="A186" s="5" t="inlineStr">
        <is>
          <t>2703</t>
        </is>
      </c>
      <c r="B186" s="5" t="inlineStr"/>
      <c r="C186" s="5" t="inlineStr">
        <is>
          <t>SWING#2</t>
        </is>
      </c>
      <c r="D186" s="5" t="inlineStr">
        <is>
          <t>Local44</t>
        </is>
      </c>
      <c r="E186" s="6" t="n">
        <v>20.57</v>
      </c>
      <c r="F186" s="5" t="n"/>
      <c r="G186" s="5" t="n"/>
      <c r="H186" s="5" t="n"/>
      <c r="I186" s="5" t="n"/>
      <c r="J186" s="7">
        <f>IF(AND(N(F186)&gt;0,N(I186)&gt;0),I186-F186-IF(N(G186)&gt;0,0.5,0)-IF(N(H186)&gt;0,0.5,0),0)</f>
        <v/>
      </c>
      <c r="K186" s="5" t="n"/>
      <c r="L186" s="7">
        <f>MIN(J186,10.0)</f>
        <v/>
      </c>
      <c r="M186" s="7">
        <f>MAX(0,MIN(J186,12)-10.0)</f>
        <v/>
      </c>
      <c r="N186" s="7">
        <f>MAX(0,J186-12)</f>
        <v/>
      </c>
      <c r="O186" s="5" t="n"/>
      <c r="P186" s="6">
        <f>E186*(L186+M186*1.5+N186*2+O186*3+N(K186))</f>
        <v/>
      </c>
      <c r="Q186" s="6" t="n">
        <v>287.98</v>
      </c>
      <c r="R186" s="6">
        <f>Q186-P186</f>
        <v/>
      </c>
    </row>
    <row r="187">
      <c r="A187" s="5" t="inlineStr">
        <is>
          <t>2703</t>
        </is>
      </c>
      <c r="B187" s="5" t="inlineStr"/>
      <c r="C187" s="5" t="inlineStr">
        <is>
          <t>ADDITIONALSWINGMANDAYS</t>
        </is>
      </c>
      <c r="D187" s="5" t="inlineStr">
        <is>
          <t>Local44</t>
        </is>
      </c>
      <c r="E187" s="6" t="n">
        <v>20.57</v>
      </c>
      <c r="F187" s="5" t="n"/>
      <c r="G187" s="5" t="n"/>
      <c r="H187" s="5" t="n"/>
      <c r="I187" s="5" t="n"/>
      <c r="J187" s="7">
        <f>IF(AND(N(F187)&gt;0,N(I187)&gt;0),I187-F187-IF(N(G187)&gt;0,0.5,0)-IF(N(H187)&gt;0,0.5,0),0)</f>
        <v/>
      </c>
      <c r="K187" s="5" t="n"/>
      <c r="L187" s="7">
        <f>MIN(J187,10.0)</f>
        <v/>
      </c>
      <c r="M187" s="7">
        <f>MAX(0,MIN(J187,12)-10.0)</f>
        <v/>
      </c>
      <c r="N187" s="7">
        <f>MAX(0,J187-12)</f>
        <v/>
      </c>
      <c r="O187" s="5" t="n"/>
      <c r="P187" s="6">
        <f>E187*(L187+M187*1.5+N187*2+O187*3+N(K187))</f>
        <v/>
      </c>
      <c r="Q187" s="6" t="n">
        <v>287.98</v>
      </c>
      <c r="R187" s="6">
        <f>Q187-P187</f>
        <v/>
      </c>
    </row>
    <row r="188">
      <c r="P188" s="2" t="inlineStr">
        <is>
          <t>SWINGLABOR LABOR</t>
        </is>
      </c>
      <c r="R188" s="8">
        <f>SUM(R185:R187)</f>
        <v/>
      </c>
    </row>
    <row r="190">
      <c r="B190" s="2" t="inlineStr">
        <is>
          <t>ON-SETDRESSER</t>
        </is>
      </c>
    </row>
    <row r="191">
      <c r="A191" s="5" t="inlineStr">
        <is>
          <t>2705</t>
        </is>
      </c>
      <c r="B191" s="5" t="inlineStr">
        <is>
          <t>Khamisi Thurman</t>
        </is>
      </c>
      <c r="C191" s="5" t="inlineStr">
        <is>
          <t>ON-SETDRESSER</t>
        </is>
      </c>
      <c r="D191" s="5" t="inlineStr">
        <is>
          <t>Local44</t>
        </is>
      </c>
      <c r="E191" s="6" t="n">
        <v>20.57</v>
      </c>
      <c r="F191" s="5" t="n"/>
      <c r="G191" s="5" t="n"/>
      <c r="H191" s="5" t="n"/>
      <c r="I191" s="5" t="n"/>
      <c r="J191" s="7">
        <f>IF(AND(N(F191)&gt;0,N(I191)&gt;0),I191-F191-IF(N(G191)&gt;0,0.5,0)-IF(N(H191)&gt;0,0.5,0),0)</f>
        <v/>
      </c>
      <c r="K191" s="5" t="n"/>
      <c r="L191" s="7">
        <f>MIN(J191,10.0)</f>
        <v/>
      </c>
      <c r="M191" s="7">
        <f>MAX(0,MIN(J191,12)-10.0)</f>
        <v/>
      </c>
      <c r="N191" s="7">
        <f>MAX(0,J191-12)</f>
        <v/>
      </c>
      <c r="O191" s="5" t="n"/>
      <c r="P191" s="6">
        <f>E191*(L191+M191*1.5+N191*2+O191*3+N(K191))</f>
        <v/>
      </c>
      <c r="Q191" s="6" t="n">
        <v>318.83</v>
      </c>
      <c r="R191" s="6">
        <f>Q191-P191</f>
        <v/>
      </c>
    </row>
    <row r="192">
      <c r="P192" s="2" t="inlineStr">
        <is>
          <t>ON-SETDRESSER LABOR</t>
        </is>
      </c>
      <c r="R192" s="8">
        <f>SUM(R191:R191)</f>
        <v/>
      </c>
    </row>
    <row r="194">
      <c r="B194" s="2" t="inlineStr">
        <is>
          <t>BUYERS</t>
        </is>
      </c>
    </row>
    <row r="195">
      <c r="A195" s="5" t="inlineStr">
        <is>
          <t>2706</t>
        </is>
      </c>
      <c r="B195" s="5" t="inlineStr">
        <is>
          <t>Sarah Hickman</t>
        </is>
      </c>
      <c r="C195" s="5" t="inlineStr">
        <is>
          <t>BUYER</t>
        </is>
      </c>
      <c r="D195" s="5" t="inlineStr">
        <is>
          <t>Local44</t>
        </is>
      </c>
      <c r="E195" s="6" t="n">
        <v>23.04</v>
      </c>
      <c r="F195" s="5" t="n"/>
      <c r="G195" s="5" t="n"/>
      <c r="H195" s="5" t="n"/>
      <c r="I195" s="5" t="n"/>
      <c r="J195" s="7">
        <f>IF(AND(N(F195)&gt;0,N(I195)&gt;0),I195-F195-IF(N(G195)&gt;0,0.5,0)-IF(N(H195)&gt;0,0.5,0),0)</f>
        <v/>
      </c>
      <c r="K195" s="5" t="n"/>
      <c r="L195" s="7">
        <f>MIN(J195,10.0)</f>
        <v/>
      </c>
      <c r="M195" s="7">
        <f>MAX(0,MIN(J195,12)-10.0)</f>
        <v/>
      </c>
      <c r="N195" s="7">
        <f>MAX(0,J195-12)</f>
        <v/>
      </c>
      <c r="O195" s="5" t="n"/>
      <c r="P195" s="6">
        <f>E195*(L195+M195*1.5+N195*2+O195*3+N(K195))</f>
        <v/>
      </c>
      <c r="Q195" s="5" t="n"/>
      <c r="R195" s="6">
        <f>Q195-P195</f>
        <v/>
      </c>
    </row>
    <row r="196">
      <c r="P196" s="2" t="inlineStr">
        <is>
          <t>BUYERS LABOR</t>
        </is>
      </c>
      <c r="R196" s="8">
        <f>SUM(R195:R195)</f>
        <v/>
      </c>
    </row>
    <row r="198">
      <c r="B198" s="2" t="inlineStr">
        <is>
          <t>PROPMASTER</t>
        </is>
      </c>
    </row>
    <row r="199">
      <c r="A199" s="5" t="inlineStr">
        <is>
          <t>2801</t>
        </is>
      </c>
      <c r="B199" s="5" t="inlineStr">
        <is>
          <t>Annie Brandt</t>
        </is>
      </c>
      <c r="C199" s="5" t="inlineStr">
        <is>
          <t>PROPMASTER</t>
        </is>
      </c>
      <c r="D199" s="5" t="inlineStr">
        <is>
          <t>Local44</t>
        </is>
      </c>
      <c r="E199" s="6" t="n">
        <v>25.5</v>
      </c>
      <c r="F199" s="5" t="n"/>
      <c r="G199" s="5" t="n"/>
      <c r="H199" s="5" t="n"/>
      <c r="I199" s="5" t="n"/>
      <c r="J199" s="7">
        <f>IF(AND(N(F199)&gt;0,N(I199)&gt;0),I199-F199-IF(N(G199)&gt;0,0.5,0)-IF(N(H199)&gt;0,0.5,0),0)</f>
        <v/>
      </c>
      <c r="K199" s="5" t="n"/>
      <c r="L199" s="7">
        <f>MIN(J199,10.0)</f>
        <v/>
      </c>
      <c r="M199" s="7">
        <f>MAX(0,MIN(J199,12)-10.0)</f>
        <v/>
      </c>
      <c r="N199" s="7">
        <f>MAX(0,J199-12)</f>
        <v/>
      </c>
      <c r="O199" s="5" t="n"/>
      <c r="P199" s="6">
        <f>E199*(L199+M199*1.5+N199*2+O199*3+N(K199))</f>
        <v/>
      </c>
      <c r="Q199" s="6" t="n">
        <v>395.25</v>
      </c>
      <c r="R199" s="6">
        <f>Q199-P199</f>
        <v/>
      </c>
    </row>
    <row r="200">
      <c r="P200" s="2" t="inlineStr">
        <is>
          <t>PROPMASTER LABOR</t>
        </is>
      </c>
      <c r="R200" s="8">
        <f>SUM(R199:R199)</f>
        <v/>
      </c>
    </row>
    <row r="202">
      <c r="B202" s="2" t="inlineStr">
        <is>
          <t>ASSTPROPMASTER</t>
        </is>
      </c>
    </row>
    <row r="203">
      <c r="A203" s="5" t="inlineStr">
        <is>
          <t>2802</t>
        </is>
      </c>
      <c r="B203" s="5" t="inlineStr">
        <is>
          <t>Nate Bakes</t>
        </is>
      </c>
      <c r="C203" s="5" t="inlineStr">
        <is>
          <t>ASSTPROPMASTER</t>
        </is>
      </c>
      <c r="D203" s="5" t="inlineStr">
        <is>
          <t>Local44</t>
        </is>
      </c>
      <c r="E203" s="6" t="n">
        <v>23.04</v>
      </c>
      <c r="F203" s="5" t="n"/>
      <c r="G203" s="5" t="n"/>
      <c r="H203" s="5" t="n"/>
      <c r="I203" s="5" t="n"/>
      <c r="J203" s="7">
        <f>IF(AND(N(F203)&gt;0,N(I203)&gt;0),I203-F203-IF(N(G203)&gt;0,0.5,0)-IF(N(H203)&gt;0,0.5,0),0)</f>
        <v/>
      </c>
      <c r="K203" s="5" t="n"/>
      <c r="L203" s="7">
        <f>MIN(J203,10.0)</f>
        <v/>
      </c>
      <c r="M203" s="7">
        <f>MAX(0,MIN(J203,12)-10.0)</f>
        <v/>
      </c>
      <c r="N203" s="7">
        <f>MAX(0,J203-12)</f>
        <v/>
      </c>
      <c r="O203" s="5" t="n"/>
      <c r="P203" s="6">
        <f>E203*(L203+M203*1.5+N203*2+O203*3+N(K203))</f>
        <v/>
      </c>
      <c r="Q203" s="6" t="n">
        <v>357.12</v>
      </c>
      <c r="R203" s="6">
        <f>Q203-P203</f>
        <v/>
      </c>
    </row>
    <row r="204">
      <c r="P204" s="2" t="inlineStr">
        <is>
          <t>ASSTPROPMASTER LABOR</t>
        </is>
      </c>
      <c r="R204" s="8">
        <f>SUM(R203:R203)</f>
        <v/>
      </c>
    </row>
    <row r="206">
      <c r="B206" s="2" t="inlineStr">
        <is>
          <t>COSTUMEDESIGNER</t>
        </is>
      </c>
    </row>
    <row r="207">
      <c r="A207" s="5" t="inlineStr">
        <is>
          <t>2901</t>
        </is>
      </c>
      <c r="B207" s="5" t="inlineStr">
        <is>
          <t>Megan Spatz</t>
        </is>
      </c>
      <c r="C207" s="5" t="inlineStr">
        <is>
          <t>COSTUMEDESIGNER</t>
        </is>
      </c>
      <c r="D207" s="5" t="inlineStr">
        <is>
          <t>Local892</t>
        </is>
      </c>
      <c r="E207" s="6" t="n">
        <v>540</v>
      </c>
      <c r="F207" s="5" t="n"/>
      <c r="G207" s="5" t="n"/>
      <c r="H207" s="5" t="n"/>
      <c r="I207" s="5" t="n"/>
      <c r="J207" s="7">
        <f>IF(AND(N(F207)&gt;0,N(I207)&gt;0),I207-F207-IF(N(G207)&gt;0,0.5,0)-IF(N(H207)&gt;0,0.5,0),0)</f>
        <v/>
      </c>
      <c r="K207" s="5" t="n"/>
      <c r="L207" s="7">
        <f>MIN(J207,8.0)</f>
        <v/>
      </c>
      <c r="M207" s="7">
        <f>MAX(0,MIN(J207,12)-8.0)</f>
        <v/>
      </c>
      <c r="N207" s="7">
        <f>MAX(0,J207-12)</f>
        <v/>
      </c>
      <c r="O207" s="5" t="n"/>
      <c r="P207" s="6">
        <f>E207*(L207+M207*1.5+N207*2+O207*3+N(K207))</f>
        <v/>
      </c>
      <c r="Q207" s="6" t="n">
        <v>540</v>
      </c>
      <c r="R207" s="6">
        <f>Q207-P207</f>
        <v/>
      </c>
    </row>
    <row r="208">
      <c r="P208" s="2" t="inlineStr">
        <is>
          <t>COSTUMEDESIGNER LABOR</t>
        </is>
      </c>
      <c r="R208" s="8">
        <f>SUM(R207:R207)</f>
        <v/>
      </c>
    </row>
    <row r="210">
      <c r="B210" s="2" t="inlineStr">
        <is>
          <t>COSTUMESUPERVISOR</t>
        </is>
      </c>
    </row>
    <row r="211">
      <c r="A211" s="5" t="inlineStr">
        <is>
          <t>2903</t>
        </is>
      </c>
      <c r="B211" s="5" t="inlineStr">
        <is>
          <t>Danielle Schuck</t>
        </is>
      </c>
      <c r="C211" s="5" t="inlineStr">
        <is>
          <t>COSTUMESUPERVISOR</t>
        </is>
      </c>
      <c r="D211" s="5" t="inlineStr">
        <is>
          <t>Local705</t>
        </is>
      </c>
      <c r="E211" s="6" t="n">
        <v>25.5</v>
      </c>
      <c r="F211" s="5" t="n"/>
      <c r="G211" s="5" t="n"/>
      <c r="H211" s="5" t="n"/>
      <c r="I211" s="5" t="n"/>
      <c r="J211" s="7">
        <f>IF(AND(N(F211)&gt;0,N(I211)&gt;0),I211-F211-IF(N(G211)&gt;0,0.5,0)-IF(N(H211)&gt;0,0.5,0),0)</f>
        <v/>
      </c>
      <c r="K211" s="5" t="n"/>
      <c r="L211" s="7">
        <f>MIN(J211,8.0)</f>
        <v/>
      </c>
      <c r="M211" s="7">
        <f>MAX(0,MIN(J211,12)-8.0)</f>
        <v/>
      </c>
      <c r="N211" s="7">
        <f>MAX(0,J211-12)</f>
        <v/>
      </c>
      <c r="O211" s="5" t="n"/>
      <c r="P211" s="6">
        <f>E211*(L211+M211*1.5+N211*2+O211*3+N(K211))</f>
        <v/>
      </c>
      <c r="Q211" s="6" t="n">
        <v>395.25</v>
      </c>
      <c r="R211" s="6">
        <f>Q211-P211</f>
        <v/>
      </c>
    </row>
    <row r="212">
      <c r="P212" s="2" t="inlineStr">
        <is>
          <t>COSTUMESUPERVISOR LABOR</t>
        </is>
      </c>
      <c r="R212" s="8">
        <f>SUM(R211:R211)</f>
        <v/>
      </c>
    </row>
    <row r="214">
      <c r="B214" s="2" t="inlineStr">
        <is>
          <t>SETCOSTUMERS</t>
        </is>
      </c>
    </row>
    <row r="215">
      <c r="A215" s="5" t="inlineStr">
        <is>
          <t>2905</t>
        </is>
      </c>
      <c r="B215" s="5" t="inlineStr">
        <is>
          <t>Monavie Tutop</t>
        </is>
      </c>
      <c r="C215" s="5" t="inlineStr">
        <is>
          <t>COSTUMER#1</t>
        </is>
      </c>
      <c r="D215" s="5" t="inlineStr">
        <is>
          <t>Local705</t>
        </is>
      </c>
      <c r="E215" s="6" t="n">
        <v>23.04</v>
      </c>
      <c r="F215" s="5" t="n"/>
      <c r="G215" s="5" t="n"/>
      <c r="H215" s="5" t="n"/>
      <c r="I215" s="5" t="n"/>
      <c r="J215" s="7">
        <f>IF(AND(N(F215)&gt;0,N(I215)&gt;0),I215-F215-IF(N(G215)&gt;0,0.5,0)-IF(N(H215)&gt;0,0.5,0),0)</f>
        <v/>
      </c>
      <c r="K215" s="5" t="n"/>
      <c r="L215" s="7">
        <f>MIN(J215,8.0)</f>
        <v/>
      </c>
      <c r="M215" s="7">
        <f>MAX(0,MIN(J215,12)-8.0)</f>
        <v/>
      </c>
      <c r="N215" s="7">
        <f>MAX(0,J215-12)</f>
        <v/>
      </c>
      <c r="O215" s="5" t="n"/>
      <c r="P215" s="6">
        <f>E215*(L215+M215*1.5+N215*2+O215*3+N(K215))</f>
        <v/>
      </c>
      <c r="Q215" s="6" t="n">
        <v>397.43</v>
      </c>
      <c r="R215" s="6">
        <f>Q215-P215</f>
        <v/>
      </c>
    </row>
    <row r="216">
      <c r="A216" s="5" t="inlineStr">
        <is>
          <t>2905</t>
        </is>
      </c>
      <c r="B216" s="5" t="inlineStr"/>
      <c r="C216" s="5" t="inlineStr">
        <is>
          <t>COSTUMER#2</t>
        </is>
      </c>
      <c r="D216" s="5" t="inlineStr">
        <is>
          <t>Local705</t>
        </is>
      </c>
      <c r="E216" s="6" t="n">
        <v>20.57</v>
      </c>
      <c r="F216" s="5" t="n"/>
      <c r="G216" s="5" t="n"/>
      <c r="H216" s="5" t="n"/>
      <c r="I216" s="5" t="n"/>
      <c r="J216" s="7">
        <f>IF(AND(N(F216)&gt;0,N(I216)&gt;0),I216-F216-IF(N(G216)&gt;0,0.5,0)-IF(N(H216)&gt;0,0.5,0),0)</f>
        <v/>
      </c>
      <c r="K216" s="5" t="n"/>
      <c r="L216" s="7">
        <f>MIN(J216,8.0)</f>
        <v/>
      </c>
      <c r="M216" s="7">
        <f>MAX(0,MIN(J216,12)-8.0)</f>
        <v/>
      </c>
      <c r="N216" s="7">
        <f>MAX(0,J216-12)</f>
        <v/>
      </c>
      <c r="O216" s="5" t="n"/>
      <c r="P216" s="6">
        <f>E216*(L216+M216*1.5+N216*2+O216*3+N(K216))</f>
        <v/>
      </c>
      <c r="Q216" s="6" t="n">
        <v>354.83</v>
      </c>
      <c r="R216" s="6">
        <f>Q216-P216</f>
        <v/>
      </c>
    </row>
    <row r="217">
      <c r="P217" s="2" t="inlineStr">
        <is>
          <t>SETCOSTUMERS LABOR</t>
        </is>
      </c>
      <c r="R217" s="8">
        <f>SUM(R215:R216)</f>
        <v/>
      </c>
    </row>
    <row r="219">
      <c r="B219" s="2" t="inlineStr">
        <is>
          <t>KEYMAKE-UP</t>
        </is>
      </c>
    </row>
    <row r="220">
      <c r="A220" s="5" t="inlineStr">
        <is>
          <t>3101</t>
        </is>
      </c>
      <c r="B220" s="5" t="inlineStr">
        <is>
          <t>Eleanor Sabaduquia</t>
        </is>
      </c>
      <c r="C220" s="5" t="inlineStr">
        <is>
          <t>KEYMAKEUPARTIST</t>
        </is>
      </c>
      <c r="D220" s="5" t="inlineStr">
        <is>
          <t>Local706</t>
        </is>
      </c>
      <c r="E220" s="6" t="n">
        <v>25.5</v>
      </c>
      <c r="F220" s="5" t="n"/>
      <c r="G220" s="5" t="n"/>
      <c r="H220" s="5" t="n"/>
      <c r="I220" s="5" t="n"/>
      <c r="J220" s="7">
        <f>IF(AND(N(F220)&gt;0,N(I220)&gt;0),I220-F220-IF(N(G220)&gt;0,0.5,0)-IF(N(H220)&gt;0,0.5,0),0)</f>
        <v/>
      </c>
      <c r="K220" s="5" t="n"/>
      <c r="L220" s="7">
        <f>MIN(J220,10.0)</f>
        <v/>
      </c>
      <c r="M220" s="7">
        <f>MAX(0,MIN(J220,12)-10.0)</f>
        <v/>
      </c>
      <c r="N220" s="7">
        <f>MAX(0,J220-12)</f>
        <v/>
      </c>
      <c r="O220" s="5" t="n"/>
      <c r="P220" s="6">
        <f>E220*(L220+M220*1.5+N220*2+O220*3+N(K220))</f>
        <v/>
      </c>
      <c r="Q220" s="6" t="n">
        <v>439.87</v>
      </c>
      <c r="R220" s="6">
        <f>Q220-P220</f>
        <v/>
      </c>
    </row>
    <row r="221">
      <c r="P221" s="2" t="inlineStr">
        <is>
          <t>KEYMAKE-UP LABOR</t>
        </is>
      </c>
      <c r="R221" s="8">
        <f>SUM(R220:R220)</f>
        <v/>
      </c>
    </row>
    <row r="223">
      <c r="B223" s="2" t="inlineStr">
        <is>
          <t>ASSTMAKE-UP</t>
        </is>
      </c>
    </row>
    <row r="224">
      <c r="A224" s="5" t="inlineStr">
        <is>
          <t>3102</t>
        </is>
      </c>
      <c r="B224" s="5" t="inlineStr">
        <is>
          <t>Yoko Nobushi</t>
        </is>
      </c>
      <c r="C224" s="5" t="inlineStr">
        <is>
          <t>ASSTMAKEUPARTIST#1</t>
        </is>
      </c>
      <c r="D224" s="5" t="inlineStr">
        <is>
          <t>Local706</t>
        </is>
      </c>
      <c r="E224" s="6" t="n">
        <v>23.04</v>
      </c>
      <c r="F224" s="5" t="n"/>
      <c r="G224" s="5" t="n"/>
      <c r="H224" s="5" t="n"/>
      <c r="I224" s="5" t="n"/>
      <c r="J224" s="7">
        <f>IF(AND(N(F224)&gt;0,N(I224)&gt;0),I224-F224-IF(N(G224)&gt;0,0.5,0)-IF(N(H224)&gt;0,0.5,0),0)</f>
        <v/>
      </c>
      <c r="K224" s="5" t="n"/>
      <c r="L224" s="7">
        <f>MIN(J224,10.0)</f>
        <v/>
      </c>
      <c r="M224" s="7">
        <f>MAX(0,MIN(J224,12)-10.0)</f>
        <v/>
      </c>
      <c r="N224" s="7">
        <f>MAX(0,J224-12)</f>
        <v/>
      </c>
      <c r="O224" s="5" t="n"/>
      <c r="P224" s="6">
        <f>E224*(L224+M224*1.5+N224*2+O224*3+N(K224))</f>
        <v/>
      </c>
      <c r="Q224" s="6" t="n">
        <v>397.43</v>
      </c>
      <c r="R224" s="6">
        <f>Q224-P224</f>
        <v/>
      </c>
    </row>
    <row r="225">
      <c r="P225" s="2" t="inlineStr">
        <is>
          <t>ASSTMAKE-UP LABOR</t>
        </is>
      </c>
      <c r="R225" s="8">
        <f>SUM(R224:R224)</f>
        <v/>
      </c>
    </row>
    <row r="227">
      <c r="B227" s="2" t="inlineStr">
        <is>
          <t>ADDITIONALMAKE-UPLABOR</t>
        </is>
      </c>
    </row>
    <row r="228">
      <c r="A228" s="5" t="inlineStr">
        <is>
          <t>3103</t>
        </is>
      </c>
      <c r="B228" s="5" t="inlineStr"/>
      <c r="C228" s="5" t="inlineStr">
        <is>
          <t>ADDLMAKEUPARTISTDAYS</t>
        </is>
      </c>
      <c r="D228" s="5" t="inlineStr">
        <is>
          <t>Local706</t>
        </is>
      </c>
      <c r="E228" s="6" t="n">
        <v>23.04</v>
      </c>
      <c r="F228" s="5" t="n"/>
      <c r="G228" s="5" t="n"/>
      <c r="H228" s="5" t="n"/>
      <c r="I228" s="5" t="n"/>
      <c r="J228" s="7">
        <f>IF(AND(N(F228)&gt;0,N(I228)&gt;0),I228-F228-IF(N(G228)&gt;0,0.5,0)-IF(N(H228)&gt;0,0.5,0),0)</f>
        <v/>
      </c>
      <c r="K228" s="5" t="n"/>
      <c r="L228" s="7">
        <f>MIN(J228,10.0)</f>
        <v/>
      </c>
      <c r="M228" s="7">
        <f>MAX(0,MIN(J228,12)-10.0)</f>
        <v/>
      </c>
      <c r="N228" s="7">
        <f>MAX(0,J228-12)</f>
        <v/>
      </c>
      <c r="O228" s="5" t="n"/>
      <c r="P228" s="6">
        <f>E228*(L228+M228*1.5+N228*2+O228*3+N(K228))</f>
        <v/>
      </c>
      <c r="Q228" s="6" t="n">
        <v>397.43</v>
      </c>
      <c r="R228" s="6">
        <f>Q228-P228</f>
        <v/>
      </c>
    </row>
    <row r="229">
      <c r="P229" s="2" t="inlineStr">
        <is>
          <t>ADDITIONALMAKE-UPLABOR LABOR</t>
        </is>
      </c>
      <c r="R229" s="8">
        <f>SUM(R228:R228)</f>
        <v/>
      </c>
    </row>
    <row r="231">
      <c r="B231" s="2" t="inlineStr">
        <is>
          <t>PROSTHETICS</t>
        </is>
      </c>
    </row>
    <row r="232">
      <c r="A232" s="5" t="inlineStr">
        <is>
          <t>3105</t>
        </is>
      </c>
      <c r="B232" s="5" t="inlineStr"/>
      <c r="C232" s="5" t="inlineStr">
        <is>
          <t>PROSTHETICMAKEUPARTIST</t>
        </is>
      </c>
      <c r="D232" s="5" t="inlineStr">
        <is>
          <t>Local706</t>
        </is>
      </c>
      <c r="E232" s="6" t="n">
        <v>25.5</v>
      </c>
      <c r="F232" s="5" t="n"/>
      <c r="G232" s="5" t="n"/>
      <c r="H232" s="5" t="n"/>
      <c r="I232" s="5" t="n"/>
      <c r="J232" s="7">
        <f>IF(AND(N(F232)&gt;0,N(I232)&gt;0),I232-F232-IF(N(G232)&gt;0,0.5,0)-IF(N(H232)&gt;0,0.5,0),0)</f>
        <v/>
      </c>
      <c r="K232" s="5" t="n"/>
      <c r="L232" s="7">
        <f>MIN(J232,10.0)</f>
        <v/>
      </c>
      <c r="M232" s="7">
        <f>MAX(0,MIN(J232,12)-10.0)</f>
        <v/>
      </c>
      <c r="N232" s="7">
        <f>MAX(0,J232-12)</f>
        <v/>
      </c>
      <c r="O232" s="5" t="n"/>
      <c r="P232" s="6">
        <f>E232*(L232+M232*1.5+N232*2+O232*3+N(K232))</f>
        <v/>
      </c>
      <c r="Q232" s="6" t="n">
        <v>439.87</v>
      </c>
      <c r="R232" s="6">
        <f>Q232-P232</f>
        <v/>
      </c>
    </row>
    <row r="233">
      <c r="A233" s="5" t="inlineStr">
        <is>
          <t>3105</t>
        </is>
      </c>
      <c r="B233" s="5" t="inlineStr"/>
      <c r="C233" s="5" t="inlineStr">
        <is>
          <t>LENSCONSULTANT</t>
        </is>
      </c>
      <c r="D233" s="5" t="inlineStr"/>
      <c r="E233" s="6" t="n">
        <v>50</v>
      </c>
      <c r="F233" s="5" t="n"/>
      <c r="G233" s="5" t="n"/>
      <c r="H233" s="5" t="n"/>
      <c r="I233" s="5" t="n"/>
      <c r="J233" s="7">
        <f>IF(AND(N(F233)&gt;0,N(I233)&gt;0),I233-F233-IF(N(G233)&gt;0,0.5,0)-IF(N(H233)&gt;0,0.5,0),0)</f>
        <v/>
      </c>
      <c r="K233" s="5" t="n"/>
      <c r="L233" s="7">
        <f>MIN(J233,8.0)</f>
        <v/>
      </c>
      <c r="M233" s="7">
        <f>MAX(0,MIN(J233,12)-8.0)</f>
        <v/>
      </c>
      <c r="N233" s="7">
        <f>MAX(0,J233-12)</f>
        <v/>
      </c>
      <c r="O233" s="5" t="n"/>
      <c r="P233" s="6">
        <f>E233*(L233+M233*1.5+N233*2+O233*3+N(K233))</f>
        <v/>
      </c>
      <c r="Q233" s="6" t="n">
        <v>862.53</v>
      </c>
      <c r="R233" s="6">
        <f>Q233-P233</f>
        <v/>
      </c>
    </row>
    <row r="234">
      <c r="P234" s="2" t="inlineStr">
        <is>
          <t>PROSTHETICS LABOR</t>
        </is>
      </c>
      <c r="R234" s="8">
        <f>SUM(R232:R233)</f>
        <v/>
      </c>
    </row>
    <row r="236">
      <c r="B236" s="2" t="inlineStr">
        <is>
          <t>KEYHAIR</t>
        </is>
      </c>
    </row>
    <row r="237">
      <c r="A237" s="5" t="inlineStr">
        <is>
          <t>3111</t>
        </is>
      </c>
      <c r="B237" s="5" t="inlineStr">
        <is>
          <t>Traci Smithe</t>
        </is>
      </c>
      <c r="C237" s="5" t="inlineStr">
        <is>
          <t>KEYHAIR</t>
        </is>
      </c>
      <c r="D237" s="5" t="inlineStr">
        <is>
          <t>Local706</t>
        </is>
      </c>
      <c r="E237" s="6" t="n">
        <v>25.5</v>
      </c>
      <c r="F237" s="5" t="n"/>
      <c r="G237" s="5" t="n"/>
      <c r="H237" s="5" t="n"/>
      <c r="I237" s="5" t="n"/>
      <c r="J237" s="7">
        <f>IF(AND(N(F237)&gt;0,N(I237)&gt;0),I237-F237-IF(N(G237)&gt;0,0.5,0)-IF(N(H237)&gt;0,0.5,0),0)</f>
        <v/>
      </c>
      <c r="K237" s="5" t="n"/>
      <c r="L237" s="7">
        <f>MIN(J237,10.0)</f>
        <v/>
      </c>
      <c r="M237" s="7">
        <f>MAX(0,MIN(J237,12)-10.0)</f>
        <v/>
      </c>
      <c r="N237" s="7">
        <f>MAX(0,J237-12)</f>
        <v/>
      </c>
      <c r="O237" s="5" t="n"/>
      <c r="P237" s="6">
        <f>E237*(L237+M237*1.5+N237*2+O237*3+N(K237))</f>
        <v/>
      </c>
      <c r="Q237" s="6" t="n">
        <v>439.87</v>
      </c>
      <c r="R237" s="6">
        <f>Q237-P237</f>
        <v/>
      </c>
    </row>
    <row r="238">
      <c r="P238" s="2" t="inlineStr">
        <is>
          <t>KEYHAIR LABOR</t>
        </is>
      </c>
      <c r="R238" s="8">
        <f>SUM(R237:R237)</f>
        <v/>
      </c>
    </row>
    <row r="240">
      <c r="B240" s="2" t="inlineStr">
        <is>
          <t>ASSTHAIR</t>
        </is>
      </c>
    </row>
    <row r="241">
      <c r="A241" s="5" t="inlineStr">
        <is>
          <t>3112</t>
        </is>
      </c>
      <c r="B241" s="5" t="inlineStr">
        <is>
          <t>Yunea Cruz</t>
        </is>
      </c>
      <c r="C241" s="5" t="inlineStr">
        <is>
          <t>ASSTHAIRSTYLIST#1</t>
        </is>
      </c>
      <c r="D241" s="5" t="inlineStr">
        <is>
          <t>Local706</t>
        </is>
      </c>
      <c r="E241" s="6" t="n">
        <v>23.04</v>
      </c>
      <c r="F241" s="5" t="n"/>
      <c r="G241" s="5" t="n"/>
      <c r="H241" s="5" t="n"/>
      <c r="I241" s="5" t="n"/>
      <c r="J241" s="7">
        <f>IF(AND(N(F241)&gt;0,N(I241)&gt;0),I241-F241-IF(N(G241)&gt;0,0.5,0)-IF(N(H241)&gt;0,0.5,0),0)</f>
        <v/>
      </c>
      <c r="K241" s="5" t="n"/>
      <c r="L241" s="7">
        <f>MIN(J241,10.0)</f>
        <v/>
      </c>
      <c r="M241" s="7">
        <f>MAX(0,MIN(J241,12)-10.0)</f>
        <v/>
      </c>
      <c r="N241" s="7">
        <f>MAX(0,J241-12)</f>
        <v/>
      </c>
      <c r="O241" s="5" t="n"/>
      <c r="P241" s="6">
        <f>E241*(L241+M241*1.5+N241*2+O241*3+N(K241))</f>
        <v/>
      </c>
      <c r="Q241" s="6" t="n">
        <v>397.43</v>
      </c>
      <c r="R241" s="6">
        <f>Q241-P241</f>
        <v/>
      </c>
    </row>
    <row r="242">
      <c r="P242" s="2" t="inlineStr">
        <is>
          <t>ASSTHAIR LABOR</t>
        </is>
      </c>
      <c r="R242" s="8">
        <f>SUM(R241:R241)</f>
        <v/>
      </c>
    </row>
    <row r="244">
      <c r="B244" s="2" t="inlineStr">
        <is>
          <t>ADDITIONALHAIRLABOR</t>
        </is>
      </c>
    </row>
    <row r="245">
      <c r="A245" s="5" t="inlineStr">
        <is>
          <t>3113</t>
        </is>
      </c>
      <c r="B245" s="5" t="inlineStr"/>
      <c r="C245" s="5" t="inlineStr">
        <is>
          <t>ADDLHAIRSTYLISTDAYS</t>
        </is>
      </c>
      <c r="D245" s="5" t="inlineStr">
        <is>
          <t>Local706</t>
        </is>
      </c>
      <c r="E245" s="6" t="n">
        <v>23.04</v>
      </c>
      <c r="F245" s="5" t="n"/>
      <c r="G245" s="5" t="n"/>
      <c r="H245" s="5" t="n"/>
      <c r="I245" s="5" t="n"/>
      <c r="J245" s="7">
        <f>IF(AND(N(F245)&gt;0,N(I245)&gt;0),I245-F245-IF(N(G245)&gt;0,0.5,0)-IF(N(H245)&gt;0,0.5,0),0)</f>
        <v/>
      </c>
      <c r="K245" s="5" t="n"/>
      <c r="L245" s="7">
        <f>MIN(J245,10.0)</f>
        <v/>
      </c>
      <c r="M245" s="7">
        <f>MAX(0,MIN(J245,12)-10.0)</f>
        <v/>
      </c>
      <c r="N245" s="7">
        <f>MAX(0,J245-12)</f>
        <v/>
      </c>
      <c r="O245" s="5" t="n"/>
      <c r="P245" s="6">
        <f>E245*(L245+M245*1.5+N245*2+O245*3+N(K245))</f>
        <v/>
      </c>
      <c r="Q245" s="6" t="n">
        <v>397.43</v>
      </c>
      <c r="R245" s="6">
        <f>Q245-P245</f>
        <v/>
      </c>
    </row>
    <row r="246">
      <c r="P246" s="2" t="inlineStr">
        <is>
          <t>ADDITIONALHAIRLABOR LABOR</t>
        </is>
      </c>
      <c r="R246" s="8">
        <f>SUM(R245:R245)</f>
        <v/>
      </c>
    </row>
    <row r="248">
      <c r="B248" s="2" t="inlineStr">
        <is>
          <t>GAFFER</t>
        </is>
      </c>
    </row>
    <row r="249">
      <c r="A249" s="5" t="inlineStr">
        <is>
          <t>3201</t>
        </is>
      </c>
      <c r="B249" s="5" t="inlineStr">
        <is>
          <t>Nicholas Kaat</t>
        </is>
      </c>
      <c r="C249" s="5" t="inlineStr">
        <is>
          <t>GAFFER</t>
        </is>
      </c>
      <c r="D249" s="5" t="inlineStr">
        <is>
          <t>Local728</t>
        </is>
      </c>
      <c r="E249" s="6" t="n">
        <v>25.5</v>
      </c>
      <c r="F249" s="5" t="n"/>
      <c r="G249" s="5" t="n"/>
      <c r="H249" s="5" t="n"/>
      <c r="I249" s="5" t="n"/>
      <c r="J249" s="7">
        <f>IF(AND(N(F249)&gt;0,N(I249)&gt;0),I249-F249-IF(N(G249)&gt;0,0.5,0)-IF(N(H249)&gt;0,0.5,0),0)</f>
        <v/>
      </c>
      <c r="K249" s="5" t="n"/>
      <c r="L249" s="7">
        <f>MIN(J249,10.0)</f>
        <v/>
      </c>
      <c r="M249" s="7">
        <f>MAX(0,MIN(J249,12)-10.0)</f>
        <v/>
      </c>
      <c r="N249" s="7">
        <f>MAX(0,J249-12)</f>
        <v/>
      </c>
      <c r="O249" s="5" t="n"/>
      <c r="P249" s="6">
        <f>E249*(L249+M249*1.5+N249*2+O249*3+N(K249))</f>
        <v/>
      </c>
      <c r="Q249" s="6" t="n">
        <v>395.25</v>
      </c>
      <c r="R249" s="6">
        <f>Q249-P249</f>
        <v/>
      </c>
    </row>
    <row r="250">
      <c r="P250" s="2" t="inlineStr">
        <is>
          <t>GAFFER LABOR</t>
        </is>
      </c>
      <c r="R250" s="8">
        <f>SUM(R249:R249)</f>
        <v/>
      </c>
    </row>
    <row r="252">
      <c r="B252" s="2" t="inlineStr">
        <is>
          <t>BESTBOYELECTRIC</t>
        </is>
      </c>
    </row>
    <row r="253">
      <c r="A253" s="5" t="inlineStr">
        <is>
          <t>3202</t>
        </is>
      </c>
      <c r="B253" s="5" t="inlineStr">
        <is>
          <t>Nathan Fetzer</t>
        </is>
      </c>
      <c r="C253" s="5" t="inlineStr">
        <is>
          <t>BESTBOYELECTRIC</t>
        </is>
      </c>
      <c r="D253" s="5" t="inlineStr">
        <is>
          <t>Local728</t>
        </is>
      </c>
      <c r="E253" s="6" t="n">
        <v>23.04</v>
      </c>
      <c r="F253" s="5" t="n"/>
      <c r="G253" s="5" t="n"/>
      <c r="H253" s="5" t="n"/>
      <c r="I253" s="5" t="n"/>
      <c r="J253" s="7">
        <f>IF(AND(N(F253)&gt;0,N(I253)&gt;0),I253-F253-IF(N(G253)&gt;0,0.5,0)-IF(N(H253)&gt;0,0.5,0),0)</f>
        <v/>
      </c>
      <c r="K253" s="5" t="n"/>
      <c r="L253" s="7">
        <f>MIN(J253,10.0)</f>
        <v/>
      </c>
      <c r="M253" s="7">
        <f>MAX(0,MIN(J253,12)-10.0)</f>
        <v/>
      </c>
      <c r="N253" s="7">
        <f>MAX(0,J253-12)</f>
        <v/>
      </c>
      <c r="O253" s="5" t="n"/>
      <c r="P253" s="6">
        <f>E253*(L253+M253*1.5+N253*2+O253*3+N(K253))</f>
        <v/>
      </c>
      <c r="Q253" s="6" t="n">
        <v>357.12</v>
      </c>
      <c r="R253" s="6">
        <f>Q253-P253</f>
        <v/>
      </c>
    </row>
    <row r="254">
      <c r="A254" s="5" t="inlineStr">
        <is>
          <t>3202</t>
        </is>
      </c>
      <c r="B254" s="5" t="inlineStr"/>
      <c r="C254" s="5" t="inlineStr">
        <is>
          <t>STUDIOBESTBOYELECTRIC</t>
        </is>
      </c>
      <c r="D254" s="5" t="inlineStr">
        <is>
          <t>Local728</t>
        </is>
      </c>
      <c r="E254" s="6" t="n">
        <v>43.05</v>
      </c>
      <c r="F254" s="5" t="n"/>
      <c r="G254" s="5" t="n"/>
      <c r="H254" s="5" t="n"/>
      <c r="I254" s="5" t="n"/>
      <c r="J254" s="7">
        <f>IF(AND(N(F254)&gt;0,N(I254)&gt;0),I254-F254-IF(N(G254)&gt;0,0.5,0)-IF(N(H254)&gt;0,0.5,0),0)</f>
        <v/>
      </c>
      <c r="K254" s="5" t="n"/>
      <c r="L254" s="7">
        <f>MIN(J254,10.0)</f>
        <v/>
      </c>
      <c r="M254" s="7">
        <f>MAX(0,MIN(J254,12)-10.0)</f>
        <v/>
      </c>
      <c r="N254" s="7">
        <f>MAX(0,J254-12)</f>
        <v/>
      </c>
      <c r="O254" s="5" t="n"/>
      <c r="P254" s="6">
        <f>E254*(L254+M254*1.5+N254*2+O254*3+N(K254))</f>
        <v/>
      </c>
      <c r="Q254" s="6" t="n">
        <v>667.27</v>
      </c>
      <c r="R254" s="6">
        <f>Q254-P254</f>
        <v/>
      </c>
    </row>
    <row r="255">
      <c r="P255" s="2" t="inlineStr">
        <is>
          <t>BESTBOYELECTRIC LABOR</t>
        </is>
      </c>
      <c r="R255" s="8">
        <f>SUM(R253:R254)</f>
        <v/>
      </c>
    </row>
    <row r="257">
      <c r="B257" s="2" t="inlineStr">
        <is>
          <t>ELECTRICIANS</t>
        </is>
      </c>
    </row>
    <row r="258">
      <c r="A258" s="5" t="inlineStr">
        <is>
          <t>3204</t>
        </is>
      </c>
      <c r="B258" s="5" t="inlineStr"/>
      <c r="C258" s="5" t="inlineStr">
        <is>
          <t>ELECTRICIAN#1</t>
        </is>
      </c>
      <c r="D258" s="5" t="inlineStr">
        <is>
          <t>Local728</t>
        </is>
      </c>
      <c r="E258" s="6" t="n">
        <v>20.57</v>
      </c>
      <c r="F258" s="5" t="n"/>
      <c r="G258" s="5" t="n"/>
      <c r="H258" s="5" t="n"/>
      <c r="I258" s="5" t="n"/>
      <c r="J258" s="7">
        <f>IF(AND(N(F258)&gt;0,N(I258)&gt;0),I258-F258-IF(N(G258)&gt;0,0.5,0)-IF(N(H258)&gt;0,0.5,0),0)</f>
        <v/>
      </c>
      <c r="K258" s="5" t="n"/>
      <c r="L258" s="7">
        <f>MIN(J258,10.0)</f>
        <v/>
      </c>
      <c r="M258" s="7">
        <f>MAX(0,MIN(J258,12)-10.0)</f>
        <v/>
      </c>
      <c r="N258" s="7">
        <f>MAX(0,J258-12)</f>
        <v/>
      </c>
      <c r="O258" s="5" t="n"/>
      <c r="P258" s="6">
        <f>E258*(L258+M258*1.5+N258*2+O258*3+N(K258))</f>
        <v/>
      </c>
      <c r="Q258" s="6" t="n">
        <v>318.83</v>
      </c>
      <c r="R258" s="6">
        <f>Q258-P258</f>
        <v/>
      </c>
    </row>
    <row r="259">
      <c r="A259" s="5" t="inlineStr">
        <is>
          <t>3204</t>
        </is>
      </c>
      <c r="B259" s="5" t="inlineStr"/>
      <c r="C259" s="5" t="inlineStr">
        <is>
          <t>ELECTRICIAN#2</t>
        </is>
      </c>
      <c r="D259" s="5" t="inlineStr">
        <is>
          <t>Local728</t>
        </is>
      </c>
      <c r="E259" s="6" t="n">
        <v>20.57</v>
      </c>
      <c r="F259" s="5" t="n"/>
      <c r="G259" s="5" t="n"/>
      <c r="H259" s="5" t="n"/>
      <c r="I259" s="5" t="n"/>
      <c r="J259" s="7">
        <f>IF(AND(N(F259)&gt;0,N(I259)&gt;0),I259-F259-IF(N(G259)&gt;0,0.5,0)-IF(N(H259)&gt;0,0.5,0),0)</f>
        <v/>
      </c>
      <c r="K259" s="5" t="n"/>
      <c r="L259" s="7">
        <f>MIN(J259,10.0)</f>
        <v/>
      </c>
      <c r="M259" s="7">
        <f>MAX(0,MIN(J259,12)-10.0)</f>
        <v/>
      </c>
      <c r="N259" s="7">
        <f>MAX(0,J259-12)</f>
        <v/>
      </c>
      <c r="O259" s="5" t="n"/>
      <c r="P259" s="6">
        <f>E259*(L259+M259*1.5+N259*2+O259*3+N(K259))</f>
        <v/>
      </c>
      <c r="Q259" s="6" t="n">
        <v>318.83</v>
      </c>
      <c r="R259" s="6">
        <f>Q259-P259</f>
        <v/>
      </c>
    </row>
    <row r="260">
      <c r="A260" s="5" t="inlineStr">
        <is>
          <t>3204</t>
        </is>
      </c>
      <c r="B260" s="5" t="inlineStr"/>
      <c r="C260" s="5" t="inlineStr">
        <is>
          <t>ELECTRICIAN#3</t>
        </is>
      </c>
      <c r="D260" s="5" t="inlineStr">
        <is>
          <t>Local728</t>
        </is>
      </c>
      <c r="E260" s="6" t="n">
        <v>20.57</v>
      </c>
      <c r="F260" s="5" t="n"/>
      <c r="G260" s="5" t="n"/>
      <c r="H260" s="5" t="n"/>
      <c r="I260" s="5" t="n"/>
      <c r="J260" s="7">
        <f>IF(AND(N(F260)&gt;0,N(I260)&gt;0),I260-F260-IF(N(G260)&gt;0,0.5,0)-IF(N(H260)&gt;0,0.5,0),0)</f>
        <v/>
      </c>
      <c r="K260" s="5" t="n"/>
      <c r="L260" s="7">
        <f>MIN(J260,10.0)</f>
        <v/>
      </c>
      <c r="M260" s="7">
        <f>MAX(0,MIN(J260,12)-10.0)</f>
        <v/>
      </c>
      <c r="N260" s="7">
        <f>MAX(0,J260-12)</f>
        <v/>
      </c>
      <c r="O260" s="5" t="n"/>
      <c r="P260" s="6">
        <f>E260*(L260+M260*1.5+N260*2+O260*3+N(K260))</f>
        <v/>
      </c>
      <c r="Q260" s="6" t="n">
        <v>318.83</v>
      </c>
      <c r="R260" s="6">
        <f>Q260-P260</f>
        <v/>
      </c>
    </row>
    <row r="261">
      <c r="P261" s="2" t="inlineStr">
        <is>
          <t>ELECTRICIANS LABOR</t>
        </is>
      </c>
      <c r="R261" s="8">
        <f>SUM(R258:R260)</f>
        <v/>
      </c>
    </row>
    <row r="263">
      <c r="B263" s="2" t="inlineStr">
        <is>
          <t>ADDITIONALELECTRICLABOR</t>
        </is>
      </c>
    </row>
    <row r="264">
      <c r="A264" s="5" t="inlineStr">
        <is>
          <t>3206</t>
        </is>
      </c>
      <c r="B264" s="5" t="inlineStr"/>
      <c r="C264" s="5" t="inlineStr">
        <is>
          <t>ELECTRICMANDAYS&amp;RIGGINGMANDAYS</t>
        </is>
      </c>
      <c r="D264" s="5" t="inlineStr">
        <is>
          <t>Local728</t>
        </is>
      </c>
      <c r="E264" s="6" t="n">
        <v>20.57</v>
      </c>
      <c r="F264" s="5" t="n"/>
      <c r="G264" s="5" t="n"/>
      <c r="H264" s="5" t="n"/>
      <c r="I264" s="5" t="n"/>
      <c r="J264" s="7">
        <f>IF(AND(N(F264)&gt;0,N(I264)&gt;0),I264-F264-IF(N(G264)&gt;0,0.5,0)-IF(N(H264)&gt;0,0.5,0),0)</f>
        <v/>
      </c>
      <c r="K264" s="5" t="n"/>
      <c r="L264" s="7">
        <f>MIN(J264,10.0)</f>
        <v/>
      </c>
      <c r="M264" s="7">
        <f>MAX(0,MIN(J264,12)-10.0)</f>
        <v/>
      </c>
      <c r="N264" s="7">
        <f>MAX(0,J264-12)</f>
        <v/>
      </c>
      <c r="O264" s="5" t="n"/>
      <c r="P264" s="6">
        <f>E264*(L264+M264*1.5+N264*2+O264*3+N(K264))</f>
        <v/>
      </c>
      <c r="Q264" s="6" t="n">
        <v>318.83</v>
      </c>
      <c r="R264" s="6">
        <f>Q264-P264</f>
        <v/>
      </c>
    </row>
    <row r="265">
      <c r="P265" s="2" t="inlineStr">
        <is>
          <t>ADDITIONALELECTRICLABOR LABOR</t>
        </is>
      </c>
      <c r="R265" s="8">
        <f>SUM(R264:R264)</f>
        <v/>
      </c>
    </row>
    <row r="267">
      <c r="B267" s="2" t="inlineStr">
        <is>
          <t>DIRECTOROFPHOTOGRAPHY</t>
        </is>
      </c>
    </row>
    <row r="268">
      <c r="A268" s="5" t="inlineStr">
        <is>
          <t>3301</t>
        </is>
      </c>
      <c r="B268" s="5" t="inlineStr">
        <is>
          <t>Michael Burgess</t>
        </is>
      </c>
      <c r="C268" s="5" t="inlineStr">
        <is>
          <t>DIRECTOROFPHOTOGRAPHY</t>
        </is>
      </c>
      <c r="D268" s="5" t="inlineStr">
        <is>
          <t>Local600</t>
        </is>
      </c>
      <c r="E268" s="6" t="n">
        <v>700</v>
      </c>
      <c r="F268" s="5" t="n"/>
      <c r="G268" s="5" t="n"/>
      <c r="H268" s="5" t="n"/>
      <c r="I268" s="5" t="n"/>
      <c r="J268" s="7">
        <f>IF(AND(N(F268)&gt;0,N(I268)&gt;0),I268-F268-IF(N(G268)&gt;0,0.5,0)-IF(N(H268)&gt;0,0.5,0),0)</f>
        <v/>
      </c>
      <c r="K268" s="5" t="n"/>
      <c r="L268" s="7">
        <f>MIN(J268,8.0)</f>
        <v/>
      </c>
      <c r="M268" s="7">
        <f>MAX(0,MIN(J268,12)-8.0)</f>
        <v/>
      </c>
      <c r="N268" s="7">
        <f>MAX(0,J268-12)</f>
        <v/>
      </c>
      <c r="O268" s="5" t="n"/>
      <c r="P268" s="6">
        <f>E268*(L268+M268*1.5+N268*2+O268*3+N(K268))</f>
        <v/>
      </c>
      <c r="Q268" s="6" t="n">
        <v>700</v>
      </c>
      <c r="R268" s="6">
        <f>Q268-P268</f>
        <v/>
      </c>
    </row>
    <row r="269">
      <c r="P269" s="2" t="inlineStr">
        <is>
          <t>DIRECTOROFPHOTOGRAPHY LABOR</t>
        </is>
      </c>
      <c r="R269" s="8">
        <f>SUM(R268:R268)</f>
        <v/>
      </c>
    </row>
    <row r="271">
      <c r="B271" s="2" t="inlineStr">
        <is>
          <t>CAMERAOPERATORS</t>
        </is>
      </c>
    </row>
    <row r="272">
      <c r="A272" s="5" t="inlineStr">
        <is>
          <t>3302</t>
        </is>
      </c>
      <c r="B272" s="5" t="inlineStr">
        <is>
          <t>Craig Bauer</t>
        </is>
      </c>
      <c r="C272" s="5" t="inlineStr">
        <is>
          <t>"B"CAMERAOP</t>
        </is>
      </c>
      <c r="D272" s="5" t="inlineStr">
        <is>
          <t>Local600</t>
        </is>
      </c>
      <c r="E272" s="6" t="n">
        <v>45</v>
      </c>
      <c r="F272" s="5" t="n"/>
      <c r="G272" s="5" t="n"/>
      <c r="H272" s="5" t="n"/>
      <c r="I272" s="5" t="n"/>
      <c r="J272" s="7">
        <f>IF(AND(N(F272)&gt;0,N(I272)&gt;0),I272-F272-IF(N(G272)&gt;0,0.5,0)-IF(N(H272)&gt;0,0.5,0),0)</f>
        <v/>
      </c>
      <c r="K272" s="5" t="n"/>
      <c r="L272" s="7">
        <f>MIN(J272,8.0)</f>
        <v/>
      </c>
      <c r="M272" s="7">
        <f>MAX(0,MIN(J272,12)-8.0)</f>
        <v/>
      </c>
      <c r="N272" s="7">
        <f>MAX(0,J272-12)</f>
        <v/>
      </c>
      <c r="O272" s="5" t="n"/>
      <c r="P272" s="6">
        <f>E272*(L272+M272*1.5+N272*2+O272*3+N(K272))</f>
        <v/>
      </c>
      <c r="Q272" s="6" t="n">
        <v>630</v>
      </c>
      <c r="R272" s="6">
        <f>Q272-P272</f>
        <v/>
      </c>
    </row>
    <row r="273">
      <c r="P273" s="2" t="inlineStr">
        <is>
          <t>CAMERAOPERATORS LABOR</t>
        </is>
      </c>
      <c r="R273" s="8">
        <f>SUM(R272:R272)</f>
        <v/>
      </c>
    </row>
    <row r="275">
      <c r="B275" s="2" t="inlineStr">
        <is>
          <t>DIGITALIMAGINGTECHS</t>
        </is>
      </c>
    </row>
    <row r="276">
      <c r="A276" s="5" t="inlineStr">
        <is>
          <t>3304</t>
        </is>
      </c>
      <c r="B276" s="5" t="inlineStr">
        <is>
          <t>Oliver Mancebo</t>
        </is>
      </c>
      <c r="C276" s="5" t="inlineStr">
        <is>
          <t>DIT</t>
        </is>
      </c>
      <c r="D276" s="5" t="inlineStr">
        <is>
          <t>Local600</t>
        </is>
      </c>
      <c r="E276" s="6" t="n">
        <v>35</v>
      </c>
      <c r="F276" s="5" t="n"/>
      <c r="G276" s="5" t="n"/>
      <c r="H276" s="5" t="n"/>
      <c r="I276" s="5" t="n"/>
      <c r="J276" s="7">
        <f>IF(AND(N(F276)&gt;0,N(I276)&gt;0),I276-F276-IF(N(G276)&gt;0,0.5,0)-IF(N(H276)&gt;0,0.5,0),0)</f>
        <v/>
      </c>
      <c r="K276" s="5" t="n"/>
      <c r="L276" s="7">
        <f>MIN(J276,8.0)</f>
        <v/>
      </c>
      <c r="M276" s="7">
        <f>MAX(0,MIN(J276,12)-8.0)</f>
        <v/>
      </c>
      <c r="N276" s="7">
        <f>MAX(0,J276-12)</f>
        <v/>
      </c>
      <c r="O276" s="5" t="n"/>
      <c r="P276" s="6">
        <f>E276*(L276+M276*1.5+N276*2+O276*3+N(K276))</f>
        <v/>
      </c>
      <c r="Q276" s="6" t="n">
        <v>542.5</v>
      </c>
      <c r="R276" s="6">
        <f>Q276-P276</f>
        <v/>
      </c>
    </row>
    <row r="277">
      <c r="P277" s="2" t="inlineStr">
        <is>
          <t>DIGITALIMAGINGTECHS LABOR</t>
        </is>
      </c>
      <c r="R277" s="8">
        <f>SUM(R276:R276)</f>
        <v/>
      </c>
    </row>
    <row r="279">
      <c r="B279" s="2" t="inlineStr">
        <is>
          <t>1STASSTCAMERA</t>
        </is>
      </c>
    </row>
    <row r="280">
      <c r="A280" s="5" t="inlineStr">
        <is>
          <t>3305</t>
        </is>
      </c>
      <c r="B280" s="5" t="inlineStr">
        <is>
          <t>Steve Cueva</t>
        </is>
      </c>
      <c r="C280" s="5" t="inlineStr">
        <is>
          <t>"A"CAMERA 1STAC</t>
        </is>
      </c>
      <c r="D280" s="5" t="inlineStr">
        <is>
          <t>Local600</t>
        </is>
      </c>
      <c r="E280" s="6" t="n">
        <v>25.5</v>
      </c>
      <c r="F280" s="5" t="n"/>
      <c r="G280" s="5" t="n"/>
      <c r="H280" s="5" t="n"/>
      <c r="I280" s="5" t="n"/>
      <c r="J280" s="7">
        <f>IF(AND(N(F280)&gt;0,N(I280)&gt;0),I280-F280-IF(N(G280)&gt;0,0.5,0)-IF(N(H280)&gt;0,0.5,0),0)</f>
        <v/>
      </c>
      <c r="K280" s="5" t="n"/>
      <c r="L280" s="7">
        <f>MIN(J280,8.0)</f>
        <v/>
      </c>
      <c r="M280" s="7">
        <f>MAX(0,MIN(J280,12)-8.0)</f>
        <v/>
      </c>
      <c r="N280" s="7">
        <f>MAX(0,J280-12)</f>
        <v/>
      </c>
      <c r="O280" s="5" t="n"/>
      <c r="P280" s="6">
        <f>E280*(L280+M280*1.5+N280*2+O280*3+N(K280))</f>
        <v/>
      </c>
      <c r="Q280" s="6" t="n">
        <v>395.25</v>
      </c>
      <c r="R280" s="6">
        <f>Q280-P280</f>
        <v/>
      </c>
    </row>
    <row r="281">
      <c r="A281" s="5" t="inlineStr">
        <is>
          <t>3305</t>
        </is>
      </c>
      <c r="B281" s="5" t="inlineStr">
        <is>
          <t>Chris Garcia</t>
        </is>
      </c>
      <c r="C281" s="5" t="inlineStr">
        <is>
          <t>"B"CAMERA 1STAC</t>
        </is>
      </c>
      <c r="D281" s="5" t="inlineStr">
        <is>
          <t>Local600</t>
        </is>
      </c>
      <c r="E281" s="6" t="n">
        <v>25.5</v>
      </c>
      <c r="F281" s="5" t="n"/>
      <c r="G281" s="5" t="n"/>
      <c r="H281" s="5" t="n"/>
      <c r="I281" s="5" t="n"/>
      <c r="J281" s="7">
        <f>IF(AND(N(F281)&gt;0,N(I281)&gt;0),I281-F281-IF(N(G281)&gt;0,0.5,0)-IF(N(H281)&gt;0,0.5,0),0)</f>
        <v/>
      </c>
      <c r="K281" s="5" t="n"/>
      <c r="L281" s="7">
        <f>MIN(J281,8.0)</f>
        <v/>
      </c>
      <c r="M281" s="7">
        <f>MAX(0,MIN(J281,12)-8.0)</f>
        <v/>
      </c>
      <c r="N281" s="7">
        <f>MAX(0,J281-12)</f>
        <v/>
      </c>
      <c r="O281" s="5" t="n"/>
      <c r="P281" s="6">
        <f>E281*(L281+M281*1.5+N281*2+O281*3+N(K281))</f>
        <v/>
      </c>
      <c r="Q281" s="6" t="n">
        <v>395.25</v>
      </c>
      <c r="R281" s="6">
        <f>Q281-P281</f>
        <v/>
      </c>
    </row>
    <row r="282">
      <c r="P282" s="2" t="inlineStr">
        <is>
          <t>1STASSTCAMERA LABOR</t>
        </is>
      </c>
      <c r="R282" s="8">
        <f>SUM(R280:R281)</f>
        <v/>
      </c>
    </row>
    <row r="284">
      <c r="B284" s="2" t="inlineStr">
        <is>
          <t>2NDASSTCAMERA</t>
        </is>
      </c>
    </row>
    <row r="285">
      <c r="A285" s="5" t="inlineStr">
        <is>
          <t>3306</t>
        </is>
      </c>
      <c r="B285" s="5" t="inlineStr">
        <is>
          <t>Manny Serrano</t>
        </is>
      </c>
      <c r="C285" s="5" t="inlineStr">
        <is>
          <t>"A"CAMERA 2NDAC</t>
        </is>
      </c>
      <c r="D285" s="5" t="inlineStr">
        <is>
          <t>Local600</t>
        </is>
      </c>
      <c r="E285" s="6" t="n">
        <v>23.04</v>
      </c>
      <c r="F285" s="5" t="n"/>
      <c r="G285" s="5" t="n"/>
      <c r="H285" s="5" t="n"/>
      <c r="I285" s="5" t="n"/>
      <c r="J285" s="7">
        <f>IF(AND(N(F285)&gt;0,N(I285)&gt;0),I285-F285-IF(N(G285)&gt;0,0.5,0)-IF(N(H285)&gt;0,0.5,0),0)</f>
        <v/>
      </c>
      <c r="K285" s="5" t="n"/>
      <c r="L285" s="7">
        <f>MIN(J285,8.0)</f>
        <v/>
      </c>
      <c r="M285" s="7">
        <f>MAX(0,MIN(J285,12)-8.0)</f>
        <v/>
      </c>
      <c r="N285" s="7">
        <f>MAX(0,J285-12)</f>
        <v/>
      </c>
      <c r="O285" s="5" t="n"/>
      <c r="P285" s="6">
        <f>E285*(L285+M285*1.5+N285*2+O285*3+N(K285))</f>
        <v/>
      </c>
      <c r="Q285" s="6" t="n">
        <v>357.12</v>
      </c>
      <c r="R285" s="6">
        <f>Q285-P285</f>
        <v/>
      </c>
    </row>
    <row r="286">
      <c r="A286" s="5" t="inlineStr">
        <is>
          <t>3306</t>
        </is>
      </c>
      <c r="B286" s="5" t="inlineStr"/>
      <c r="C286" s="5" t="inlineStr">
        <is>
          <t>"B"CAMERA 2NDAC</t>
        </is>
      </c>
      <c r="D286" s="5" t="inlineStr">
        <is>
          <t>Local600</t>
        </is>
      </c>
      <c r="E286" s="6" t="n">
        <v>23.04</v>
      </c>
      <c r="F286" s="5" t="n"/>
      <c r="G286" s="5" t="n"/>
      <c r="H286" s="5" t="n"/>
      <c r="I286" s="5" t="n"/>
      <c r="J286" s="7">
        <f>IF(AND(N(F286)&gt;0,N(I286)&gt;0),I286-F286-IF(N(G286)&gt;0,0.5,0)-IF(N(H286)&gt;0,0.5,0),0)</f>
        <v/>
      </c>
      <c r="K286" s="5" t="n"/>
      <c r="L286" s="7">
        <f>MIN(J286,8.0)</f>
        <v/>
      </c>
      <c r="M286" s="7">
        <f>MAX(0,MIN(J286,12)-8.0)</f>
        <v/>
      </c>
      <c r="N286" s="7">
        <f>MAX(0,J286-12)</f>
        <v/>
      </c>
      <c r="O286" s="5" t="n"/>
      <c r="P286" s="6">
        <f>E286*(L286+M286*1.5+N286*2+O286*3+N(K286))</f>
        <v/>
      </c>
      <c r="Q286" s="6" t="n">
        <v>357.12</v>
      </c>
      <c r="R286" s="6">
        <f>Q286-P286</f>
        <v/>
      </c>
    </row>
    <row r="287">
      <c r="P287" s="2" t="inlineStr">
        <is>
          <t>2NDASSTCAMERA LABOR</t>
        </is>
      </c>
      <c r="R287" s="8">
        <f>SUM(R285:R286)</f>
        <v/>
      </c>
    </row>
    <row r="289">
      <c r="B289" s="2" t="inlineStr">
        <is>
          <t>STILLPHOTOGRAPHER</t>
        </is>
      </c>
    </row>
    <row r="290">
      <c r="A290" s="5" t="inlineStr">
        <is>
          <t>3308</t>
        </is>
      </c>
      <c r="B290" s="5" t="inlineStr">
        <is>
          <t>Scott Patrick Green</t>
        </is>
      </c>
      <c r="C290" s="5" t="inlineStr">
        <is>
          <t>STILLPHOTOGRAPHER</t>
        </is>
      </c>
      <c r="D290" s="5" t="inlineStr">
        <is>
          <t>Local600</t>
        </is>
      </c>
      <c r="E290" s="6" t="n">
        <v>26.5</v>
      </c>
      <c r="F290" s="5" t="n"/>
      <c r="G290" s="5" t="n"/>
      <c r="H290" s="5" t="n"/>
      <c r="I290" s="5" t="n"/>
      <c r="J290" s="7">
        <f>IF(AND(N(F290)&gt;0,N(I290)&gt;0),I290-F290-IF(N(G290)&gt;0,0.5,0)-IF(N(H290)&gt;0,0.5,0),0)</f>
        <v/>
      </c>
      <c r="K290" s="5" t="n"/>
      <c r="L290" s="7">
        <f>MIN(J290,8.0)</f>
        <v/>
      </c>
      <c r="M290" s="7">
        <f>MAX(0,MIN(J290,12)-8.0)</f>
        <v/>
      </c>
      <c r="N290" s="7">
        <f>MAX(0,J290-12)</f>
        <v/>
      </c>
      <c r="O290" s="5" t="n"/>
      <c r="P290" s="6">
        <f>E290*(L290+M290*1.5+N290*2+O290*3+N(K290))</f>
        <v/>
      </c>
      <c r="Q290" s="6" t="n">
        <v>291.5</v>
      </c>
      <c r="R290" s="6">
        <f>Q290-P290</f>
        <v/>
      </c>
    </row>
    <row r="291">
      <c r="P291" s="2" t="inlineStr">
        <is>
          <t>STILLPHOTOGRAPHER LABOR</t>
        </is>
      </c>
      <c r="R291" s="8">
        <f>SUM(R290:R290)</f>
        <v/>
      </c>
    </row>
    <row r="293">
      <c r="B293" s="2" t="inlineStr">
        <is>
          <t>AERIAL/UNDERWATERPHOTOGRAPHY</t>
        </is>
      </c>
    </row>
    <row r="294">
      <c r="A294" s="5" t="inlineStr">
        <is>
          <t>3385</t>
        </is>
      </c>
      <c r="B294" s="5" t="inlineStr"/>
      <c r="C294" s="5" t="inlineStr">
        <is>
          <t>UNDERWATEROPERATOR</t>
        </is>
      </c>
      <c r="D294" s="5" t="inlineStr">
        <is>
          <t>Local600</t>
        </is>
      </c>
      <c r="E294" s="6" t="n">
        <v>65</v>
      </c>
      <c r="F294" s="5" t="n"/>
      <c r="G294" s="5" t="n"/>
      <c r="H294" s="5" t="n"/>
      <c r="I294" s="5" t="n"/>
      <c r="J294" s="7">
        <f>IF(AND(N(F294)&gt;0,N(I294)&gt;0),I294-F294-IF(N(G294)&gt;0,0.5,0)-IF(N(H294)&gt;0,0.5,0),0)</f>
        <v/>
      </c>
      <c r="K294" s="5" t="n"/>
      <c r="L294" s="7">
        <f>MIN(J294,8.0)</f>
        <v/>
      </c>
      <c r="M294" s="7">
        <f>MAX(0,MIN(J294,12)-8.0)</f>
        <v/>
      </c>
      <c r="N294" s="7">
        <f>MAX(0,J294-12)</f>
        <v/>
      </c>
      <c r="O294" s="5" t="n"/>
      <c r="P294" s="6">
        <f>E294*(L294+M294*1.5+N294*2+O294*3+N(K294))</f>
        <v/>
      </c>
      <c r="Q294" s="6" t="n">
        <v>910</v>
      </c>
      <c r="R294" s="6">
        <f>Q294-P294</f>
        <v/>
      </c>
    </row>
    <row r="295">
      <c r="P295" s="2" t="inlineStr">
        <is>
          <t>AERIAL/UNDERWATERPHOTOGRAPHY LABOR</t>
        </is>
      </c>
      <c r="R295" s="8">
        <f>SUM(R294:R294)</f>
        <v/>
      </c>
    </row>
    <row r="297">
      <c r="B297" s="2" t="inlineStr">
        <is>
          <t>SOUNDMIXER</t>
        </is>
      </c>
    </row>
    <row r="298">
      <c r="A298" s="5" t="inlineStr">
        <is>
          <t>3401</t>
        </is>
      </c>
      <c r="B298" s="5" t="inlineStr">
        <is>
          <t>Julian Howarth</t>
        </is>
      </c>
      <c r="C298" s="5" t="inlineStr">
        <is>
          <t>SOUNDMIXER</t>
        </is>
      </c>
      <c r="D298" s="5" t="inlineStr">
        <is>
          <t>Local695</t>
        </is>
      </c>
      <c r="E298" s="6" t="n">
        <v>26.5</v>
      </c>
      <c r="F298" s="5" t="n"/>
      <c r="G298" s="5" t="n"/>
      <c r="H298" s="5" t="n"/>
      <c r="I298" s="5" t="n"/>
      <c r="J298" s="7">
        <f>IF(AND(N(F298)&gt;0,N(I298)&gt;0),I298-F298-IF(N(G298)&gt;0,0.5,0)-IF(N(H298)&gt;0,0.5,0),0)</f>
        <v/>
      </c>
      <c r="K298" s="5" t="n"/>
      <c r="L298" s="7">
        <f>MIN(J298,10.0)</f>
        <v/>
      </c>
      <c r="M298" s="7">
        <f>MAX(0,MIN(J298,12)-10.0)</f>
        <v/>
      </c>
      <c r="N298" s="7">
        <f>MAX(0,J298-12)</f>
        <v/>
      </c>
      <c r="O298" s="5" t="n"/>
      <c r="P298" s="6">
        <f>E298*(L298+M298*1.5+N298*2+O298*3+N(K298))</f>
        <v/>
      </c>
      <c r="Q298" s="6" t="n">
        <v>410.75</v>
      </c>
      <c r="R298" s="6">
        <f>Q298-P298</f>
        <v/>
      </c>
    </row>
    <row r="299">
      <c r="P299" s="2" t="inlineStr">
        <is>
          <t>SOUNDMIXER LABOR</t>
        </is>
      </c>
      <c r="R299" s="8">
        <f>SUM(R298:R298)</f>
        <v/>
      </c>
    </row>
    <row r="301">
      <c r="B301" s="2" t="inlineStr">
        <is>
          <t>BOOMOPERATOR</t>
        </is>
      </c>
    </row>
    <row r="302">
      <c r="A302" s="5" t="inlineStr">
        <is>
          <t>3402</t>
        </is>
      </c>
      <c r="B302" s="5" t="inlineStr">
        <is>
          <t>Tim Song Jones</t>
        </is>
      </c>
      <c r="C302" s="5" t="inlineStr">
        <is>
          <t>BOOMOPERATOR</t>
        </is>
      </c>
      <c r="D302" s="5" t="inlineStr">
        <is>
          <t>Local695</t>
        </is>
      </c>
      <c r="E302" s="6" t="n">
        <v>23.04</v>
      </c>
      <c r="F302" s="5" t="n"/>
      <c r="G302" s="5" t="n"/>
      <c r="H302" s="5" t="n"/>
      <c r="I302" s="5" t="n"/>
      <c r="J302" s="7">
        <f>IF(AND(N(F302)&gt;0,N(I302)&gt;0),I302-F302-IF(N(G302)&gt;0,0.5,0)-IF(N(H302)&gt;0,0.5,0),0)</f>
        <v/>
      </c>
      <c r="K302" s="5" t="n"/>
      <c r="L302" s="7">
        <f>MIN(J302,10.0)</f>
        <v/>
      </c>
      <c r="M302" s="7">
        <f>MAX(0,MIN(J302,12)-10.0)</f>
        <v/>
      </c>
      <c r="N302" s="7">
        <f>MAX(0,J302-12)</f>
        <v/>
      </c>
      <c r="O302" s="5" t="n"/>
      <c r="P302" s="6">
        <f>E302*(L302+M302*1.5+N302*2+O302*3+N(K302))</f>
        <v/>
      </c>
      <c r="Q302" s="6" t="n">
        <v>357.12</v>
      </c>
      <c r="R302" s="6">
        <f>Q302-P302</f>
        <v/>
      </c>
    </row>
    <row r="303">
      <c r="P303" s="2" t="inlineStr">
        <is>
          <t>BOOMOPERATOR LABOR</t>
        </is>
      </c>
      <c r="R303" s="8">
        <f>SUM(R302:R302)</f>
        <v/>
      </c>
    </row>
    <row r="305">
      <c r="B305" s="2" t="inlineStr">
        <is>
          <t>CABLEPERSON</t>
        </is>
      </c>
    </row>
    <row r="306">
      <c r="A306" s="5" t="inlineStr">
        <is>
          <t>3403</t>
        </is>
      </c>
      <c r="B306" s="5" t="inlineStr"/>
      <c r="C306" s="5" t="inlineStr">
        <is>
          <t>UTILITYSOUND</t>
        </is>
      </c>
      <c r="D306" s="5" t="inlineStr">
        <is>
          <t>Local695</t>
        </is>
      </c>
      <c r="E306" s="6" t="n">
        <v>20.57</v>
      </c>
      <c r="F306" s="5" t="n"/>
      <c r="G306" s="5" t="n"/>
      <c r="H306" s="5" t="n"/>
      <c r="I306" s="5" t="n"/>
      <c r="J306" s="7">
        <f>IF(AND(N(F306)&gt;0,N(I306)&gt;0),I306-F306-IF(N(G306)&gt;0,0.5,0)-IF(N(H306)&gt;0,0.5,0),0)</f>
        <v/>
      </c>
      <c r="K306" s="5" t="n"/>
      <c r="L306" s="7">
        <f>MIN(J306,10.0)</f>
        <v/>
      </c>
      <c r="M306" s="7">
        <f>MAX(0,MIN(J306,12)-10.0)</f>
        <v/>
      </c>
      <c r="N306" s="7">
        <f>MAX(0,J306-12)</f>
        <v/>
      </c>
      <c r="O306" s="5" t="n"/>
      <c r="P306" s="6">
        <f>E306*(L306+M306*1.5+N306*2+O306*3+N(K306))</f>
        <v/>
      </c>
      <c r="Q306" s="6" t="n">
        <v>318.83</v>
      </c>
      <c r="R306" s="6">
        <f>Q306-P306</f>
        <v/>
      </c>
    </row>
    <row r="307">
      <c r="P307" s="2" t="inlineStr">
        <is>
          <t>CABLEPERSON LABOR</t>
        </is>
      </c>
      <c r="R307" s="8">
        <f>SUM(R306:R306)</f>
        <v/>
      </c>
    </row>
    <row r="309">
      <c r="B309" s="2" t="inlineStr">
        <is>
          <t>VIDEOASSIST</t>
        </is>
      </c>
    </row>
    <row r="310">
      <c r="A310" s="5" t="inlineStr">
        <is>
          <t>3404</t>
        </is>
      </c>
      <c r="B310" s="5" t="inlineStr">
        <is>
          <t>Jeff Snyder</t>
        </is>
      </c>
      <c r="C310" s="5" t="inlineStr">
        <is>
          <t>VIDEOASSISTOPERATOR</t>
        </is>
      </c>
      <c r="D310" s="5" t="inlineStr">
        <is>
          <t>Local695</t>
        </is>
      </c>
      <c r="E310" s="6" t="n">
        <v>23.04</v>
      </c>
      <c r="F310" s="5" t="n"/>
      <c r="G310" s="5" t="n"/>
      <c r="H310" s="5" t="n"/>
      <c r="I310" s="5" t="n"/>
      <c r="J310" s="7">
        <f>IF(AND(N(F310)&gt;0,N(I310)&gt;0),I310-F310-IF(N(G310)&gt;0,0.5,0)-IF(N(H310)&gt;0,0.5,0),0)</f>
        <v/>
      </c>
      <c r="K310" s="5" t="n"/>
      <c r="L310" s="7">
        <f>MIN(J310,10.0)</f>
        <v/>
      </c>
      <c r="M310" s="7">
        <f>MAX(0,MIN(J310,12)-10.0)</f>
        <v/>
      </c>
      <c r="N310" s="7">
        <f>MAX(0,J310-12)</f>
        <v/>
      </c>
      <c r="O310" s="5" t="n"/>
      <c r="P310" s="6">
        <f>E310*(L310+M310*1.5+N310*2+O310*3+N(K310))</f>
        <v/>
      </c>
      <c r="Q310" s="6" t="n">
        <v>357.12</v>
      </c>
      <c r="R310" s="6">
        <f>Q310-P310</f>
        <v/>
      </c>
    </row>
    <row r="311">
      <c r="P311" s="2" t="inlineStr">
        <is>
          <t>VIDEOASSIST LABOR</t>
        </is>
      </c>
      <c r="R311" s="8">
        <f>SUM(R310:R310)</f>
        <v/>
      </c>
    </row>
    <row r="313">
      <c r="B313" s="2" t="inlineStr">
        <is>
          <t>CAPTAIN</t>
        </is>
      </c>
    </row>
    <row r="314">
      <c r="A314" s="5" t="inlineStr">
        <is>
          <t>3502</t>
        </is>
      </c>
      <c r="B314" s="5" t="inlineStr">
        <is>
          <t>Kevin Caira</t>
        </is>
      </c>
      <c r="C314" s="5" t="inlineStr">
        <is>
          <t>TRANSPOCAPTAIN(LA)</t>
        </is>
      </c>
      <c r="D314" s="5" t="inlineStr">
        <is>
          <t>Local399</t>
        </is>
      </c>
      <c r="E314" s="6" t="n">
        <v>37.21</v>
      </c>
      <c r="F314" s="5" t="n"/>
      <c r="G314" s="5" t="n"/>
      <c r="H314" s="5" t="n"/>
      <c r="I314" s="5" t="n"/>
      <c r="J314" s="7">
        <f>IF(AND(N(F314)&gt;0,N(I314)&gt;0),I314-F314-IF(N(G314)&gt;0,0.5,0)-IF(N(H314)&gt;0,0.5,0),0)</f>
        <v/>
      </c>
      <c r="K314" s="5" t="n"/>
      <c r="L314" s="7">
        <f>MIN(J314,8.0)</f>
        <v/>
      </c>
      <c r="M314" s="7">
        <f>MAX(0,MIN(J314,12)-8.0)</f>
        <v/>
      </c>
      <c r="N314" s="7">
        <f>MAX(0,J314-12)</f>
        <v/>
      </c>
      <c r="O314" s="5" t="n"/>
      <c r="P314" s="6">
        <f>E314*(L314+M314*1.5+N314*2+O314*3+N(K314))</f>
        <v/>
      </c>
      <c r="Q314" s="6" t="n">
        <v>651.17</v>
      </c>
      <c r="R314" s="6">
        <f>Q314-P314</f>
        <v/>
      </c>
    </row>
    <row r="315">
      <c r="A315" s="5" t="inlineStr">
        <is>
          <t>3502</t>
        </is>
      </c>
      <c r="B315" s="5" t="inlineStr">
        <is>
          <t>Tina Peterson</t>
        </is>
      </c>
      <c r="C315" s="5" t="inlineStr">
        <is>
          <t>CO-CAPTAIN</t>
        </is>
      </c>
      <c r="D315" s="5" t="inlineStr">
        <is>
          <t>Local399</t>
        </is>
      </c>
      <c r="E315" s="6" t="n">
        <v>37.21</v>
      </c>
      <c r="F315" s="5" t="n"/>
      <c r="G315" s="5" t="n"/>
      <c r="H315" s="5" t="n"/>
      <c r="I315" s="5" t="n"/>
      <c r="J315" s="7">
        <f>IF(AND(N(F315)&gt;0,N(I315)&gt;0),I315-F315-IF(N(G315)&gt;0,0.5,0)-IF(N(H315)&gt;0,0.5,0),0)</f>
        <v/>
      </c>
      <c r="K315" s="5" t="n"/>
      <c r="L315" s="7">
        <f>MIN(J315,8.0)</f>
        <v/>
      </c>
      <c r="M315" s="7">
        <f>MAX(0,MIN(J315,12)-8.0)</f>
        <v/>
      </c>
      <c r="N315" s="7">
        <f>MAX(0,J315-12)</f>
        <v/>
      </c>
      <c r="O315" s="5" t="n"/>
      <c r="P315" s="6">
        <f>E315*(L315+M315*1.5+N315*2+O315*3+N(K315))</f>
        <v/>
      </c>
      <c r="Q315" s="6" t="n">
        <v>576.75</v>
      </c>
      <c r="R315" s="6">
        <f>Q315-P315</f>
        <v/>
      </c>
    </row>
    <row r="316">
      <c r="P316" s="2" t="inlineStr">
        <is>
          <t>CAPTAIN LABOR</t>
        </is>
      </c>
      <c r="R316" s="8">
        <f>SUM(R314:R315)</f>
        <v/>
      </c>
    </row>
    <row r="318">
      <c r="B318" s="2" t="inlineStr">
        <is>
          <t>DRIVERS</t>
        </is>
      </c>
    </row>
    <row r="319">
      <c r="A319" s="5" t="inlineStr">
        <is>
          <t>3503</t>
        </is>
      </c>
      <c r="B319" s="5" t="inlineStr"/>
      <c r="C319" s="5" t="inlineStr">
        <is>
          <t>GRIPTRUCK 48'TRACTORTRAILERDRIVER</t>
        </is>
      </c>
      <c r="D319" s="5" t="inlineStr"/>
      <c r="E319" s="6" t="n">
        <v>32.36</v>
      </c>
      <c r="F319" s="5" t="n"/>
      <c r="G319" s="5" t="n"/>
      <c r="H319" s="5" t="n"/>
      <c r="I319" s="5" t="n"/>
      <c r="J319" s="7">
        <f>IF(AND(N(F319)&gt;0,N(I319)&gt;0),I319-F319-IF(N(G319)&gt;0,0.5,0)-IF(N(H319)&gt;0,0.5,0),0)</f>
        <v/>
      </c>
      <c r="K319" s="5" t="n"/>
      <c r="L319" s="7">
        <f>MIN(J319,8.0)</f>
        <v/>
      </c>
      <c r="M319" s="7">
        <f>MAX(0,MIN(J319,12)-8.0)</f>
        <v/>
      </c>
      <c r="N319" s="7">
        <f>MAX(0,J319-12)</f>
        <v/>
      </c>
      <c r="O319" s="5" t="n"/>
      <c r="P319" s="6">
        <f>E319*(L319+M319*1.5+N319*2+O319*3+N(K319))</f>
        <v/>
      </c>
      <c r="Q319" s="6" t="n">
        <v>501.58</v>
      </c>
      <c r="R319" s="6">
        <f>Q319-P319</f>
        <v/>
      </c>
    </row>
    <row r="320">
      <c r="A320" s="5" t="inlineStr">
        <is>
          <t>3503</t>
        </is>
      </c>
      <c r="B320" s="5" t="inlineStr">
        <is>
          <t>Donald Wilson</t>
        </is>
      </c>
      <c r="C320" s="5" t="inlineStr">
        <is>
          <t>PROP 5-TON(ENCLOSED)</t>
        </is>
      </c>
      <c r="D320" s="5" t="inlineStr"/>
      <c r="E320" s="6" t="n">
        <v>32.36</v>
      </c>
      <c r="F320" s="5" t="n"/>
      <c r="G320" s="5" t="n"/>
      <c r="H320" s="5" t="n"/>
      <c r="I320" s="5" t="n"/>
      <c r="J320" s="7">
        <f>IF(AND(N(F320)&gt;0,N(I320)&gt;0),I320-F320-IF(N(G320)&gt;0,0.5,0)-IF(N(H320)&gt;0,0.5,0),0)</f>
        <v/>
      </c>
      <c r="K320" s="5" t="n"/>
      <c r="L320" s="7">
        <f>MIN(J320,8.0)</f>
        <v/>
      </c>
      <c r="M320" s="7">
        <f>MAX(0,MIN(J320,12)-8.0)</f>
        <v/>
      </c>
      <c r="N320" s="7">
        <f>MAX(0,J320-12)</f>
        <v/>
      </c>
      <c r="O320" s="5" t="n"/>
      <c r="P320" s="6">
        <f>E320*(L320+M320*1.5+N320*2+O320*3+N(K320))</f>
        <v/>
      </c>
      <c r="Q320" s="6" t="n">
        <v>501.58</v>
      </c>
      <c r="R320" s="6">
        <f>Q320-P320</f>
        <v/>
      </c>
    </row>
    <row r="321">
      <c r="A321" s="5" t="inlineStr">
        <is>
          <t>3503</t>
        </is>
      </c>
      <c r="B321" s="5" t="inlineStr"/>
      <c r="C321" s="5" t="inlineStr">
        <is>
          <t>WARDROBESTAKEBEDDRIVER#1</t>
        </is>
      </c>
      <c r="D321" s="5" t="inlineStr"/>
      <c r="E321" s="6" t="n">
        <v>37.99</v>
      </c>
      <c r="F321" s="5" t="n"/>
      <c r="G321" s="5" t="n"/>
      <c r="H321" s="5" t="n"/>
      <c r="I321" s="5" t="n"/>
      <c r="J321" s="7">
        <f>IF(AND(N(F321)&gt;0,N(I321)&gt;0),I321-F321-IF(N(G321)&gt;0,0.5,0)-IF(N(H321)&gt;0,0.5,0),0)</f>
        <v/>
      </c>
      <c r="K321" s="5" t="n"/>
      <c r="L321" s="7">
        <f>MIN(J321,8.0)</f>
        <v/>
      </c>
      <c r="M321" s="7">
        <f>MAX(0,MIN(J321,12)-8.0)</f>
        <v/>
      </c>
      <c r="N321" s="7">
        <f>MAX(0,J321-12)</f>
        <v/>
      </c>
      <c r="O321" s="5" t="n"/>
      <c r="P321" s="6">
        <f>E321*(L321+M321*1.5+N321*2+O321*3+N(K321))</f>
        <v/>
      </c>
      <c r="Q321" s="6" t="n">
        <v>588.85</v>
      </c>
      <c r="R321" s="6">
        <f>Q321-P321</f>
        <v/>
      </c>
    </row>
    <row r="322">
      <c r="A322" s="5" t="inlineStr">
        <is>
          <t>3503</t>
        </is>
      </c>
      <c r="B322" s="5" t="inlineStr"/>
      <c r="C322" s="5" t="inlineStr">
        <is>
          <t>MAKEUPHAIRTRAILERDRIVER</t>
        </is>
      </c>
      <c r="D322" s="5" t="inlineStr"/>
      <c r="E322" s="6" t="n">
        <v>32.36</v>
      </c>
      <c r="F322" s="5" t="n"/>
      <c r="G322" s="5" t="n"/>
      <c r="H322" s="5" t="n"/>
      <c r="I322" s="5" t="n"/>
      <c r="J322" s="7">
        <f>IF(AND(N(F322)&gt;0,N(I322)&gt;0),I322-F322-IF(N(G322)&gt;0,0.5,0)-IF(N(H322)&gt;0,0.5,0),0)</f>
        <v/>
      </c>
      <c r="K322" s="5" t="n"/>
      <c r="L322" s="7">
        <f>MIN(J322,8.0)</f>
        <v/>
      </c>
      <c r="M322" s="7">
        <f>MAX(0,MIN(J322,12)-8.0)</f>
        <v/>
      </c>
      <c r="N322" s="7">
        <f>MAX(0,J322-12)</f>
        <v/>
      </c>
      <c r="O322" s="5" t="n"/>
      <c r="P322" s="6">
        <f>E322*(L322+M322*1.5+N322*2+O322*3+N(K322))</f>
        <v/>
      </c>
      <c r="Q322" s="6" t="n">
        <v>501.58</v>
      </c>
      <c r="R322" s="6">
        <f>Q322-P322</f>
        <v/>
      </c>
    </row>
    <row r="323">
      <c r="A323" s="5" t="inlineStr">
        <is>
          <t>3503</t>
        </is>
      </c>
      <c r="B323" s="5" t="inlineStr"/>
      <c r="C323" s="5" t="inlineStr">
        <is>
          <t>ELECTRIC 10TONDRIVER(GENIEOPERATOR)</t>
        </is>
      </c>
      <c r="D323" s="5" t="inlineStr"/>
      <c r="E323" s="6" t="n">
        <v>37.99</v>
      </c>
      <c r="F323" s="5" t="n"/>
      <c r="G323" s="5" t="n"/>
      <c r="H323" s="5" t="n"/>
      <c r="I323" s="5" t="n"/>
      <c r="J323" s="7">
        <f>IF(AND(N(F323)&gt;0,N(I323)&gt;0),I323-F323-IF(N(G323)&gt;0,0.5,0)-IF(N(H323)&gt;0,0.5,0),0)</f>
        <v/>
      </c>
      <c r="K323" s="5" t="n"/>
      <c r="L323" s="7">
        <f>MIN(J323,8.0)</f>
        <v/>
      </c>
      <c r="M323" s="7">
        <f>MAX(0,MIN(J323,12)-8.0)</f>
        <v/>
      </c>
      <c r="N323" s="7">
        <f>MAX(0,J323-12)</f>
        <v/>
      </c>
      <c r="O323" s="5" t="n"/>
      <c r="P323" s="6">
        <f>E323*(L323+M323*1.5+N323*2+O323*3+N(K323))</f>
        <v/>
      </c>
      <c r="Q323" s="6" t="n">
        <v>588.85</v>
      </c>
      <c r="R323" s="6">
        <f>Q323-P323</f>
        <v/>
      </c>
    </row>
    <row r="324">
      <c r="A324" s="5" t="inlineStr">
        <is>
          <t>3503</t>
        </is>
      </c>
      <c r="B324" s="5" t="inlineStr"/>
      <c r="C324" s="5" t="inlineStr">
        <is>
          <t>SOUNDCCSTAKEBEDFUELTRUCKDRIVER</t>
        </is>
      </c>
      <c r="D324" s="5" t="inlineStr"/>
      <c r="E324" s="6" t="n">
        <v>32.36</v>
      </c>
      <c r="F324" s="5" t="n"/>
      <c r="G324" s="5" t="n"/>
      <c r="H324" s="5" t="n"/>
      <c r="I324" s="5" t="n"/>
      <c r="J324" s="7">
        <f>IF(AND(N(F324)&gt;0,N(I324)&gt;0),I324-F324-IF(N(G324)&gt;0,0.5,0)-IF(N(H324)&gt;0,0.5,0),0)</f>
        <v/>
      </c>
      <c r="K324" s="5" t="n"/>
      <c r="L324" s="7">
        <f>MIN(J324,8.0)</f>
        <v/>
      </c>
      <c r="M324" s="7">
        <f>MAX(0,MIN(J324,12)-8.0)</f>
        <v/>
      </c>
      <c r="N324" s="7">
        <f>MAX(0,J324-12)</f>
        <v/>
      </c>
      <c r="O324" s="5" t="n"/>
      <c r="P324" s="6">
        <f>E324*(L324+M324*1.5+N324*2+O324*3+N(K324))</f>
        <v/>
      </c>
      <c r="Q324" s="6" t="n">
        <v>501.58</v>
      </c>
      <c r="R324" s="6">
        <f>Q324-P324</f>
        <v/>
      </c>
    </row>
    <row r="325">
      <c r="A325" s="5" t="inlineStr">
        <is>
          <t>3503</t>
        </is>
      </c>
      <c r="B325" s="5" t="inlineStr"/>
      <c r="C325" s="5" t="inlineStr">
        <is>
          <t>9-ROOMHONEYWAGONTRACTORDRIVER</t>
        </is>
      </c>
      <c r="D325" s="5" t="inlineStr"/>
      <c r="E325" s="6" t="n">
        <v>32.36</v>
      </c>
      <c r="F325" s="5" t="n"/>
      <c r="G325" s="5" t="n"/>
      <c r="H325" s="5" t="n"/>
      <c r="I325" s="5" t="n"/>
      <c r="J325" s="7">
        <f>IF(AND(N(F325)&gt;0,N(I325)&gt;0),I325-F325-IF(N(G325)&gt;0,0.5,0)-IF(N(H325)&gt;0,0.5,0),0)</f>
        <v/>
      </c>
      <c r="K325" s="5" t="n"/>
      <c r="L325" s="7">
        <f>MIN(J325,8.0)</f>
        <v/>
      </c>
      <c r="M325" s="7">
        <f>MAX(0,MIN(J325,12)-8.0)</f>
        <v/>
      </c>
      <c r="N325" s="7">
        <f>MAX(0,J325-12)</f>
        <v/>
      </c>
      <c r="O325" s="5" t="n"/>
      <c r="P325" s="6">
        <f>E325*(L325+M325*1.5+N325*2+O325*3+N(K325))</f>
        <v/>
      </c>
      <c r="Q325" s="6" t="n">
        <v>501.58</v>
      </c>
      <c r="R325" s="6">
        <f>Q325-P325</f>
        <v/>
      </c>
    </row>
    <row r="326">
      <c r="A326" s="5" t="inlineStr">
        <is>
          <t>3503</t>
        </is>
      </c>
      <c r="B326" s="5" t="inlineStr"/>
      <c r="C326" s="5" t="inlineStr">
        <is>
          <t>FORDTRANSITVANDRIVER#1</t>
        </is>
      </c>
      <c r="D326" s="5" t="inlineStr"/>
      <c r="E326" s="6" t="n">
        <v>32.36</v>
      </c>
      <c r="F326" s="5" t="n"/>
      <c r="G326" s="5" t="n"/>
      <c r="H326" s="5" t="n"/>
      <c r="I326" s="5" t="n"/>
      <c r="J326" s="7">
        <f>IF(AND(N(F326)&gt;0,N(I326)&gt;0),I326-F326-IF(N(G326)&gt;0,0.5,0)-IF(N(H326)&gt;0,0.5,0),0)</f>
        <v/>
      </c>
      <c r="K326" s="5" t="n"/>
      <c r="L326" s="7">
        <f>MIN(J326,8.0)</f>
        <v/>
      </c>
      <c r="M326" s="7">
        <f>MAX(0,MIN(J326,12)-8.0)</f>
        <v/>
      </c>
      <c r="N326" s="7">
        <f>MAX(0,J326-12)</f>
        <v/>
      </c>
      <c r="O326" s="5" t="n"/>
      <c r="P326" s="6">
        <f>E326*(L326+M326*1.5+N326*2+O326*3+N(K326))</f>
        <v/>
      </c>
      <c r="Q326" s="6" t="n">
        <v>501.58</v>
      </c>
      <c r="R326" s="6">
        <f>Q326-P326</f>
        <v/>
      </c>
    </row>
    <row r="327">
      <c r="A327" s="5" t="inlineStr">
        <is>
          <t>3503</t>
        </is>
      </c>
      <c r="B327" s="5" t="inlineStr">
        <is>
          <t>Kaiser Clark</t>
        </is>
      </c>
      <c r="C327" s="5" t="inlineStr">
        <is>
          <t>CSETDECTRUCKDRIVER#1</t>
        </is>
      </c>
      <c r="D327" s="5" t="inlineStr"/>
      <c r="E327" s="6" t="n">
        <v>32.36</v>
      </c>
      <c r="F327" s="5" t="n"/>
      <c r="G327" s="5" t="n"/>
      <c r="H327" s="5" t="n"/>
      <c r="I327" s="5" t="n"/>
      <c r="J327" s="7">
        <f>IF(AND(N(F327)&gt;0,N(I327)&gt;0),I327-F327-IF(N(G327)&gt;0,0.5,0)-IF(N(H327)&gt;0,0.5,0),0)</f>
        <v/>
      </c>
      <c r="K327" s="5" t="n"/>
      <c r="L327" s="7">
        <f>MIN(J327,8.0)</f>
        <v/>
      </c>
      <c r="M327" s="7">
        <f>MAX(0,MIN(J327,12)-8.0)</f>
        <v/>
      </c>
      <c r="N327" s="7">
        <f>MAX(0,J327-12)</f>
        <v/>
      </c>
      <c r="O327" s="5" t="n"/>
      <c r="P327" s="6">
        <f>E327*(L327+M327*1.5+N327*2+O327*3+N(K327))</f>
        <v/>
      </c>
      <c r="Q327" s="6" t="n">
        <v>501.58</v>
      </c>
      <c r="R327" s="6">
        <f>Q327-P327</f>
        <v/>
      </c>
    </row>
    <row r="328">
      <c r="A328" s="5" t="inlineStr">
        <is>
          <t>3503</t>
        </is>
      </c>
      <c r="B328" s="5" t="inlineStr"/>
      <c r="C328" s="5" t="inlineStr">
        <is>
          <t>C 5-TONENCLOSEDRIGGINGGRIPDRIVER</t>
        </is>
      </c>
      <c r="D328" s="5" t="inlineStr"/>
      <c r="E328" s="6" t="n">
        <v>32.36</v>
      </c>
      <c r="F328" s="5" t="n"/>
      <c r="G328" s="5" t="n"/>
      <c r="H328" s="5" t="n"/>
      <c r="I328" s="5" t="n"/>
      <c r="J328" s="7">
        <f>IF(AND(N(F328)&gt;0,N(I328)&gt;0),I328-F328-IF(N(G328)&gt;0,0.5,0)-IF(N(H328)&gt;0,0.5,0),0)</f>
        <v/>
      </c>
      <c r="K328" s="5" t="n"/>
      <c r="L328" s="7">
        <f>MIN(J328,8.0)</f>
        <v/>
      </c>
      <c r="M328" s="7">
        <f>MAX(0,MIN(J328,12)-8.0)</f>
        <v/>
      </c>
      <c r="N328" s="7">
        <f>MAX(0,J328-12)</f>
        <v/>
      </c>
      <c r="O328" s="5" t="n"/>
      <c r="P328" s="6">
        <f>E328*(L328+M328*1.5+N328*2+O328*3+N(K328))</f>
        <v/>
      </c>
      <c r="Q328" s="5" t="n"/>
      <c r="R328" s="6">
        <f>Q328-P328</f>
        <v/>
      </c>
    </row>
    <row r="329">
      <c r="A329" s="5" t="inlineStr">
        <is>
          <t>3503</t>
        </is>
      </c>
      <c r="B329" s="5" t="inlineStr"/>
      <c r="C329" s="5" t="inlineStr">
        <is>
          <t>SCOUTBUS</t>
        </is>
      </c>
      <c r="D329" s="5" t="inlineStr"/>
      <c r="E329" s="6" t="n">
        <v>32.36</v>
      </c>
      <c r="F329" s="5" t="n"/>
      <c r="G329" s="5" t="n"/>
      <c r="H329" s="5" t="n"/>
      <c r="I329" s="5" t="n"/>
      <c r="J329" s="7">
        <f>IF(AND(N(F329)&gt;0,N(I329)&gt;0),I329-F329-IF(N(G329)&gt;0,0.5,0)-IF(N(H329)&gt;0,0.5,0),0)</f>
        <v/>
      </c>
      <c r="K329" s="5" t="n"/>
      <c r="L329" s="7">
        <f>MIN(J329,8.0)</f>
        <v/>
      </c>
      <c r="M329" s="7">
        <f>MAX(0,MIN(J329,12)-8.0)</f>
        <v/>
      </c>
      <c r="N329" s="7">
        <f>MAX(0,J329-12)</f>
        <v/>
      </c>
      <c r="O329" s="5" t="n"/>
      <c r="P329" s="6">
        <f>E329*(L329+M329*1.5+N329*2+O329*3+N(K329))</f>
        <v/>
      </c>
      <c r="Q329" s="5" t="n"/>
      <c r="R329" s="6">
        <f>Q329-P329</f>
        <v/>
      </c>
    </row>
    <row r="330">
      <c r="A330" s="5" t="inlineStr">
        <is>
          <t>3503</t>
        </is>
      </c>
      <c r="B330" s="5" t="inlineStr"/>
      <c r="C330" s="5" t="inlineStr">
        <is>
          <t>DRIVERMANDAYS</t>
        </is>
      </c>
      <c r="D330" s="5" t="inlineStr"/>
      <c r="E330" s="6" t="n">
        <v>32.36</v>
      </c>
      <c r="F330" s="5" t="n"/>
      <c r="G330" s="5" t="n"/>
      <c r="H330" s="5" t="n"/>
      <c r="I330" s="5" t="n"/>
      <c r="J330" s="7">
        <f>IF(AND(N(F330)&gt;0,N(I330)&gt;0),I330-F330-IF(N(G330)&gt;0,0.5,0)-IF(N(H330)&gt;0,0.5,0),0)</f>
        <v/>
      </c>
      <c r="K330" s="5" t="n"/>
      <c r="L330" s="7">
        <f>MIN(J330,8.0)</f>
        <v/>
      </c>
      <c r="M330" s="7">
        <f>MAX(0,MIN(J330,12)-8.0)</f>
        <v/>
      </c>
      <c r="N330" s="7">
        <f>MAX(0,J330-12)</f>
        <v/>
      </c>
      <c r="O330" s="5" t="n"/>
      <c r="P330" s="6">
        <f>E330*(L330+M330*1.5+N330*2+O330*3+N(K330))</f>
        <v/>
      </c>
      <c r="Q330" s="5" t="n"/>
      <c r="R330" s="6">
        <f>Q330-P330</f>
        <v/>
      </c>
    </row>
    <row r="331">
      <c r="P331" s="2" t="inlineStr">
        <is>
          <t>DRIVERS LABOR</t>
        </is>
      </c>
      <c r="R331" s="8">
        <f>SUM(R319:R330)</f>
        <v/>
      </c>
    </row>
    <row r="333">
      <c r="B333" s="2" t="inlineStr">
        <is>
          <t>LOCATIONSITEFEES</t>
        </is>
      </c>
    </row>
    <row r="334">
      <c r="A334" s="5" t="inlineStr">
        <is>
          <t>3607</t>
        </is>
      </c>
      <c r="B334" s="5" t="inlineStr"/>
      <c r="C334" s="5" t="inlineStr">
        <is>
          <t>Location#1(Hospital ER, LACountry Childrens Shelter, Shelter Dorm, Dept...</t>
        </is>
      </c>
      <c r="D334" s="5" t="inlineStr">
        <is>
          <t>Local400</t>
        </is>
      </c>
      <c r="E334" s="6" t="n">
        <v>50000</v>
      </c>
      <c r="F334" s="5" t="n"/>
      <c r="G334" s="5" t="n"/>
      <c r="H334" s="5" t="n"/>
      <c r="I334" s="5" t="n"/>
      <c r="J334" s="7">
        <f>IF(AND(N(F334)&gt;0,N(I334)&gt;0),I334-F334-IF(N(G334)&gt;0,0.5,0)-IF(N(H334)&gt;0,0.5,0),0)</f>
        <v/>
      </c>
      <c r="K334" s="5" t="n"/>
      <c r="L334" s="7">
        <f>MIN(J334,8.0)</f>
        <v/>
      </c>
      <c r="M334" s="7">
        <f>MAX(0,MIN(J334,12)-8.0)</f>
        <v/>
      </c>
      <c r="N334" s="7">
        <f>MAX(0,J334-12)</f>
        <v/>
      </c>
      <c r="O334" s="5" t="n"/>
      <c r="P334" s="6">
        <f>E334*(L334+M334*1.5+N334*2+O334*3+N(K334))</f>
        <v/>
      </c>
      <c r="Q334" s="6" t="n">
        <v>50000</v>
      </c>
      <c r="R334" s="6">
        <f>Q334-P334</f>
        <v/>
      </c>
    </row>
    <row r="335">
      <c r="P335" s="2" t="inlineStr">
        <is>
          <t>LOCATIONSITEFEES LABOR</t>
        </is>
      </c>
      <c r="R335" s="8">
        <f>SUM(R334:R334)</f>
        <v/>
      </c>
    </row>
    <row r="337">
      <c r="B337" s="2" t="inlineStr">
        <is>
          <t>CATERINGLABOR</t>
        </is>
      </c>
    </row>
    <row r="338">
      <c r="A338" s="5" t="inlineStr">
        <is>
          <t>3621</t>
        </is>
      </c>
      <c r="B338" s="5" t="inlineStr"/>
      <c r="C338" s="5" t="inlineStr">
        <is>
          <t>COOKDRIVER#1</t>
        </is>
      </c>
      <c r="D338" s="5" t="inlineStr">
        <is>
          <t>Local399</t>
        </is>
      </c>
      <c r="E338" s="6" t="n">
        <v>32.36</v>
      </c>
      <c r="F338" s="5" t="n"/>
      <c r="G338" s="5" t="n"/>
      <c r="H338" s="5" t="n"/>
      <c r="I338" s="5" t="n"/>
      <c r="J338" s="7">
        <f>IF(AND(N(F338)&gt;0,N(I338)&gt;0),I338-F338-IF(N(G338)&gt;0,0.5,0)-IF(N(H338)&gt;0,0.5,0),0)</f>
        <v/>
      </c>
      <c r="K338" s="5" t="n"/>
      <c r="L338" s="7">
        <f>MIN(J338,8.0)</f>
        <v/>
      </c>
      <c r="M338" s="7">
        <f>MAX(0,MIN(J338,12)-8.0)</f>
        <v/>
      </c>
      <c r="N338" s="7">
        <f>MAX(0,J338-12)</f>
        <v/>
      </c>
      <c r="O338" s="5" t="n"/>
      <c r="P338" s="6">
        <f>E338*(L338+M338*1.5+N338*2+O338*3+N(K338))</f>
        <v/>
      </c>
      <c r="Q338" s="6" t="n">
        <v>647.2</v>
      </c>
      <c r="R338" s="6">
        <f>Q338-P338</f>
        <v/>
      </c>
    </row>
    <row r="339">
      <c r="A339" s="5" t="inlineStr">
        <is>
          <t>3621</t>
        </is>
      </c>
      <c r="B339" s="5" t="inlineStr"/>
      <c r="C339" s="5" t="inlineStr">
        <is>
          <t>1STASSTCATERER#1</t>
        </is>
      </c>
      <c r="D339" s="5" t="inlineStr"/>
      <c r="E339" s="6" t="n">
        <v>17</v>
      </c>
      <c r="F339" s="5" t="n"/>
      <c r="G339" s="5" t="n"/>
      <c r="H339" s="5" t="n"/>
      <c r="I339" s="5" t="n"/>
      <c r="J339" s="7">
        <f>IF(AND(N(F339)&gt;0,N(I339)&gt;0),I339-F339-IF(N(G339)&gt;0,0.5,0)-IF(N(H339)&gt;0,0.5,0),0)</f>
        <v/>
      </c>
      <c r="K339" s="5" t="n"/>
      <c r="L339" s="7">
        <f>MIN(J339,8.0)</f>
        <v/>
      </c>
      <c r="M339" s="7">
        <f>MAX(0,MIN(J339,12)-8.0)</f>
        <v/>
      </c>
      <c r="N339" s="7">
        <f>MAX(0,J339-12)</f>
        <v/>
      </c>
      <c r="O339" s="5" t="n"/>
      <c r="P339" s="6">
        <f>E339*(L339+M339*1.5+N339*2+O339*3+N(K339))</f>
        <v/>
      </c>
      <c r="Q339" s="6" t="n">
        <v>340</v>
      </c>
      <c r="R339" s="6">
        <f>Q339-P339</f>
        <v/>
      </c>
    </row>
    <row r="340">
      <c r="A340" s="5" t="inlineStr">
        <is>
          <t>3621</t>
        </is>
      </c>
      <c r="B340" s="5" t="inlineStr"/>
      <c r="C340" s="5" t="inlineStr">
        <is>
          <t>1STASSTCATERER#2</t>
        </is>
      </c>
      <c r="D340" s="5" t="inlineStr"/>
      <c r="E340" s="6" t="n">
        <v>16</v>
      </c>
      <c r="F340" s="5" t="n"/>
      <c r="G340" s="5" t="n"/>
      <c r="H340" s="5" t="n"/>
      <c r="I340" s="5" t="n"/>
      <c r="J340" s="7">
        <f>IF(AND(N(F340)&gt;0,N(I340)&gt;0),I340-F340-IF(N(G340)&gt;0,0.5,0)-IF(N(H340)&gt;0,0.5,0),0)</f>
        <v/>
      </c>
      <c r="K340" s="5" t="n"/>
      <c r="L340" s="7">
        <f>MIN(J340,8.0)</f>
        <v/>
      </c>
      <c r="M340" s="7">
        <f>MAX(0,MIN(J340,12)-8.0)</f>
        <v/>
      </c>
      <c r="N340" s="7">
        <f>MAX(0,J340-12)</f>
        <v/>
      </c>
      <c r="O340" s="5" t="n"/>
      <c r="P340" s="6">
        <f>E340*(L340+M340*1.5+N340*2+O340*3+N(K340))</f>
        <v/>
      </c>
      <c r="Q340" s="6" t="n">
        <v>320</v>
      </c>
      <c r="R340" s="6">
        <f>Q340-P340</f>
        <v/>
      </c>
    </row>
    <row r="341">
      <c r="P341" s="2" t="inlineStr">
        <is>
          <t>CATERINGLABOR LABOR</t>
        </is>
      </c>
      <c r="R341" s="8">
        <f>SUM(R338:R340)</f>
        <v/>
      </c>
    </row>
    <row r="343">
      <c r="K343" s="9" t="inlineStr">
        <is>
          <t>TOTAL</t>
        </is>
      </c>
      <c r="P343" s="9" t="inlineStr">
        <is>
          <t>ACTUAL</t>
        </is>
      </c>
      <c r="Q343" s="9" t="inlineStr">
        <is>
          <t>BUDGET</t>
        </is>
      </c>
      <c r="R343" s="9" t="inlineStr">
        <is>
          <t>TOTAL VAR</t>
        </is>
      </c>
    </row>
    <row r="344">
      <c r="P344" s="9" t="inlineStr">
        <is>
          <t>DAY COST</t>
        </is>
      </c>
      <c r="Q344" s="9" t="inlineStr">
        <is>
          <t>DY COST</t>
        </is>
      </c>
      <c r="R344" s="9" t="inlineStr">
        <is>
          <t>(OVER) / UNDER</t>
        </is>
      </c>
    </row>
    <row r="345">
      <c r="P345" s="10">
        <f>SUM(P6:P6)+SUM(P10:P11)+SUM(P15:P17)+SUM(P21:P22)+SUM(P26:P32)+SUM(P36:P36)+SUM(P40:P41)+SUM(P45:P45)+SUM(P49:P49)+SUM(P53:P54)+SUM(P58:P58)+SUM(P62:P62)+SUM(P66:P67)+SUM(P71:P71)+SUM(P75:P75)+SUM(P79:P80)+SUM(P84:P84)+SUM(P88:P88)+SUM(P92:P93)+SUM(P97:P100)+SUM(P104:P104)+SUM(P108:P109)+SUM(P113:P113)+SUM(P117:P117)+SUM(P121:P121)+SUM(P125:P125)+SUM(P129:P130)+SUM(P134:P134)+SUM(P138:P139)+SUM(P143:P145)+SUM(P149:P149)+SUM(P153:P153)+SUM(P157:P158)+SUM(P162:P163)+SUM(P167:P167)+SUM(P171:P173)+SUM(P177:P177)+SUM(P181:P181)+SUM(P185:P187)+SUM(P191:P191)+SUM(P195:P195)+SUM(P199:P199)+SUM(P203:P203)+SUM(P207:P207)+SUM(P211:P211)+SUM(P215:P216)+SUM(P220:P220)+SUM(P224:P224)+SUM(P228:P228)+SUM(P232:P233)+SUM(P237:P237)+SUM(P241:P241)+SUM(P245:P245)+SUM(P249:P249)+SUM(P253:P254)+SUM(P258:P260)+SUM(P264:P264)+SUM(P268:P268)+SUM(P272:P272)+SUM(P276:P276)+SUM(P280:P281)+SUM(P285:P286)+SUM(P290:P290)+SUM(P294:P294)+SUM(P298:P298)+SUM(P302:P302)+SUM(P306:P306)+SUM(P310:P310)+SUM(P314:P315)+SUM(P319:P330)+SUM(P334:P334)+SUM(P338:P340)</f>
        <v/>
      </c>
      <c r="Q345" s="10">
        <f>SUM(Q6:Q6)+SUM(Q10:Q11)+SUM(Q15:Q17)+SUM(Q21:Q22)+SUM(Q26:Q32)+SUM(Q36:Q36)+SUM(Q40:Q41)+SUM(Q45:Q45)+SUM(Q49:Q49)+SUM(Q53:Q54)+SUM(Q58:Q58)+SUM(Q62:Q62)+SUM(Q66:Q67)+SUM(Q71:Q71)+SUM(Q75:Q75)+SUM(Q79:Q80)+SUM(Q84:Q84)+SUM(Q88:Q88)+SUM(Q92:Q93)+SUM(Q97:Q100)+SUM(Q104:Q104)+SUM(Q108:Q109)+SUM(Q113:Q113)+SUM(Q117:Q117)+SUM(Q121:Q121)+SUM(Q125:Q125)+SUM(Q129:Q130)+SUM(Q134:Q134)+SUM(Q138:Q139)+SUM(Q143:Q145)+SUM(Q149:Q149)+SUM(Q153:Q153)+SUM(Q157:Q158)+SUM(Q162:Q163)+SUM(Q167:Q167)+SUM(Q171:Q173)+SUM(Q177:Q177)+SUM(Q181:Q181)+SUM(Q185:Q187)+SUM(Q191:Q191)+SUM(Q195:Q195)+SUM(Q199:Q199)+SUM(Q203:Q203)+SUM(Q207:Q207)+SUM(Q211:Q211)+SUM(Q215:Q216)+SUM(Q220:Q220)+SUM(Q224:Q224)+SUM(Q228:Q228)+SUM(Q232:Q233)+SUM(Q237:Q237)+SUM(Q241:Q241)+SUM(Q245:Q245)+SUM(Q249:Q249)+SUM(Q253:Q254)+SUM(Q258:Q260)+SUM(Q264:Q264)+SUM(Q268:Q268)+SUM(Q272:Q272)+SUM(Q276:Q276)+SUM(Q280:Q281)+SUM(Q285:Q286)+SUM(Q290:Q290)+SUM(Q294:Q294)+SUM(Q298:Q298)+SUM(Q302:Q302)+SUM(Q306:Q306)+SUM(Q310:Q310)+SUM(Q314:Q315)+SUM(Q319:Q330)+SUM(Q334:Q334)+SUM(Q338:Q340)</f>
        <v/>
      </c>
      <c r="R345" s="10">
        <f>SUM(R6:R6)+SUM(R10:R11)+SUM(R15:R17)+SUM(R21:R22)+SUM(R26:R32)+SUM(R36:R36)+SUM(R40:R41)+SUM(R45:R45)+SUM(R49:R49)+SUM(R53:R54)+SUM(R58:R58)+SUM(R62:R62)+SUM(R66:R67)+SUM(R71:R71)+SUM(R75:R75)+SUM(R79:R80)+SUM(R84:R84)+SUM(R88:R88)+SUM(R92:R93)+SUM(R97:R100)+SUM(R104:R104)+SUM(R108:R109)+SUM(R113:R113)+SUM(R117:R117)+SUM(R121:R121)+SUM(R125:R125)+SUM(R129:R130)+SUM(R134:R134)+SUM(R138:R139)+SUM(R143:R145)+SUM(R149:R149)+SUM(R153:R153)+SUM(R157:R158)+SUM(R162:R163)+SUM(R167:R167)+SUM(R171:R173)+SUM(R177:R177)+SUM(R181:R181)+SUM(R185:R187)+SUM(R191:R191)+SUM(R195:R195)+SUM(R199:R199)+SUM(R203:R203)+SUM(R207:R207)+SUM(R211:R211)+SUM(R215:R216)+SUM(R220:R220)+SUM(R224:R224)+SUM(R228:R228)+SUM(R232:R233)+SUM(R237:R237)+SUM(R241:R241)+SUM(R245:R245)+SUM(R249:R249)+SUM(R253:R254)+SUM(R258:R260)+SUM(R264:R264)+SUM(R268:R268)+SUM(R272:R272)+SUM(R276:R276)+SUM(R280:R281)+SUM(R285:R286)+SUM(R290:R290)+SUM(R294:R294)+SUM(R298:R298)+SUM(R302:R302)+SUM(R306:R306)+SUM(R310:R310)+SUM(R314:R315)+SUM(R319:R330)+SUM(R334:R334)+SUM(R338:R340)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R34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20" customWidth="1" min="3" max="3"/>
    <col width="9" customWidth="1" min="4" max="4"/>
    <col width="9" customWidth="1" min="5" max="5"/>
    <col width="7" customWidth="1" min="6" max="6"/>
    <col width="7" customWidth="1" min="7" max="7"/>
    <col width="8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12" customWidth="1" min="16" max="16"/>
    <col width="13" customWidth="1" min="17" max="17"/>
    <col width="14" customWidth="1" min="18" max="18"/>
  </cols>
  <sheetData>
    <row r="1">
      <c r="A1" s="1" t="inlineStr">
        <is>
          <t>HOT COST</t>
        </is>
      </c>
      <c r="C1" t="inlineStr">
        <is>
          <t>Monday 13 Nov 2017</t>
        </is>
      </c>
      <c r="F1" s="2" t="inlineStr">
        <is>
          <t>DAY #21</t>
        </is>
      </c>
    </row>
    <row r="2">
      <c r="A2" s="3" t="inlineStr">
        <is>
          <t>enter CALL, LUNCH, WRAP as decimal hours (e.g. 7.5) — everything right of WRAP computes</t>
        </is>
      </c>
    </row>
    <row r="4">
      <c r="A4" s="4" t="inlineStr">
        <is>
          <t>ACCT</t>
        </is>
      </c>
      <c r="B4" s="4" t="inlineStr">
        <is>
          <t>NAME</t>
        </is>
      </c>
      <c r="C4" s="4" t="inlineStr">
        <is>
          <t>POSITION</t>
        </is>
      </c>
      <c r="D4" s="4" t="inlineStr">
        <is>
          <t>UNION</t>
        </is>
      </c>
      <c r="E4" s="4" t="inlineStr">
        <is>
          <t>RATE</t>
        </is>
      </c>
      <c r="F4" s="4" t="inlineStr">
        <is>
          <t>CALL</t>
        </is>
      </c>
      <c r="G4" s="4" t="inlineStr">
        <is>
          <t>LUNCH</t>
        </is>
      </c>
      <c r="H4" s="4" t="inlineStr">
        <is>
          <t>LUNCH 2</t>
        </is>
      </c>
      <c r="I4" s="4" t="inlineStr">
        <is>
          <t>WRAP</t>
        </is>
      </c>
      <c r="J4" s="4" t="inlineStr">
        <is>
          <t>HRS</t>
        </is>
      </c>
      <c r="K4" s="4" t="inlineStr">
        <is>
          <t>MP'S</t>
        </is>
      </c>
      <c r="L4" s="4" t="inlineStr">
        <is>
          <t>ST</t>
        </is>
      </c>
      <c r="M4" s="4" t="inlineStr">
        <is>
          <t>1.5X</t>
        </is>
      </c>
      <c r="N4" s="4" t="inlineStr">
        <is>
          <t>2X</t>
        </is>
      </c>
      <c r="O4" s="4" t="inlineStr">
        <is>
          <t>3X</t>
        </is>
      </c>
      <c r="P4" s="4" t="inlineStr">
        <is>
          <t>TOTAL / DAY</t>
        </is>
      </c>
      <c r="Q4" s="4" t="inlineStr">
        <is>
          <t>BUDGET / DAY</t>
        </is>
      </c>
      <c r="R4" s="4" t="inlineStr">
        <is>
          <t>(OVER) / UNDER</t>
        </is>
      </c>
    </row>
    <row r="5">
      <c r="B5" s="2" t="inlineStr">
        <is>
          <t>LEAD#</t>
        </is>
      </c>
    </row>
    <row r="6">
      <c r="A6" s="5" t="inlineStr">
        <is>
          <t>1401</t>
        </is>
      </c>
      <c r="B6" s="5" t="inlineStr">
        <is>
          <t>Linda Cardellini</t>
        </is>
      </c>
      <c r="C6" s="5" t="inlineStr">
        <is>
          <t>"ANNA"</t>
        </is>
      </c>
      <c r="D6" s="5" t="inlineStr"/>
      <c r="E6" s="6" t="n">
        <v>1211.8</v>
      </c>
      <c r="F6" s="5" t="n"/>
      <c r="G6" s="5" t="n"/>
      <c r="H6" s="5" t="n"/>
      <c r="I6" s="5" t="n"/>
      <c r="J6" s="7">
        <f>IF(AND(N(F6)&gt;0,N(I6)&gt;0),I6-F6-IF(N(G6)&gt;0,0.5,0)-IF(N(H6)&gt;0,0.5,0),0)</f>
        <v/>
      </c>
      <c r="K6" s="5" t="n"/>
      <c r="L6" s="7">
        <f>MIN(J6,8.0)</f>
        <v/>
      </c>
      <c r="M6" s="7">
        <f>MAX(0,MIN(J6,12)-8.0)</f>
        <v/>
      </c>
      <c r="N6" s="7">
        <f>MAX(0,J6-12)</f>
        <v/>
      </c>
      <c r="O6" s="5" t="n"/>
      <c r="P6" s="6">
        <f>E6*(L6+M6*1.5+N6*2+O6*3+N(K6))</f>
        <v/>
      </c>
      <c r="Q6" s="6" t="n">
        <v>1211.8</v>
      </c>
      <c r="R6" s="6">
        <f>Q6-P6</f>
        <v/>
      </c>
    </row>
    <row r="7">
      <c r="P7" s="2" t="inlineStr">
        <is>
          <t>LEAD# LABOR</t>
        </is>
      </c>
      <c r="R7" s="8">
        <f>SUM(R6:R6)</f>
        <v/>
      </c>
    </row>
    <row r="9">
      <c r="B9" s="2" t="inlineStr">
        <is>
          <t>LEAD#2&amp;#</t>
        </is>
      </c>
    </row>
    <row r="10">
      <c r="A10" s="5" t="inlineStr">
        <is>
          <t>1402</t>
        </is>
      </c>
      <c r="B10" s="5" t="inlineStr">
        <is>
          <t>Roman Christou</t>
        </is>
      </c>
      <c r="C10" s="5" t="inlineStr">
        <is>
          <t>"CHRIS"(Minor)</t>
        </is>
      </c>
      <c r="D10" s="5" t="inlineStr"/>
      <c r="E10" s="6" t="n">
        <v>755.4</v>
      </c>
      <c r="F10" s="5" t="n"/>
      <c r="G10" s="5" t="n"/>
      <c r="H10" s="5" t="n"/>
      <c r="I10" s="5" t="n"/>
      <c r="J10" s="7">
        <f>IF(AND(N(F10)&gt;0,N(I10)&gt;0),I10-F10-IF(N(G10)&gt;0,0.5,0)-IF(N(H10)&gt;0,0.5,0),0)</f>
        <v/>
      </c>
      <c r="K10" s="5" t="n"/>
      <c r="L10" s="7">
        <f>MIN(J10,8.0)</f>
        <v/>
      </c>
      <c r="M10" s="7">
        <f>MAX(0,MIN(J10,12)-8.0)</f>
        <v/>
      </c>
      <c r="N10" s="7">
        <f>MAX(0,J10-12)</f>
        <v/>
      </c>
      <c r="O10" s="5" t="n"/>
      <c r="P10" s="6">
        <f>E10*(L10+M10*1.5+N10*2+O10*3+N(K10))</f>
        <v/>
      </c>
      <c r="Q10" s="6" t="n">
        <v>755.4</v>
      </c>
      <c r="R10" s="6">
        <f>Q10-P10</f>
        <v/>
      </c>
    </row>
    <row r="11">
      <c r="A11" s="5" t="inlineStr">
        <is>
          <t>1402</t>
        </is>
      </c>
      <c r="B11" s="5" t="inlineStr">
        <is>
          <t>Jaynee Lynee Kinchen</t>
        </is>
      </c>
      <c r="C11" s="5" t="inlineStr">
        <is>
          <t>"SAMANTHA"(Minor)</t>
        </is>
      </c>
      <c r="D11" s="5" t="inlineStr"/>
      <c r="E11" s="6" t="n">
        <v>755.4</v>
      </c>
      <c r="F11" s="5" t="n"/>
      <c r="G11" s="5" t="n"/>
      <c r="H11" s="5" t="n"/>
      <c r="I11" s="5" t="n"/>
      <c r="J11" s="7">
        <f>IF(AND(N(F11)&gt;0,N(I11)&gt;0),I11-F11-IF(N(G11)&gt;0,0.5,0)-IF(N(H11)&gt;0,0.5,0),0)</f>
        <v/>
      </c>
      <c r="K11" s="5" t="n"/>
      <c r="L11" s="7">
        <f>MIN(J11,8.0)</f>
        <v/>
      </c>
      <c r="M11" s="7">
        <f>MAX(0,MIN(J11,12)-8.0)</f>
        <v/>
      </c>
      <c r="N11" s="7">
        <f>MAX(0,J11-12)</f>
        <v/>
      </c>
      <c r="O11" s="5" t="n"/>
      <c r="P11" s="6">
        <f>E11*(L11+M11*1.5+N11*2+O11*3+N(K11))</f>
        <v/>
      </c>
      <c r="Q11" s="6" t="n">
        <v>755.4</v>
      </c>
      <c r="R11" s="6">
        <f>Q11-P11</f>
        <v/>
      </c>
    </row>
    <row r="12">
      <c r="P12" s="2" t="inlineStr">
        <is>
          <t>LEAD#2&amp;# LABOR</t>
        </is>
      </c>
      <c r="R12" s="8">
        <f>SUM(R10:R11)</f>
        <v/>
      </c>
    </row>
    <row r="14">
      <c r="B14" s="2" t="inlineStr">
        <is>
          <t>OTHERLEADCAST</t>
        </is>
      </c>
    </row>
    <row r="15">
      <c r="A15" s="5" t="inlineStr">
        <is>
          <t>1403</t>
        </is>
      </c>
      <c r="B15" s="5" t="inlineStr">
        <is>
          <t>Raymond Cruz</t>
        </is>
      </c>
      <c r="C15" s="5" t="inlineStr">
        <is>
          <t>"RAFAELOLVERA"</t>
        </is>
      </c>
      <c r="D15" s="5" t="inlineStr"/>
      <c r="E15" s="6" t="n">
        <v>1211.8</v>
      </c>
      <c r="F15" s="5" t="n"/>
      <c r="G15" s="5" t="n"/>
      <c r="H15" s="5" t="n"/>
      <c r="I15" s="5" t="n"/>
      <c r="J15" s="7">
        <f>IF(AND(N(F15)&gt;0,N(I15)&gt;0),I15-F15-IF(N(G15)&gt;0,0.5,0)-IF(N(H15)&gt;0,0.5,0),0)</f>
        <v/>
      </c>
      <c r="K15" s="5" t="n"/>
      <c r="L15" s="7">
        <f>MIN(J15,8.0)</f>
        <v/>
      </c>
      <c r="M15" s="7">
        <f>MAX(0,MIN(J15,12)-8.0)</f>
        <v/>
      </c>
      <c r="N15" s="7">
        <f>MAX(0,J15-12)</f>
        <v/>
      </c>
      <c r="O15" s="5" t="n"/>
      <c r="P15" s="6">
        <f>E15*(L15+M15*1.5+N15*2+O15*3+N(K15))</f>
        <v/>
      </c>
      <c r="Q15" s="6" t="n">
        <v>1211.8</v>
      </c>
      <c r="R15" s="6">
        <f>Q15-P15</f>
        <v/>
      </c>
    </row>
    <row r="16">
      <c r="A16" s="5" t="inlineStr">
        <is>
          <t>1403</t>
        </is>
      </c>
      <c r="B16" s="5" t="inlineStr">
        <is>
          <t>Marisol Ramirez</t>
        </is>
      </c>
      <c r="C16" s="5" t="inlineStr">
        <is>
          <t>"LALLORONA"</t>
        </is>
      </c>
      <c r="D16" s="5" t="inlineStr"/>
      <c r="E16" s="6" t="n">
        <v>1211.8</v>
      </c>
      <c r="F16" s="5" t="n"/>
      <c r="G16" s="5" t="n"/>
      <c r="H16" s="5" t="n"/>
      <c r="I16" s="5" t="n"/>
      <c r="J16" s="7">
        <f>IF(AND(N(F16)&gt;0,N(I16)&gt;0),I16-F16-IF(N(G16)&gt;0,0.5,0)-IF(N(H16)&gt;0,0.5,0),0)</f>
        <v/>
      </c>
      <c r="K16" s="5" t="n"/>
      <c r="L16" s="7">
        <f>MIN(J16,8.0)</f>
        <v/>
      </c>
      <c r="M16" s="7">
        <f>MAX(0,MIN(J16,12)-8.0)</f>
        <v/>
      </c>
      <c r="N16" s="7">
        <f>MAX(0,J16-12)</f>
        <v/>
      </c>
      <c r="O16" s="5" t="n"/>
      <c r="P16" s="6">
        <f>E16*(L16+M16*1.5+N16*2+O16*3+N(K16))</f>
        <v/>
      </c>
      <c r="Q16" s="6" t="n">
        <v>1211.8</v>
      </c>
      <c r="R16" s="6">
        <f>Q16-P16</f>
        <v/>
      </c>
    </row>
    <row r="17">
      <c r="A17" s="5" t="inlineStr">
        <is>
          <t>1403</t>
        </is>
      </c>
      <c r="B17" s="5" t="inlineStr">
        <is>
          <t>Patrica Velasquez</t>
        </is>
      </c>
      <c r="C17" s="5" t="inlineStr">
        <is>
          <t>"PATRICIA"</t>
        </is>
      </c>
      <c r="D17" s="5" t="inlineStr"/>
      <c r="E17" s="6" t="n">
        <v>1972</v>
      </c>
      <c r="F17" s="5" t="n"/>
      <c r="G17" s="5" t="n"/>
      <c r="H17" s="5" t="n"/>
      <c r="I17" s="5" t="n"/>
      <c r="J17" s="7">
        <f>IF(AND(N(F17)&gt;0,N(I17)&gt;0),I17-F17-IF(N(G17)&gt;0,0.5,0)-IF(N(H17)&gt;0,0.5,0),0)</f>
        <v/>
      </c>
      <c r="K17" s="5" t="n"/>
      <c r="L17" s="7">
        <f>MIN(J17,8.0)</f>
        <v/>
      </c>
      <c r="M17" s="7">
        <f>MAX(0,MIN(J17,12)-8.0)</f>
        <v/>
      </c>
      <c r="N17" s="7">
        <f>MAX(0,J17-12)</f>
        <v/>
      </c>
      <c r="O17" s="5" t="n"/>
      <c r="P17" s="6">
        <f>E17*(L17+M17*1.5+N17*2+O17*3+N(K17))</f>
        <v/>
      </c>
      <c r="Q17" s="6" t="n">
        <v>1972</v>
      </c>
      <c r="R17" s="6">
        <f>Q17-P17</f>
        <v/>
      </c>
    </row>
    <row r="18">
      <c r="P18" s="2" t="inlineStr">
        <is>
          <t>OTHERLEADCAST LABOR</t>
        </is>
      </c>
      <c r="R18" s="8">
        <f>SUM(R15:R17)</f>
        <v/>
      </c>
    </row>
    <row r="20">
      <c r="B20" s="2" t="inlineStr">
        <is>
          <t>SUPPORTINGCAST</t>
        </is>
      </c>
    </row>
    <row r="21">
      <c r="A21" s="5" t="inlineStr">
        <is>
          <t>1404</t>
        </is>
      </c>
      <c r="B21" s="5" t="inlineStr">
        <is>
          <t>Sean Patrick Thomas</t>
        </is>
      </c>
      <c r="C21" s="5" t="inlineStr">
        <is>
          <t>DETCOOPER</t>
        </is>
      </c>
      <c r="D21" s="5" t="inlineStr"/>
      <c r="E21" s="6" t="n">
        <v>1211.8</v>
      </c>
      <c r="F21" s="5" t="n"/>
      <c r="G21" s="5" t="n"/>
      <c r="H21" s="5" t="n"/>
      <c r="I21" s="5" t="n"/>
      <c r="J21" s="7">
        <f>IF(AND(N(F21)&gt;0,N(I21)&gt;0),I21-F21-IF(N(G21)&gt;0,0.5,0)-IF(N(H21)&gt;0,0.5,0),0)</f>
        <v/>
      </c>
      <c r="K21" s="5" t="n"/>
      <c r="L21" s="7">
        <f>MIN(J21,8.0)</f>
        <v/>
      </c>
      <c r="M21" s="7">
        <f>MAX(0,MIN(J21,12)-8.0)</f>
        <v/>
      </c>
      <c r="N21" s="7">
        <f>MAX(0,J21-12)</f>
        <v/>
      </c>
      <c r="O21" s="5" t="n"/>
      <c r="P21" s="6">
        <f>E21*(L21+M21*1.5+N21*2+O21*3+N(K21))</f>
        <v/>
      </c>
      <c r="Q21" s="6" t="n">
        <v>1211.8</v>
      </c>
      <c r="R21" s="6">
        <f>Q21-P21</f>
        <v/>
      </c>
    </row>
    <row r="22">
      <c r="A22" s="5" t="inlineStr">
        <is>
          <t>1404</t>
        </is>
      </c>
      <c r="B22" s="5" t="inlineStr">
        <is>
          <t>Tony Amendola</t>
        </is>
      </c>
      <c r="C22" s="5" t="inlineStr">
        <is>
          <t>"FATHERPEREZ"</t>
        </is>
      </c>
      <c r="D22" s="5" t="inlineStr"/>
      <c r="E22" s="6" t="n">
        <v>1972</v>
      </c>
      <c r="F22" s="5" t="n"/>
      <c r="G22" s="5" t="n"/>
      <c r="H22" s="5" t="n"/>
      <c r="I22" s="5" t="n"/>
      <c r="J22" s="7">
        <f>IF(AND(N(F22)&gt;0,N(I22)&gt;0),I22-F22-IF(N(G22)&gt;0,0.5,0)-IF(N(H22)&gt;0,0.5,0),0)</f>
        <v/>
      </c>
      <c r="K22" s="5" t="n"/>
      <c r="L22" s="7">
        <f>MIN(J22,8.0)</f>
        <v/>
      </c>
      <c r="M22" s="7">
        <f>MAX(0,MIN(J22,12)-8.0)</f>
        <v/>
      </c>
      <c r="N22" s="7">
        <f>MAX(0,J22-12)</f>
        <v/>
      </c>
      <c r="O22" s="5" t="n"/>
      <c r="P22" s="6">
        <f>E22*(L22+M22*1.5+N22*2+O22*3+N(K22))</f>
        <v/>
      </c>
      <c r="Q22" s="6" t="n">
        <v>1972</v>
      </c>
      <c r="R22" s="6">
        <f>Q22-P22</f>
        <v/>
      </c>
    </row>
    <row r="23">
      <c r="P23" s="2" t="inlineStr">
        <is>
          <t>SUPPORTINGCAST LABOR</t>
        </is>
      </c>
      <c r="R23" s="8">
        <f>SUM(R21:R22)</f>
        <v/>
      </c>
    </row>
    <row r="25">
      <c r="B25" s="2" t="inlineStr">
        <is>
          <t>DAYPLAYERS</t>
        </is>
      </c>
    </row>
    <row r="26">
      <c r="A26" s="5" t="inlineStr">
        <is>
          <t>1405</t>
        </is>
      </c>
      <c r="B26" s="5" t="inlineStr">
        <is>
          <t>Kristy Keng(Drop/Pickup)</t>
        </is>
      </c>
      <c r="C26" s="5" t="inlineStr">
        <is>
          <t>"DONNA"</t>
        </is>
      </c>
      <c r="D26" s="5" t="inlineStr"/>
      <c r="E26" s="6" t="n">
        <v>1972</v>
      </c>
      <c r="F26" s="5" t="n"/>
      <c r="G26" s="5" t="n"/>
      <c r="H26" s="5" t="n"/>
      <c r="I26" s="5" t="n"/>
      <c r="J26" s="7">
        <f>IF(AND(N(F26)&gt;0,N(I26)&gt;0),I26-F26-IF(N(G26)&gt;0,0.5,0)-IF(N(H26)&gt;0,0.5,0),0)</f>
        <v/>
      </c>
      <c r="K26" s="5" t="n"/>
      <c r="L26" s="7">
        <f>MIN(J26,8.0)</f>
        <v/>
      </c>
      <c r="M26" s="7">
        <f>MAX(0,MIN(J26,12)-8.0)</f>
        <v/>
      </c>
      <c r="N26" s="7">
        <f>MAX(0,J26-12)</f>
        <v/>
      </c>
      <c r="O26" s="5" t="n"/>
      <c r="P26" s="6">
        <f>E26*(L26+M26*1.5+N26*2+O26*3+N(K26))</f>
        <v/>
      </c>
      <c r="Q26" s="6" t="n">
        <v>1972</v>
      </c>
      <c r="R26" s="6">
        <f>Q26-P26</f>
        <v/>
      </c>
    </row>
    <row r="27">
      <c r="A27" s="5" t="inlineStr">
        <is>
          <t>1405</t>
        </is>
      </c>
      <c r="B27" s="5" t="inlineStr">
        <is>
          <t>Oliver Alexander</t>
        </is>
      </c>
      <c r="C27" s="5" t="inlineStr">
        <is>
          <t>"CARLOS"(Minor)</t>
        </is>
      </c>
      <c r="D27" s="5" t="inlineStr"/>
      <c r="E27" s="6" t="n">
        <v>1249</v>
      </c>
      <c r="F27" s="5" t="n"/>
      <c r="G27" s="5" t="n"/>
      <c r="H27" s="5" t="n"/>
      <c r="I27" s="5" t="n"/>
      <c r="J27" s="7">
        <f>IF(AND(N(F27)&gt;0,N(I27)&gt;0),I27-F27-IF(N(G27)&gt;0,0.5,0)-IF(N(H27)&gt;0,0.5,0),0)</f>
        <v/>
      </c>
      <c r="K27" s="5" t="n"/>
      <c r="L27" s="7">
        <f>MIN(J27,8.0)</f>
        <v/>
      </c>
      <c r="M27" s="7">
        <f>MAX(0,MIN(J27,12)-8.0)</f>
        <v/>
      </c>
      <c r="N27" s="7">
        <f>MAX(0,J27-12)</f>
        <v/>
      </c>
      <c r="O27" s="5" t="n"/>
      <c r="P27" s="6">
        <f>E27*(L27+M27*1.5+N27*2+O27*3+N(K27))</f>
        <v/>
      </c>
      <c r="Q27" s="6" t="n">
        <v>1249</v>
      </c>
      <c r="R27" s="6">
        <f>Q27-P27</f>
        <v/>
      </c>
    </row>
    <row r="28">
      <c r="A28" s="5" t="inlineStr">
        <is>
          <t>1405</t>
        </is>
      </c>
      <c r="B28" s="5" t="inlineStr">
        <is>
          <t>Adam Lewandowski</t>
        </is>
      </c>
      <c r="C28" s="5" t="inlineStr">
        <is>
          <t>"TOMAS"(Minor)</t>
        </is>
      </c>
      <c r="D28" s="5" t="inlineStr"/>
      <c r="E28" s="6" t="n">
        <v>1249</v>
      </c>
      <c r="F28" s="5" t="n"/>
      <c r="G28" s="5" t="n"/>
      <c r="H28" s="5" t="n"/>
      <c r="I28" s="5" t="n"/>
      <c r="J28" s="7">
        <f>IF(AND(N(F28)&gt;0,N(I28)&gt;0),I28-F28-IF(N(G28)&gt;0,0.5,0)-IF(N(H28)&gt;0,0.5,0),0)</f>
        <v/>
      </c>
      <c r="K28" s="5" t="n"/>
      <c r="L28" s="7">
        <f>MIN(J28,8.0)</f>
        <v/>
      </c>
      <c r="M28" s="7">
        <f>MAX(0,MIN(J28,12)-8.0)</f>
        <v/>
      </c>
      <c r="N28" s="7">
        <f>MAX(0,J28-12)</f>
        <v/>
      </c>
      <c r="O28" s="5" t="n"/>
      <c r="P28" s="6">
        <f>E28*(L28+M28*1.5+N28*2+O28*3+N(K28))</f>
        <v/>
      </c>
      <c r="Q28" s="6" t="n">
        <v>1249</v>
      </c>
      <c r="R28" s="6">
        <f>Q28-P28</f>
        <v/>
      </c>
    </row>
    <row r="29">
      <c r="A29" s="5" t="inlineStr">
        <is>
          <t>1405</t>
        </is>
      </c>
      <c r="B29" s="5" t="inlineStr">
        <is>
          <t>Paul Rodriquez Jr.</t>
        </is>
      </c>
      <c r="C29" s="5" t="inlineStr">
        <is>
          <t>"OFFICERCLARO"</t>
        </is>
      </c>
      <c r="D29" s="5" t="inlineStr"/>
      <c r="E29" s="6" t="n">
        <v>1972</v>
      </c>
      <c r="F29" s="5" t="n"/>
      <c r="G29" s="5" t="n"/>
      <c r="H29" s="5" t="n"/>
      <c r="I29" s="5" t="n"/>
      <c r="J29" s="7">
        <f>IF(AND(N(F29)&gt;0,N(I29)&gt;0),I29-F29-IF(N(G29)&gt;0,0.5,0)-IF(N(H29)&gt;0,0.5,0),0)</f>
        <v/>
      </c>
      <c r="K29" s="5" t="n"/>
      <c r="L29" s="7">
        <f>MIN(J29,8.0)</f>
        <v/>
      </c>
      <c r="M29" s="7">
        <f>MAX(0,MIN(J29,12)-8.0)</f>
        <v/>
      </c>
      <c r="N29" s="7">
        <f>MAX(0,J29-12)</f>
        <v/>
      </c>
      <c r="O29" s="5" t="n"/>
      <c r="P29" s="6">
        <f>E29*(L29+M29*1.5+N29*2+O29*3+N(K29))</f>
        <v/>
      </c>
      <c r="Q29" s="6" t="n">
        <v>1972</v>
      </c>
      <c r="R29" s="6">
        <f>Q29-P29</f>
        <v/>
      </c>
    </row>
    <row r="30">
      <c r="A30" s="5" t="inlineStr">
        <is>
          <t>1405</t>
        </is>
      </c>
      <c r="B30" s="5" t="inlineStr">
        <is>
          <t>Sophia Santi</t>
        </is>
      </c>
      <c r="C30" s="5" t="inlineStr">
        <is>
          <t>"FEMALECUSTOMER"</t>
        </is>
      </c>
      <c r="D30" s="5" t="inlineStr"/>
      <c r="E30" s="6" t="n">
        <v>1972</v>
      </c>
      <c r="F30" s="5" t="n"/>
      <c r="G30" s="5" t="n"/>
      <c r="H30" s="5" t="n"/>
      <c r="I30" s="5" t="n"/>
      <c r="J30" s="7">
        <f>IF(AND(N(F30)&gt;0,N(I30)&gt;0),I30-F30-IF(N(G30)&gt;0,0.5,0)-IF(N(H30)&gt;0,0.5,0),0)</f>
        <v/>
      </c>
      <c r="K30" s="5" t="n"/>
      <c r="L30" s="7">
        <f>MIN(J30,8.0)</f>
        <v/>
      </c>
      <c r="M30" s="7">
        <f>MAX(0,MIN(J30,12)-8.0)</f>
        <v/>
      </c>
      <c r="N30" s="7">
        <f>MAX(0,J30-12)</f>
        <v/>
      </c>
      <c r="O30" s="5" t="n"/>
      <c r="P30" s="6">
        <f>E30*(L30+M30*1.5+N30*2+O30*3+N(K30))</f>
        <v/>
      </c>
      <c r="Q30" s="6" t="n">
        <v>1972</v>
      </c>
      <c r="R30" s="6">
        <f>Q30-P30</f>
        <v/>
      </c>
    </row>
    <row r="31">
      <c r="A31" s="5" t="inlineStr">
        <is>
          <t>1405</t>
        </is>
      </c>
      <c r="B31" s="5" t="inlineStr">
        <is>
          <t>John Marshall Jones</t>
        </is>
      </c>
      <c r="C31" s="5" t="inlineStr">
        <is>
          <t>"MRHANKINS"</t>
        </is>
      </c>
      <c r="D31" s="5" t="inlineStr"/>
      <c r="E31" s="6" t="n">
        <v>1972</v>
      </c>
      <c r="F31" s="5" t="n"/>
      <c r="G31" s="5" t="n"/>
      <c r="H31" s="5" t="n"/>
      <c r="I31" s="5" t="n"/>
      <c r="J31" s="7">
        <f>IF(AND(N(F31)&gt;0,N(I31)&gt;0),I31-F31-IF(N(G31)&gt;0,0.5,0)-IF(N(H31)&gt;0,0.5,0),0)</f>
        <v/>
      </c>
      <c r="K31" s="5" t="n"/>
      <c r="L31" s="7">
        <f>MIN(J31,8.0)</f>
        <v/>
      </c>
      <c r="M31" s="7">
        <f>MAX(0,MIN(J31,12)-8.0)</f>
        <v/>
      </c>
      <c r="N31" s="7">
        <f>MAX(0,J31-12)</f>
        <v/>
      </c>
      <c r="O31" s="5" t="n"/>
      <c r="P31" s="6">
        <f>E31*(L31+M31*1.5+N31*2+O31*3+N(K31))</f>
        <v/>
      </c>
      <c r="Q31" s="6" t="n">
        <v>1972</v>
      </c>
      <c r="R31" s="6">
        <f>Q31-P31</f>
        <v/>
      </c>
    </row>
    <row r="32">
      <c r="A32" s="5" t="inlineStr">
        <is>
          <t>1405</t>
        </is>
      </c>
      <c r="B32" s="5" t="inlineStr">
        <is>
          <t>Madeleine Mcgraw</t>
        </is>
      </c>
      <c r="C32" s="5" t="inlineStr">
        <is>
          <t>"APRIL"(Minor)</t>
        </is>
      </c>
      <c r="D32" s="5" t="inlineStr"/>
      <c r="E32" s="6" t="n">
        <v>1249</v>
      </c>
      <c r="F32" s="5" t="n"/>
      <c r="G32" s="5" t="n"/>
      <c r="H32" s="5" t="n"/>
      <c r="I32" s="5" t="n"/>
      <c r="J32" s="7">
        <f>IF(AND(N(F32)&gt;0,N(I32)&gt;0),I32-F32-IF(N(G32)&gt;0,0.5,0)-IF(N(H32)&gt;0,0.5,0),0)</f>
        <v/>
      </c>
      <c r="K32" s="5" t="n"/>
      <c r="L32" s="7">
        <f>MIN(J32,8.0)</f>
        <v/>
      </c>
      <c r="M32" s="7">
        <f>MAX(0,MIN(J32,12)-8.0)</f>
        <v/>
      </c>
      <c r="N32" s="7">
        <f>MAX(0,J32-12)</f>
        <v/>
      </c>
      <c r="O32" s="5" t="n"/>
      <c r="P32" s="6">
        <f>E32*(L32+M32*1.5+N32*2+O32*3+N(K32))</f>
        <v/>
      </c>
      <c r="Q32" s="6" t="n">
        <v>1249</v>
      </c>
      <c r="R32" s="6">
        <f>Q32-P32</f>
        <v/>
      </c>
    </row>
    <row r="33">
      <c r="P33" s="2" t="inlineStr">
        <is>
          <t>DAYPLAYERS LABOR</t>
        </is>
      </c>
      <c r="R33" s="8">
        <f>SUM(R26:R32)</f>
        <v/>
      </c>
    </row>
    <row r="35">
      <c r="B35" s="2" t="inlineStr">
        <is>
          <t>STUNTCOORD</t>
        </is>
      </c>
    </row>
    <row r="36">
      <c r="A36" s="5" t="inlineStr">
        <is>
          <t>1406</t>
        </is>
      </c>
      <c r="B36" s="5" t="inlineStr">
        <is>
          <t>Rob King</t>
        </is>
      </c>
      <c r="C36" s="5" t="inlineStr">
        <is>
          <t>STUNTCOORDINATOR</t>
        </is>
      </c>
      <c r="D36" s="5" t="inlineStr"/>
      <c r="E36" s="6" t="n">
        <v>1173</v>
      </c>
      <c r="F36" s="5" t="n"/>
      <c r="G36" s="5" t="n"/>
      <c r="H36" s="5" t="n"/>
      <c r="I36" s="5" t="n"/>
      <c r="J36" s="7">
        <f>IF(AND(N(F36)&gt;0,N(I36)&gt;0),I36-F36-IF(N(G36)&gt;0,0.5,0)-IF(N(H36)&gt;0,0.5,0),0)</f>
        <v/>
      </c>
      <c r="K36" s="5" t="n"/>
      <c r="L36" s="7">
        <f>MIN(J36,8.0)</f>
        <v/>
      </c>
      <c r="M36" s="7">
        <f>MAX(0,MIN(J36,12)-8.0)</f>
        <v/>
      </c>
      <c r="N36" s="7">
        <f>MAX(0,J36-12)</f>
        <v/>
      </c>
      <c r="O36" s="5" t="n"/>
      <c r="P36" s="6">
        <f>E36*(L36+M36*1.5+N36*2+O36*3+N(K36))</f>
        <v/>
      </c>
      <c r="Q36" s="6" t="n">
        <v>1173</v>
      </c>
      <c r="R36" s="6">
        <f>Q36-P36</f>
        <v/>
      </c>
    </row>
    <row r="37">
      <c r="P37" s="2" t="inlineStr">
        <is>
          <t>STUNTCOORD LABOR</t>
        </is>
      </c>
      <c r="R37" s="8">
        <f>SUM(R36:R36)</f>
        <v/>
      </c>
    </row>
    <row r="39">
      <c r="B39" s="2" t="inlineStr">
        <is>
          <t>TEACHER/WELFAREWORKER</t>
        </is>
      </c>
    </row>
    <row r="40">
      <c r="A40" s="5" t="inlineStr">
        <is>
          <t>1412</t>
        </is>
      </c>
      <c r="B40" s="5" t="inlineStr"/>
      <c r="C40" s="5" t="inlineStr">
        <is>
          <t>WELFAREWORKER</t>
        </is>
      </c>
      <c r="D40" s="5" t="inlineStr">
        <is>
          <t>Local884</t>
        </is>
      </c>
      <c r="E40" s="6" t="n">
        <v>25.5</v>
      </c>
      <c r="F40" s="5" t="n"/>
      <c r="G40" s="5" t="n"/>
      <c r="H40" s="5" t="n"/>
      <c r="I40" s="5" t="n"/>
      <c r="J40" s="7">
        <f>IF(AND(N(F40)&gt;0,N(I40)&gt;0),I40-F40-IF(N(G40)&gt;0,0.5,0)-IF(N(H40)&gt;0,0.5,0),0)</f>
        <v/>
      </c>
      <c r="K40" s="5" t="n"/>
      <c r="L40" s="7">
        <f>MIN(J40,8.0)</f>
        <v/>
      </c>
      <c r="M40" s="7">
        <f>MAX(0,MIN(J40,12)-8.0)</f>
        <v/>
      </c>
      <c r="N40" s="7">
        <f>MAX(0,J40-12)</f>
        <v/>
      </c>
      <c r="O40" s="5" t="n"/>
      <c r="P40" s="6">
        <f>E40*(L40+M40*1.5+N40*2+O40*3+N(K40))</f>
        <v/>
      </c>
      <c r="Q40" s="6" t="n">
        <v>280.5</v>
      </c>
      <c r="R40" s="6">
        <f>Q40-P40</f>
        <v/>
      </c>
    </row>
    <row r="41">
      <c r="A41" s="5" t="inlineStr">
        <is>
          <t>1412</t>
        </is>
      </c>
      <c r="B41" s="5" t="inlineStr"/>
      <c r="C41" s="5" t="inlineStr">
        <is>
          <t>ADDLWELFAREWORKER</t>
        </is>
      </c>
      <c r="D41" s="5" t="inlineStr">
        <is>
          <t>Local884</t>
        </is>
      </c>
      <c r="E41" s="6" t="n">
        <v>25.5</v>
      </c>
      <c r="F41" s="5" t="n"/>
      <c r="G41" s="5" t="n"/>
      <c r="H41" s="5" t="n"/>
      <c r="I41" s="5" t="n"/>
      <c r="J41" s="7">
        <f>IF(AND(N(F41)&gt;0,N(I41)&gt;0),I41-F41-IF(N(G41)&gt;0,0.5,0)-IF(N(H41)&gt;0,0.5,0),0)</f>
        <v/>
      </c>
      <c r="K41" s="5" t="n"/>
      <c r="L41" s="7">
        <f>MIN(J41,8.0)</f>
        <v/>
      </c>
      <c r="M41" s="7">
        <f>MAX(0,MIN(J41,12)-8.0)</f>
        <v/>
      </c>
      <c r="N41" s="7">
        <f>MAX(0,J41-12)</f>
        <v/>
      </c>
      <c r="O41" s="5" t="n"/>
      <c r="P41" s="6">
        <f>E41*(L41+M41*1.5+N41*2+O41*3+N(K41))</f>
        <v/>
      </c>
      <c r="Q41" s="6" t="n">
        <v>280.5</v>
      </c>
      <c r="R41" s="6">
        <f>Q41-P41</f>
        <v/>
      </c>
    </row>
    <row r="42">
      <c r="P42" s="2" t="inlineStr">
        <is>
          <t>TEACHER/WELFAREWORKER LABOR</t>
        </is>
      </c>
      <c r="R42" s="8">
        <f>SUM(R40:R41)</f>
        <v/>
      </c>
    </row>
    <row r="44">
      <c r="B44" s="2" t="inlineStr">
        <is>
          <t>CASTINGDIRECTORS</t>
        </is>
      </c>
    </row>
    <row r="45">
      <c r="A45" s="5" t="inlineStr">
        <is>
          <t>1413</t>
        </is>
      </c>
      <c r="B45" s="5" t="inlineStr">
        <is>
          <t>Rich Delia</t>
        </is>
      </c>
      <c r="C45" s="5" t="inlineStr">
        <is>
          <t>CASTINGDIRECTOR</t>
        </is>
      </c>
      <c r="D45" s="5" t="inlineStr"/>
      <c r="E45" s="6" t="n">
        <v>600</v>
      </c>
      <c r="F45" s="5" t="n"/>
      <c r="G45" s="5" t="n"/>
      <c r="H45" s="5" t="n"/>
      <c r="I45" s="5" t="n"/>
      <c r="J45" s="7">
        <f>IF(AND(N(F45)&gt;0,N(I45)&gt;0),I45-F45-IF(N(G45)&gt;0,0.5,0)-IF(N(H45)&gt;0,0.5,0),0)</f>
        <v/>
      </c>
      <c r="K45" s="5" t="n"/>
      <c r="L45" s="7">
        <f>MIN(J45,8.0)</f>
        <v/>
      </c>
      <c r="M45" s="7">
        <f>MAX(0,MIN(J45,12)-8.0)</f>
        <v/>
      </c>
      <c r="N45" s="7">
        <f>MAX(0,J45-12)</f>
        <v/>
      </c>
      <c r="O45" s="5" t="n"/>
      <c r="P45" s="6">
        <f>E45*(L45+M45*1.5+N45*2+O45*3+N(K45))</f>
        <v/>
      </c>
      <c r="Q45" s="5" t="n"/>
      <c r="R45" s="6">
        <f>Q45-P45</f>
        <v/>
      </c>
    </row>
    <row r="46">
      <c r="P46" s="2" t="inlineStr">
        <is>
          <t>CASTINGDIRECTORS LABOR</t>
        </is>
      </c>
      <c r="R46" s="8">
        <f>SUM(R45:R45)</f>
        <v/>
      </c>
    </row>
    <row r="48">
      <c r="B48" s="2" t="inlineStr">
        <is>
          <t>CASTINGASSOCIATES/ASSISTANTS</t>
        </is>
      </c>
    </row>
    <row r="49">
      <c r="A49" s="5" t="inlineStr">
        <is>
          <t>1414</t>
        </is>
      </c>
      <c r="B49" s="5" t="inlineStr">
        <is>
          <t>Adam Richards</t>
        </is>
      </c>
      <c r="C49" s="5" t="inlineStr">
        <is>
          <t>CASTINGASSOCIATE</t>
        </is>
      </c>
      <c r="D49" s="5" t="inlineStr"/>
      <c r="E49" s="6" t="n">
        <v>200</v>
      </c>
      <c r="F49" s="5" t="n"/>
      <c r="G49" s="5" t="n"/>
      <c r="H49" s="5" t="n"/>
      <c r="I49" s="5" t="n"/>
      <c r="J49" s="7">
        <f>IF(AND(N(F49)&gt;0,N(I49)&gt;0),I49-F49-IF(N(G49)&gt;0,0.5,0)-IF(N(H49)&gt;0,0.5,0),0)</f>
        <v/>
      </c>
      <c r="K49" s="5" t="n"/>
      <c r="L49" s="7">
        <f>MIN(J49,8.0)</f>
        <v/>
      </c>
      <c r="M49" s="7">
        <f>MAX(0,MIN(J49,12)-8.0)</f>
        <v/>
      </c>
      <c r="N49" s="7">
        <f>MAX(0,J49-12)</f>
        <v/>
      </c>
      <c r="O49" s="5" t="n"/>
      <c r="P49" s="6">
        <f>E49*(L49+M49*1.5+N49*2+O49*3+N(K49))</f>
        <v/>
      </c>
      <c r="Q49" s="5" t="n"/>
      <c r="R49" s="6">
        <f>Q49-P49</f>
        <v/>
      </c>
    </row>
    <row r="50">
      <c r="P50" s="2" t="inlineStr">
        <is>
          <t>CASTINGASSOCIATES/ASSISTANTS LABOR</t>
        </is>
      </c>
      <c r="R50" s="8">
        <f>SUM(R49:R49)</f>
        <v/>
      </c>
    </row>
    <row r="52">
      <c r="B52" s="2" t="inlineStr">
        <is>
          <t>CASTDRIVERS/VEHICLES</t>
        </is>
      </c>
    </row>
    <row r="53">
      <c r="A53" s="5" t="inlineStr">
        <is>
          <t>1455</t>
        </is>
      </c>
      <c r="B53" s="5" t="inlineStr"/>
      <c r="C53" s="5" t="inlineStr">
        <is>
          <t>CAST 3-RMDRIVER</t>
        </is>
      </c>
      <c r="D53" s="5" t="inlineStr">
        <is>
          <t>Local399</t>
        </is>
      </c>
      <c r="E53" s="6" t="n">
        <v>32.36</v>
      </c>
      <c r="F53" s="5" t="n"/>
      <c r="G53" s="5" t="n"/>
      <c r="H53" s="5" t="n"/>
      <c r="I53" s="5" t="n"/>
      <c r="J53" s="7">
        <f>IF(AND(N(F53)&gt;0,N(I53)&gt;0),I53-F53-IF(N(G53)&gt;0,0.5,0)-IF(N(H53)&gt;0,0.5,0),0)</f>
        <v/>
      </c>
      <c r="K53" s="5" t="n"/>
      <c r="L53" s="7">
        <f>MIN(J53,8.0)</f>
        <v/>
      </c>
      <c r="M53" s="7">
        <f>MAX(0,MIN(J53,12)-8.0)</f>
        <v/>
      </c>
      <c r="N53" s="7">
        <f>MAX(0,J53-12)</f>
        <v/>
      </c>
      <c r="O53" s="5" t="n"/>
      <c r="P53" s="6">
        <f>E53*(L53+M53*1.5+N53*2+O53*3+N(K53))</f>
        <v/>
      </c>
      <c r="Q53" s="6" t="n">
        <v>501.58</v>
      </c>
      <c r="R53" s="6">
        <f>Q53-P53</f>
        <v/>
      </c>
    </row>
    <row r="54">
      <c r="A54" s="5" t="inlineStr">
        <is>
          <t>1455</t>
        </is>
      </c>
      <c r="B54" s="5" t="inlineStr"/>
      <c r="C54" s="5" t="inlineStr">
        <is>
          <t>CASTMINIVANDRIVER</t>
        </is>
      </c>
      <c r="D54" s="5" t="inlineStr">
        <is>
          <t>Local399</t>
        </is>
      </c>
      <c r="E54" s="6" t="n">
        <v>32.36</v>
      </c>
      <c r="F54" s="5" t="n"/>
      <c r="G54" s="5" t="n"/>
      <c r="H54" s="5" t="n"/>
      <c r="I54" s="5" t="n"/>
      <c r="J54" s="7">
        <f>IF(AND(N(F54)&gt;0,N(I54)&gt;0),I54-F54-IF(N(G54)&gt;0,0.5,0)-IF(N(H54)&gt;0,0.5,0),0)</f>
        <v/>
      </c>
      <c r="K54" s="5" t="n"/>
      <c r="L54" s="7">
        <f>MIN(J54,8.0)</f>
        <v/>
      </c>
      <c r="M54" s="7">
        <f>MAX(0,MIN(J54,12)-8.0)</f>
        <v/>
      </c>
      <c r="N54" s="7">
        <f>MAX(0,J54-12)</f>
        <v/>
      </c>
      <c r="O54" s="5" t="n"/>
      <c r="P54" s="6">
        <f>E54*(L54+M54*1.5+N54*2+O54*3+N(K54))</f>
        <v/>
      </c>
      <c r="Q54" s="6" t="n">
        <v>501.58</v>
      </c>
      <c r="R54" s="6">
        <f>Q54-P54</f>
        <v/>
      </c>
    </row>
    <row r="55">
      <c r="P55" s="2" t="inlineStr">
        <is>
          <t>CASTDRIVERS/VEHICLES LABOR</t>
        </is>
      </c>
      <c r="R55" s="8">
        <f>SUM(R53:R54)</f>
        <v/>
      </c>
    </row>
    <row r="57">
      <c r="B57" s="2" t="inlineStr">
        <is>
          <t>PRODUCTIONMANAGER</t>
        </is>
      </c>
    </row>
    <row r="58">
      <c r="A58" s="5" t="inlineStr">
        <is>
          <t>2001</t>
        </is>
      </c>
      <c r="B58" s="5" t="inlineStr">
        <is>
          <t>Carrie Morrow</t>
        </is>
      </c>
      <c r="C58" s="5" t="inlineStr">
        <is>
          <t>UPM</t>
        </is>
      </c>
      <c r="D58" s="5" t="inlineStr">
        <is>
          <t>DGA</t>
        </is>
      </c>
      <c r="E58" s="6" t="n">
        <v>1063.6</v>
      </c>
      <c r="F58" s="5" t="n"/>
      <c r="G58" s="5" t="n"/>
      <c r="H58" s="5" t="n"/>
      <c r="I58" s="5" t="n"/>
      <c r="J58" s="7">
        <f>IF(AND(N(F58)&gt;0,N(I58)&gt;0),I58-F58-IF(N(G58)&gt;0,0.5,0)-IF(N(H58)&gt;0,0.5,0),0)</f>
        <v/>
      </c>
      <c r="K58" s="5" t="n"/>
      <c r="L58" s="7">
        <f>MIN(J58,8.0)</f>
        <v/>
      </c>
      <c r="M58" s="7">
        <f>MAX(0,MIN(J58,12)-8.0)</f>
        <v/>
      </c>
      <c r="N58" s="7">
        <f>MAX(0,J58-12)</f>
        <v/>
      </c>
      <c r="O58" s="5" t="n"/>
      <c r="P58" s="6">
        <f>E58*(L58+M58*1.5+N58*2+O58*3+N(K58))</f>
        <v/>
      </c>
      <c r="Q58" s="6" t="n">
        <v>1063.6</v>
      </c>
      <c r="R58" s="6">
        <f>Q58-P58</f>
        <v/>
      </c>
    </row>
    <row r="59">
      <c r="P59" s="2" t="inlineStr">
        <is>
          <t>PRODUCTIONMANAGER LABOR</t>
        </is>
      </c>
      <c r="R59" s="8">
        <f>SUM(R58:R58)</f>
        <v/>
      </c>
    </row>
    <row r="61">
      <c r="B61" s="2" t="inlineStr">
        <is>
          <t>1STASSTDIRECTOR</t>
        </is>
      </c>
    </row>
    <row r="62">
      <c r="A62" s="5" t="inlineStr">
        <is>
          <t>2002</t>
        </is>
      </c>
      <c r="B62" s="5" t="inlineStr">
        <is>
          <t>James Moran</t>
        </is>
      </c>
      <c r="C62" s="5" t="inlineStr">
        <is>
          <t>1STASSTDIRECTOR</t>
        </is>
      </c>
      <c r="D62" s="5" t="inlineStr">
        <is>
          <t>DGA</t>
        </is>
      </c>
      <c r="E62" s="6" t="n">
        <v>985.6</v>
      </c>
      <c r="F62" s="5" t="n"/>
      <c r="G62" s="5" t="n"/>
      <c r="H62" s="5" t="n"/>
      <c r="I62" s="5" t="n"/>
      <c r="J62" s="7">
        <f>IF(AND(N(F62)&gt;0,N(I62)&gt;0),I62-F62-IF(N(G62)&gt;0,0.5,0)-IF(N(H62)&gt;0,0.5,0),0)</f>
        <v/>
      </c>
      <c r="K62" s="5" t="n"/>
      <c r="L62" s="7">
        <f>MIN(J62,8.0)</f>
        <v/>
      </c>
      <c r="M62" s="7">
        <f>MAX(0,MIN(J62,12)-8.0)</f>
        <v/>
      </c>
      <c r="N62" s="7">
        <f>MAX(0,J62-12)</f>
        <v/>
      </c>
      <c r="O62" s="5" t="n"/>
      <c r="P62" s="6">
        <f>E62*(L62+M62*1.5+N62*2+O62*3+N(K62))</f>
        <v/>
      </c>
      <c r="Q62" s="6" t="n">
        <v>985.6</v>
      </c>
      <c r="R62" s="6">
        <f>Q62-P62</f>
        <v/>
      </c>
    </row>
    <row r="63">
      <c r="P63" s="2" t="inlineStr">
        <is>
          <t>1STASSTDIRECTOR LABOR</t>
        </is>
      </c>
      <c r="R63" s="8">
        <f>SUM(R62:R62)</f>
        <v/>
      </c>
    </row>
    <row r="65">
      <c r="B65" s="2" t="inlineStr">
        <is>
          <t>2NDASSTDIRECTORS</t>
        </is>
      </c>
    </row>
    <row r="66">
      <c r="A66" s="5" t="inlineStr">
        <is>
          <t>2003</t>
        </is>
      </c>
      <c r="B66" s="5" t="inlineStr">
        <is>
          <t>Mark Newland</t>
        </is>
      </c>
      <c r="C66" s="5" t="inlineStr">
        <is>
          <t>KEY 2NDA. D.</t>
        </is>
      </c>
      <c r="D66" s="5" t="inlineStr">
        <is>
          <t>DGA</t>
        </is>
      </c>
      <c r="E66" s="6" t="n">
        <v>674.6</v>
      </c>
      <c r="F66" s="5" t="n"/>
      <c r="G66" s="5" t="n"/>
      <c r="H66" s="5" t="n"/>
      <c r="I66" s="5" t="n"/>
      <c r="J66" s="7">
        <f>IF(AND(N(F66)&gt;0,N(I66)&gt;0),I66-F66-IF(N(G66)&gt;0,0.5,0)-IF(N(H66)&gt;0,0.5,0),0)</f>
        <v/>
      </c>
      <c r="K66" s="5" t="n"/>
      <c r="L66" s="7">
        <f>MIN(J66,8.0)</f>
        <v/>
      </c>
      <c r="M66" s="7">
        <f>MAX(0,MIN(J66,12)-8.0)</f>
        <v/>
      </c>
      <c r="N66" s="7">
        <f>MAX(0,J66-12)</f>
        <v/>
      </c>
      <c r="O66" s="5" t="n"/>
      <c r="P66" s="6">
        <f>E66*(L66+M66*1.5+N66*2+O66*3+N(K66))</f>
        <v/>
      </c>
      <c r="Q66" s="6" t="n">
        <v>674.6</v>
      </c>
      <c r="R66" s="6">
        <f>Q66-P66</f>
        <v/>
      </c>
    </row>
    <row r="67">
      <c r="A67" s="5" t="inlineStr">
        <is>
          <t>2003</t>
        </is>
      </c>
      <c r="B67" s="5" t="inlineStr"/>
      <c r="C67" s="5" t="inlineStr">
        <is>
          <t>2ND 2NDA. D.</t>
        </is>
      </c>
      <c r="D67" s="5" t="inlineStr">
        <is>
          <t>DGA</t>
        </is>
      </c>
      <c r="E67" s="6" t="n">
        <v>526</v>
      </c>
      <c r="F67" s="5" t="n"/>
      <c r="G67" s="5" t="n"/>
      <c r="H67" s="5" t="n"/>
      <c r="I67" s="5" t="n"/>
      <c r="J67" s="7">
        <f>IF(AND(N(F67)&gt;0,N(I67)&gt;0),I67-F67-IF(N(G67)&gt;0,0.5,0)-IF(N(H67)&gt;0,0.5,0),0)</f>
        <v/>
      </c>
      <c r="K67" s="5" t="n"/>
      <c r="L67" s="7">
        <f>MIN(J67,8.0)</f>
        <v/>
      </c>
      <c r="M67" s="7">
        <f>MAX(0,MIN(J67,12)-8.0)</f>
        <v/>
      </c>
      <c r="N67" s="7">
        <f>MAX(0,J67-12)</f>
        <v/>
      </c>
      <c r="O67" s="5" t="n"/>
      <c r="P67" s="6">
        <f>E67*(L67+M67*1.5+N67*2+O67*3+N(K67))</f>
        <v/>
      </c>
      <c r="Q67" s="6" t="n">
        <v>526</v>
      </c>
      <c r="R67" s="6">
        <f>Q67-P67</f>
        <v/>
      </c>
    </row>
    <row r="68">
      <c r="P68" s="2" t="inlineStr">
        <is>
          <t>2NDASSTDIRECTORS LABOR</t>
        </is>
      </c>
      <c r="R68" s="8">
        <f>SUM(R66:R67)</f>
        <v/>
      </c>
    </row>
    <row r="70">
      <c r="B70" s="2" t="inlineStr">
        <is>
          <t>SCRIPTSUPERVISOR</t>
        </is>
      </c>
    </row>
    <row r="71">
      <c r="A71" s="5" t="inlineStr">
        <is>
          <t>2005</t>
        </is>
      </c>
      <c r="B71" s="5" t="inlineStr">
        <is>
          <t>Renata Amador</t>
        </is>
      </c>
      <c r="C71" s="5" t="inlineStr">
        <is>
          <t>SCRIPTSUPERVISOR</t>
        </is>
      </c>
      <c r="D71" s="5" t="inlineStr">
        <is>
          <t>Local871</t>
        </is>
      </c>
      <c r="E71" s="6" t="n">
        <v>25.5</v>
      </c>
      <c r="F71" s="5" t="n"/>
      <c r="G71" s="5" t="n"/>
      <c r="H71" s="5" t="n"/>
      <c r="I71" s="5" t="n"/>
      <c r="J71" s="7">
        <f>IF(AND(N(F71)&gt;0,N(I71)&gt;0),I71-F71-IF(N(G71)&gt;0,0.5,0)-IF(N(H71)&gt;0,0.5,0),0)</f>
        <v/>
      </c>
      <c r="K71" s="5" t="n"/>
      <c r="L71" s="7">
        <f>MIN(J71,10.0)</f>
        <v/>
      </c>
      <c r="M71" s="7">
        <f>MAX(0,MIN(J71,12)-10.0)</f>
        <v/>
      </c>
      <c r="N71" s="7">
        <f>MAX(0,J71-12)</f>
        <v/>
      </c>
      <c r="O71" s="5" t="n"/>
      <c r="P71" s="6">
        <f>E71*(L71+M71*1.5+N71*2+O71*3+N(K71))</f>
        <v/>
      </c>
      <c r="Q71" s="6" t="n">
        <v>439.87</v>
      </c>
      <c r="R71" s="6">
        <f>Q71-P71</f>
        <v/>
      </c>
    </row>
    <row r="72">
      <c r="P72" s="2" t="inlineStr">
        <is>
          <t>SCRIPTSUPERVISOR LABOR</t>
        </is>
      </c>
      <c r="R72" s="8">
        <f>SUM(R71:R71)</f>
        <v/>
      </c>
    </row>
    <row r="74">
      <c r="B74" s="2" t="inlineStr">
        <is>
          <t>LOCATIONMANAGERS</t>
        </is>
      </c>
    </row>
    <row r="75">
      <c r="A75" s="5" t="inlineStr">
        <is>
          <t>2007</t>
        </is>
      </c>
      <c r="B75" s="5" t="inlineStr">
        <is>
          <t>Stacey Brashear-Rodriquez</t>
        </is>
      </c>
      <c r="C75" s="5" t="inlineStr">
        <is>
          <t>LOCATIONMANAGER</t>
        </is>
      </c>
      <c r="D75" s="5" t="inlineStr">
        <is>
          <t>Local399</t>
        </is>
      </c>
      <c r="E75" s="6" t="n">
        <v>557.6</v>
      </c>
      <c r="F75" s="5" t="n"/>
      <c r="G75" s="5" t="n"/>
      <c r="H75" s="5" t="n"/>
      <c r="I75" s="5" t="n"/>
      <c r="J75" s="7">
        <f>IF(AND(N(F75)&gt;0,N(I75)&gt;0),I75-F75-IF(N(G75)&gt;0,0.5,0)-IF(N(H75)&gt;0,0.5,0),0)</f>
        <v/>
      </c>
      <c r="K75" s="5" t="n"/>
      <c r="L75" s="7">
        <f>MIN(J75,8.0)</f>
        <v/>
      </c>
      <c r="M75" s="7">
        <f>MAX(0,MIN(J75,12)-8.0)</f>
        <v/>
      </c>
      <c r="N75" s="7">
        <f>MAX(0,J75-12)</f>
        <v/>
      </c>
      <c r="O75" s="5" t="n"/>
      <c r="P75" s="6">
        <f>E75*(L75+M75*1.5+N75*2+O75*3+N(K75))</f>
        <v/>
      </c>
      <c r="Q75" s="6" t="n">
        <v>557.6</v>
      </c>
      <c r="R75" s="6">
        <f>Q75-P75</f>
        <v/>
      </c>
    </row>
    <row r="76">
      <c r="P76" s="2" t="inlineStr">
        <is>
          <t>LOCATIONMANAGERS LABOR</t>
        </is>
      </c>
      <c r="R76" s="8">
        <f>SUM(R75:R75)</f>
        <v/>
      </c>
    </row>
    <row r="78">
      <c r="B78" s="2" t="inlineStr">
        <is>
          <t>ASSISTANTLOCATIONMANAGERS</t>
        </is>
      </c>
    </row>
    <row r="79">
      <c r="A79" s="5" t="inlineStr">
        <is>
          <t>2008</t>
        </is>
      </c>
      <c r="B79" s="5" t="inlineStr">
        <is>
          <t>Rich Heichel</t>
        </is>
      </c>
      <c r="C79" s="5" t="inlineStr">
        <is>
          <t>KEYASSTLOCATIONMGR#1</t>
        </is>
      </c>
      <c r="D79" s="5" t="inlineStr">
        <is>
          <t>Local399</t>
        </is>
      </c>
      <c r="E79" s="6" t="n">
        <v>334.2</v>
      </c>
      <c r="F79" s="5" t="n"/>
      <c r="G79" s="5" t="n"/>
      <c r="H79" s="5" t="n"/>
      <c r="I79" s="5" t="n"/>
      <c r="J79" s="7">
        <f>IF(AND(N(F79)&gt;0,N(I79)&gt;0),I79-F79-IF(N(G79)&gt;0,0.5,0)-IF(N(H79)&gt;0,0.5,0),0)</f>
        <v/>
      </c>
      <c r="K79" s="5" t="n"/>
      <c r="L79" s="7">
        <f>MIN(J79,8.0)</f>
        <v/>
      </c>
      <c r="M79" s="7">
        <f>MAX(0,MIN(J79,12)-8.0)</f>
        <v/>
      </c>
      <c r="N79" s="7">
        <f>MAX(0,J79-12)</f>
        <v/>
      </c>
      <c r="O79" s="5" t="n"/>
      <c r="P79" s="6">
        <f>E79*(L79+M79*1.5+N79*2+O79*3+N(K79))</f>
        <v/>
      </c>
      <c r="Q79" s="6" t="n">
        <v>334.2</v>
      </c>
      <c r="R79" s="6">
        <f>Q79-P79</f>
        <v/>
      </c>
    </row>
    <row r="80">
      <c r="A80" s="5" t="inlineStr">
        <is>
          <t>2008</t>
        </is>
      </c>
      <c r="B80" s="5" t="inlineStr">
        <is>
          <t>Jason Mc Cauley</t>
        </is>
      </c>
      <c r="C80" s="5" t="inlineStr">
        <is>
          <t>LOCATIONASST</t>
        </is>
      </c>
      <c r="D80" s="5" t="inlineStr">
        <is>
          <t>Local399</t>
        </is>
      </c>
      <c r="E80" s="6" t="n">
        <v>229</v>
      </c>
      <c r="F80" s="5" t="n"/>
      <c r="G80" s="5" t="n"/>
      <c r="H80" s="5" t="n"/>
      <c r="I80" s="5" t="n"/>
      <c r="J80" s="7">
        <f>IF(AND(N(F80)&gt;0,N(I80)&gt;0),I80-F80-IF(N(G80)&gt;0,0.5,0)-IF(N(H80)&gt;0,0.5,0),0)</f>
        <v/>
      </c>
      <c r="K80" s="5" t="n"/>
      <c r="L80" s="7">
        <f>MIN(J80,8.0)</f>
        <v/>
      </c>
      <c r="M80" s="7">
        <f>MAX(0,MIN(J80,12)-8.0)</f>
        <v/>
      </c>
      <c r="N80" s="7">
        <f>MAX(0,J80-12)</f>
        <v/>
      </c>
      <c r="O80" s="5" t="n"/>
      <c r="P80" s="6">
        <f>E80*(L80+M80*1.5+N80*2+O80*3+N(K80))</f>
        <v/>
      </c>
      <c r="Q80" s="6" t="n">
        <v>229</v>
      </c>
      <c r="R80" s="6">
        <f>Q80-P80</f>
        <v/>
      </c>
    </row>
    <row r="81">
      <c r="P81" s="2" t="inlineStr">
        <is>
          <t>ASSISTANTLOCATIONMANAGERS LABOR</t>
        </is>
      </c>
      <c r="R81" s="8">
        <f>SUM(R79:R80)</f>
        <v/>
      </c>
    </row>
    <row r="83">
      <c r="B83" s="2" t="inlineStr">
        <is>
          <t>PRODUCTIONCOORDINATOR</t>
        </is>
      </c>
    </row>
    <row r="84">
      <c r="A84" s="5" t="inlineStr">
        <is>
          <t>2009</t>
        </is>
      </c>
      <c r="B84" s="5" t="inlineStr">
        <is>
          <t>Ali Griffith</t>
        </is>
      </c>
      <c r="C84" s="5" t="inlineStr">
        <is>
          <t>PRODUCTIONOFCCOORD</t>
        </is>
      </c>
      <c r="D84" s="5" t="inlineStr"/>
      <c r="E84" s="6" t="n">
        <v>360</v>
      </c>
      <c r="F84" s="5" t="n"/>
      <c r="G84" s="5" t="n"/>
      <c r="H84" s="5" t="n"/>
      <c r="I84" s="5" t="n"/>
      <c r="J84" s="7">
        <f>IF(AND(N(F84)&gt;0,N(I84)&gt;0),I84-F84-IF(N(G84)&gt;0,0.5,0)-IF(N(H84)&gt;0,0.5,0),0)</f>
        <v/>
      </c>
      <c r="K84" s="5" t="n"/>
      <c r="L84" s="7">
        <f>MIN(J84,8.0)</f>
        <v/>
      </c>
      <c r="M84" s="7">
        <f>MAX(0,MIN(J84,12)-8.0)</f>
        <v/>
      </c>
      <c r="N84" s="7">
        <f>MAX(0,J84-12)</f>
        <v/>
      </c>
      <c r="O84" s="5" t="n"/>
      <c r="P84" s="6">
        <f>E84*(L84+M84*1.5+N84*2+O84*3+N(K84))</f>
        <v/>
      </c>
      <c r="Q84" s="6" t="n">
        <v>360</v>
      </c>
      <c r="R84" s="6">
        <f>Q84-P84</f>
        <v/>
      </c>
    </row>
    <row r="85">
      <c r="P85" s="2" t="inlineStr">
        <is>
          <t>PRODUCTIONCOORDINATOR LABOR</t>
        </is>
      </c>
      <c r="R85" s="8">
        <f>SUM(R84:R84)</f>
        <v/>
      </c>
    </row>
    <row r="87">
      <c r="B87" s="2" t="inlineStr">
        <is>
          <t>ASSTPRODUCTIONCOORDINATOR</t>
        </is>
      </c>
    </row>
    <row r="88">
      <c r="A88" s="5" t="inlineStr">
        <is>
          <t>2010</t>
        </is>
      </c>
      <c r="B88" s="5" t="inlineStr">
        <is>
          <t>Holly Dellocono</t>
        </is>
      </c>
      <c r="C88" s="5" t="inlineStr">
        <is>
          <t>APOC</t>
        </is>
      </c>
      <c r="D88" s="5" t="inlineStr">
        <is>
          <t>Local871</t>
        </is>
      </c>
      <c r="E88" s="6" t="n">
        <v>20.57</v>
      </c>
      <c r="F88" s="5" t="n"/>
      <c r="G88" s="5" t="n"/>
      <c r="H88" s="5" t="n"/>
      <c r="I88" s="5" t="n"/>
      <c r="J88" s="7">
        <f>IF(AND(N(F88)&gt;0,N(I88)&gt;0),I88-F88-IF(N(G88)&gt;0,0.5,0)-IF(N(H88)&gt;0,0.5,0),0)</f>
        <v/>
      </c>
      <c r="K88" s="5" t="n"/>
      <c r="L88" s="7">
        <f>MIN(J88,10.0)</f>
        <v/>
      </c>
      <c r="M88" s="7">
        <f>MAX(0,MIN(J88,12)-10.0)</f>
        <v/>
      </c>
      <c r="N88" s="7">
        <f>MAX(0,J88-12)</f>
        <v/>
      </c>
      <c r="O88" s="5" t="n"/>
      <c r="P88" s="6">
        <f>E88*(L88+M88*1.5+N88*2+O88*3+N(K88))</f>
        <v/>
      </c>
      <c r="Q88" s="6" t="n">
        <v>287.98</v>
      </c>
      <c r="R88" s="6">
        <f>Q88-P88</f>
        <v/>
      </c>
    </row>
    <row r="89">
      <c r="P89" s="2" t="inlineStr">
        <is>
          <t>ASSTPRODUCTIONCOORDINATOR LABOR</t>
        </is>
      </c>
      <c r="R89" s="8">
        <f>SUM(R88:R88)</f>
        <v/>
      </c>
    </row>
    <row r="91">
      <c r="B91" s="2" t="inlineStr">
        <is>
          <t>OFFICESTAFFASSISTANTS</t>
        </is>
      </c>
    </row>
    <row r="92">
      <c r="A92" s="5" t="inlineStr">
        <is>
          <t>2011</t>
        </is>
      </c>
      <c r="B92" s="5" t="inlineStr">
        <is>
          <t>John Humber</t>
        </is>
      </c>
      <c r="C92" s="5" t="inlineStr">
        <is>
          <t>OFFICEPA#1</t>
        </is>
      </c>
      <c r="D92" s="5" t="inlineStr"/>
      <c r="E92" s="6" t="n">
        <v>22.5</v>
      </c>
      <c r="F92" s="5" t="n"/>
      <c r="G92" s="5" t="n"/>
      <c r="H92" s="5" t="n"/>
      <c r="I92" s="5" t="n"/>
      <c r="J92" s="7">
        <f>IF(AND(N(F92)&gt;0,N(I92)&gt;0),I92-F92-IF(N(G92)&gt;0,0.5,0)-IF(N(H92)&gt;0,0.5,0),0)</f>
        <v/>
      </c>
      <c r="K92" s="5" t="n"/>
      <c r="L92" s="7">
        <f>MIN(J92,8.0)</f>
        <v/>
      </c>
      <c r="M92" s="7">
        <f>MAX(0,MIN(J92,12)-8.0)</f>
        <v/>
      </c>
      <c r="N92" s="7">
        <f>MAX(0,J92-12)</f>
        <v/>
      </c>
      <c r="O92" s="5" t="n"/>
      <c r="P92" s="6">
        <f>E92*(L92+M92*1.5+N92*2+O92*3+N(K92))</f>
        <v/>
      </c>
      <c r="Q92" s="6" t="n">
        <v>168</v>
      </c>
      <c r="R92" s="6">
        <f>Q92-P92</f>
        <v/>
      </c>
    </row>
    <row r="93">
      <c r="A93" s="5" t="inlineStr">
        <is>
          <t>2011</t>
        </is>
      </c>
      <c r="B93" s="5" t="inlineStr">
        <is>
          <t>Sarah Semenas</t>
        </is>
      </c>
      <c r="C93" s="5" t="inlineStr">
        <is>
          <t>OFFICEPA#2</t>
        </is>
      </c>
      <c r="D93" s="5" t="inlineStr"/>
      <c r="E93" s="6" t="n">
        <v>22.5</v>
      </c>
      <c r="F93" s="5" t="n"/>
      <c r="G93" s="5" t="n"/>
      <c r="H93" s="5" t="n"/>
      <c r="I93" s="5" t="n"/>
      <c r="J93" s="7">
        <f>IF(AND(N(F93)&gt;0,N(I93)&gt;0),I93-F93-IF(N(G93)&gt;0,0.5,0)-IF(N(H93)&gt;0,0.5,0),0)</f>
        <v/>
      </c>
      <c r="K93" s="5" t="n"/>
      <c r="L93" s="7">
        <f>MIN(J93,8.0)</f>
        <v/>
      </c>
      <c r="M93" s="7">
        <f>MAX(0,MIN(J93,12)-8.0)</f>
        <v/>
      </c>
      <c r="N93" s="7">
        <f>MAX(0,J93-12)</f>
        <v/>
      </c>
      <c r="O93" s="5" t="n"/>
      <c r="P93" s="6">
        <f>E93*(L93+M93*1.5+N93*2+O93*3+N(K93))</f>
        <v/>
      </c>
      <c r="Q93" s="6" t="n">
        <v>168</v>
      </c>
      <c r="R93" s="6">
        <f>Q93-P93</f>
        <v/>
      </c>
    </row>
    <row r="94">
      <c r="P94" s="2" t="inlineStr">
        <is>
          <t>OFFICESTAFFASSISTANTS LABOR</t>
        </is>
      </c>
      <c r="R94" s="8">
        <f>SUM(R92:R93)</f>
        <v/>
      </c>
    </row>
    <row r="96">
      <c r="B96" s="2" t="inlineStr">
        <is>
          <t>SETSTAFFASSISTANTS</t>
        </is>
      </c>
    </row>
    <row r="97">
      <c r="A97" s="5" t="inlineStr">
        <is>
          <t>2012</t>
        </is>
      </c>
      <c r="B97" s="5" t="inlineStr">
        <is>
          <t>Paula Henry</t>
        </is>
      </c>
      <c r="C97" s="5" t="inlineStr">
        <is>
          <t>KEYSETPA</t>
        </is>
      </c>
      <c r="D97" s="5" t="inlineStr"/>
      <c r="E97" s="6" t="n">
        <v>12</v>
      </c>
      <c r="F97" s="5" t="n"/>
      <c r="G97" s="5" t="n"/>
      <c r="H97" s="5" t="n"/>
      <c r="I97" s="5" t="n"/>
      <c r="J97" s="7">
        <f>IF(AND(N(F97)&gt;0,N(I97)&gt;0),I97-F97-IF(N(G97)&gt;0,0.5,0)-IF(N(H97)&gt;0,0.5,0),0)</f>
        <v/>
      </c>
      <c r="K97" s="5" t="n"/>
      <c r="L97" s="7">
        <f>MIN(J97,8.0)</f>
        <v/>
      </c>
      <c r="M97" s="7">
        <f>MAX(0,MIN(J97,12)-8.0)</f>
        <v/>
      </c>
      <c r="N97" s="7">
        <f>MAX(0,J97-12)</f>
        <v/>
      </c>
      <c r="O97" s="5" t="n"/>
      <c r="P97" s="6">
        <f>E97*(L97+M97*1.5+N97*2+O97*3+N(K97))</f>
        <v/>
      </c>
      <c r="Q97" s="6" t="n">
        <v>216</v>
      </c>
      <c r="R97" s="6">
        <f>Q97-P97</f>
        <v/>
      </c>
    </row>
    <row r="98">
      <c r="A98" s="5" t="inlineStr">
        <is>
          <t>2012</t>
        </is>
      </c>
      <c r="B98" s="5" t="inlineStr"/>
      <c r="C98" s="5" t="inlineStr">
        <is>
          <t>SETPA#2</t>
        </is>
      </c>
      <c r="D98" s="5" t="inlineStr"/>
      <c r="E98" s="6" t="n">
        <v>12</v>
      </c>
      <c r="F98" s="5" t="n"/>
      <c r="G98" s="5" t="n"/>
      <c r="H98" s="5" t="n"/>
      <c r="I98" s="5" t="n"/>
      <c r="J98" s="7">
        <f>IF(AND(N(F98)&gt;0,N(I98)&gt;0),I98-F98-IF(N(G98)&gt;0,0.5,0)-IF(N(H98)&gt;0,0.5,0),0)</f>
        <v/>
      </c>
      <c r="K98" s="5" t="n"/>
      <c r="L98" s="7">
        <f>MIN(J98,8.0)</f>
        <v/>
      </c>
      <c r="M98" s="7">
        <f>MAX(0,MIN(J98,12)-8.0)</f>
        <v/>
      </c>
      <c r="N98" s="7">
        <f>MAX(0,J98-12)</f>
        <v/>
      </c>
      <c r="O98" s="5" t="n"/>
      <c r="P98" s="6">
        <f>E98*(L98+M98*1.5+N98*2+O98*3+N(K98))</f>
        <v/>
      </c>
      <c r="Q98" s="6" t="n">
        <v>216</v>
      </c>
      <c r="R98" s="6">
        <f>Q98-P98</f>
        <v/>
      </c>
    </row>
    <row r="99">
      <c r="A99" s="5" t="inlineStr">
        <is>
          <t>2012</t>
        </is>
      </c>
      <c r="B99" s="5" t="inlineStr"/>
      <c r="C99" s="5" t="inlineStr">
        <is>
          <t>SETPA#3</t>
        </is>
      </c>
      <c r="D99" s="5" t="inlineStr"/>
      <c r="E99" s="6" t="n">
        <v>12</v>
      </c>
      <c r="F99" s="5" t="n"/>
      <c r="G99" s="5" t="n"/>
      <c r="H99" s="5" t="n"/>
      <c r="I99" s="5" t="n"/>
      <c r="J99" s="7">
        <f>IF(AND(N(F99)&gt;0,N(I99)&gt;0),I99-F99-IF(N(G99)&gt;0,0.5,0)-IF(N(H99)&gt;0,0.5,0),0)</f>
        <v/>
      </c>
      <c r="K99" s="5" t="n"/>
      <c r="L99" s="7">
        <f>MIN(J99,8.0)</f>
        <v/>
      </c>
      <c r="M99" s="7">
        <f>MAX(0,MIN(J99,12)-8.0)</f>
        <v/>
      </c>
      <c r="N99" s="7">
        <f>MAX(0,J99-12)</f>
        <v/>
      </c>
      <c r="O99" s="5" t="n"/>
      <c r="P99" s="6">
        <f>E99*(L99+M99*1.5+N99*2+O99*3+N(K99))</f>
        <v/>
      </c>
      <c r="Q99" s="6" t="n">
        <v>216</v>
      </c>
      <c r="R99" s="6">
        <f>Q99-P99</f>
        <v/>
      </c>
    </row>
    <row r="100">
      <c r="A100" s="5" t="inlineStr">
        <is>
          <t>2012</t>
        </is>
      </c>
      <c r="B100" s="5" t="inlineStr"/>
      <c r="C100" s="5" t="inlineStr">
        <is>
          <t>SETPA#4</t>
        </is>
      </c>
      <c r="D100" s="5" t="inlineStr"/>
      <c r="E100" s="6" t="n">
        <v>12</v>
      </c>
      <c r="F100" s="5" t="n"/>
      <c r="G100" s="5" t="n"/>
      <c r="H100" s="5" t="n"/>
      <c r="I100" s="5" t="n"/>
      <c r="J100" s="7">
        <f>IF(AND(N(F100)&gt;0,N(I100)&gt;0),I100-F100-IF(N(G100)&gt;0,0.5,0)-IF(N(H100)&gt;0,0.5,0),0)</f>
        <v/>
      </c>
      <c r="K100" s="5" t="n"/>
      <c r="L100" s="7">
        <f>MIN(J100,8.0)</f>
        <v/>
      </c>
      <c r="M100" s="7">
        <f>MAX(0,MIN(J100,12)-8.0)</f>
        <v/>
      </c>
      <c r="N100" s="7">
        <f>MAX(0,J100-12)</f>
        <v/>
      </c>
      <c r="O100" s="5" t="n"/>
      <c r="P100" s="6">
        <f>E100*(L100+M100*1.5+N100*2+O100*3+N(K100))</f>
        <v/>
      </c>
      <c r="Q100" s="6" t="n">
        <v>216</v>
      </c>
      <c r="R100" s="6">
        <f>Q100-P100</f>
        <v/>
      </c>
    </row>
    <row r="101">
      <c r="P101" s="2" t="inlineStr">
        <is>
          <t>SETSTAFFASSISTANTS LABOR</t>
        </is>
      </c>
      <c r="R101" s="8">
        <f>SUM(R97:R100)</f>
        <v/>
      </c>
    </row>
    <row r="103">
      <c r="B103" s="2" t="inlineStr">
        <is>
          <t>PRODUCTIONACCOUNTANT</t>
        </is>
      </c>
    </row>
    <row r="104">
      <c r="A104" s="5" t="inlineStr">
        <is>
          <t>2013</t>
        </is>
      </c>
      <c r="B104" s="5" t="inlineStr">
        <is>
          <t>Joel Tokarsky</t>
        </is>
      </c>
      <c r="C104" s="5" t="inlineStr">
        <is>
          <t>PRODUCTIONACCOUNTANT</t>
        </is>
      </c>
      <c r="D104" s="5" t="inlineStr">
        <is>
          <t>Local871</t>
        </is>
      </c>
      <c r="E104" s="6" t="n">
        <v>740</v>
      </c>
      <c r="F104" s="5" t="n"/>
      <c r="G104" s="5" t="n"/>
      <c r="H104" s="5" t="n"/>
      <c r="I104" s="5" t="n"/>
      <c r="J104" s="7">
        <f>IF(AND(N(F104)&gt;0,N(I104)&gt;0),I104-F104-IF(N(G104)&gt;0,0.5,0)-IF(N(H104)&gt;0,0.5,0),0)</f>
        <v/>
      </c>
      <c r="K104" s="5" t="n"/>
      <c r="L104" s="7">
        <f>MIN(J104,10.0)</f>
        <v/>
      </c>
      <c r="M104" s="7">
        <f>MAX(0,MIN(J104,12)-10.0)</f>
        <v/>
      </c>
      <c r="N104" s="7">
        <f>MAX(0,J104-12)</f>
        <v/>
      </c>
      <c r="O104" s="5" t="n"/>
      <c r="P104" s="6">
        <f>E104*(L104+M104*1.5+N104*2+O104*3+N(K104))</f>
        <v/>
      </c>
      <c r="Q104" s="6" t="n">
        <v>740</v>
      </c>
      <c r="R104" s="6">
        <f>Q104-P104</f>
        <v/>
      </c>
    </row>
    <row r="105">
      <c r="P105" s="2" t="inlineStr">
        <is>
          <t>PRODUCTIONACCOUNTANT LABOR</t>
        </is>
      </c>
      <c r="R105" s="8">
        <f>SUM(R104:R104)</f>
        <v/>
      </c>
    </row>
    <row r="107">
      <c r="B107" s="2" t="inlineStr">
        <is>
          <t>ASSTPRODUCTIONACCOUNTANTS</t>
        </is>
      </c>
    </row>
    <row r="108">
      <c r="A108" s="5" t="inlineStr">
        <is>
          <t>2014</t>
        </is>
      </c>
      <c r="B108" s="5" t="inlineStr">
        <is>
          <t>Co-Co Aiello</t>
        </is>
      </c>
      <c r="C108" s="5" t="inlineStr">
        <is>
          <t>1STASSTACCT</t>
        </is>
      </c>
      <c r="D108" s="5" t="inlineStr">
        <is>
          <t>Local871</t>
        </is>
      </c>
      <c r="E108" s="6" t="n">
        <v>480</v>
      </c>
      <c r="F108" s="5" t="n"/>
      <c r="G108" s="5" t="n"/>
      <c r="H108" s="5" t="n"/>
      <c r="I108" s="5" t="n"/>
      <c r="J108" s="7">
        <f>IF(AND(N(F108)&gt;0,N(I108)&gt;0),I108-F108-IF(N(G108)&gt;0,0.5,0)-IF(N(H108)&gt;0,0.5,0),0)</f>
        <v/>
      </c>
      <c r="K108" s="5" t="n"/>
      <c r="L108" s="7">
        <f>MIN(J108,10.0)</f>
        <v/>
      </c>
      <c r="M108" s="7">
        <f>MAX(0,MIN(J108,12)-10.0)</f>
        <v/>
      </c>
      <c r="N108" s="7">
        <f>MAX(0,J108-12)</f>
        <v/>
      </c>
      <c r="O108" s="5" t="n"/>
      <c r="P108" s="6">
        <f>E108*(L108+M108*1.5+N108*2+O108*3+N(K108))</f>
        <v/>
      </c>
      <c r="Q108" s="6" t="n">
        <v>480</v>
      </c>
      <c r="R108" s="6">
        <f>Q108-P108</f>
        <v/>
      </c>
    </row>
    <row r="109">
      <c r="A109" s="5" t="inlineStr">
        <is>
          <t>2014</t>
        </is>
      </c>
      <c r="B109" s="5" t="inlineStr">
        <is>
          <t>Steve Goldstein</t>
        </is>
      </c>
      <c r="C109" s="5" t="inlineStr">
        <is>
          <t>PAYROLLACCT</t>
        </is>
      </c>
      <c r="D109" s="5" t="inlineStr">
        <is>
          <t>Local871</t>
        </is>
      </c>
      <c r="E109" s="6" t="n">
        <v>420</v>
      </c>
      <c r="F109" s="5" t="n"/>
      <c r="G109" s="5" t="n"/>
      <c r="H109" s="5" t="n"/>
      <c r="I109" s="5" t="n"/>
      <c r="J109" s="7">
        <f>IF(AND(N(F109)&gt;0,N(I109)&gt;0),I109-F109-IF(N(G109)&gt;0,0.5,0)-IF(N(H109)&gt;0,0.5,0),0)</f>
        <v/>
      </c>
      <c r="K109" s="5" t="n"/>
      <c r="L109" s="7">
        <f>MIN(J109,10.0)</f>
        <v/>
      </c>
      <c r="M109" s="7">
        <f>MAX(0,MIN(J109,12)-10.0)</f>
        <v/>
      </c>
      <c r="N109" s="7">
        <f>MAX(0,J109-12)</f>
        <v/>
      </c>
      <c r="O109" s="5" t="n"/>
      <c r="P109" s="6">
        <f>E109*(L109+M109*1.5+N109*2+O109*3+N(K109))</f>
        <v/>
      </c>
      <c r="Q109" s="6" t="n">
        <v>420</v>
      </c>
      <c r="R109" s="6">
        <f>Q109-P109</f>
        <v/>
      </c>
    </row>
    <row r="110">
      <c r="P110" s="2" t="inlineStr">
        <is>
          <t>ASSTPRODUCTIONACCOUNTANTS LABOR</t>
        </is>
      </c>
      <c r="R110" s="8">
        <f>SUM(R108:R109)</f>
        <v/>
      </c>
    </row>
    <row r="112">
      <c r="B112" s="2" t="inlineStr">
        <is>
          <t>CONSTRUCTIONCOORDINATOR</t>
        </is>
      </c>
    </row>
    <row r="113">
      <c r="A113" s="5" t="inlineStr">
        <is>
          <t>2302</t>
        </is>
      </c>
      <c r="B113" s="5" t="inlineStr">
        <is>
          <t>Drew Rebelin</t>
        </is>
      </c>
      <c r="C113" s="5" t="inlineStr">
        <is>
          <t>CONSTCOORDINATOR</t>
        </is>
      </c>
      <c r="D113" s="5" t="inlineStr">
        <is>
          <t>Local44</t>
        </is>
      </c>
      <c r="E113" s="6" t="n">
        <v>400</v>
      </c>
      <c r="F113" s="5" t="n"/>
      <c r="G113" s="5" t="n"/>
      <c r="H113" s="5" t="n"/>
      <c r="I113" s="5" t="n"/>
      <c r="J113" s="7">
        <f>IF(AND(N(F113)&gt;0,N(I113)&gt;0),I113-F113-IF(N(G113)&gt;0,0.5,0)-IF(N(H113)&gt;0,0.5,0),0)</f>
        <v/>
      </c>
      <c r="K113" s="5" t="n"/>
      <c r="L113" s="7">
        <f>MIN(J113,10.0)</f>
        <v/>
      </c>
      <c r="M113" s="7">
        <f>MAX(0,MIN(J113,12)-10.0)</f>
        <v/>
      </c>
      <c r="N113" s="7">
        <f>MAX(0,J113-12)</f>
        <v/>
      </c>
      <c r="O113" s="5" t="n"/>
      <c r="P113" s="6">
        <f>E113*(L113+M113*1.5+N113*2+O113*3+N(K113))</f>
        <v/>
      </c>
      <c r="Q113" s="5" t="n"/>
      <c r="R113" s="6">
        <f>Q113-P113</f>
        <v/>
      </c>
    </row>
    <row r="114">
      <c r="P114" s="2" t="inlineStr">
        <is>
          <t>CONSTRUCTIONCOORDINATOR LABOR</t>
        </is>
      </c>
      <c r="R114" s="8">
        <f>SUM(R113:R113)</f>
        <v/>
      </c>
    </row>
    <row r="116">
      <c r="B116" s="2" t="inlineStr">
        <is>
          <t>PAINTFOREMAN</t>
        </is>
      </c>
    </row>
    <row r="117">
      <c r="A117" s="5" t="inlineStr">
        <is>
          <t>2304</t>
        </is>
      </c>
      <c r="B117" s="5" t="inlineStr">
        <is>
          <t>Kristeen Reimnitz</t>
        </is>
      </c>
      <c r="C117" s="5" t="inlineStr">
        <is>
          <t>PAINTER</t>
        </is>
      </c>
      <c r="D117" s="5" t="inlineStr">
        <is>
          <t>Local729</t>
        </is>
      </c>
      <c r="E117" s="6" t="n">
        <v>23.04</v>
      </c>
      <c r="F117" s="5" t="n"/>
      <c r="G117" s="5" t="n"/>
      <c r="H117" s="5" t="n"/>
      <c r="I117" s="5" t="n"/>
      <c r="J117" s="7">
        <f>IF(AND(N(F117)&gt;0,N(I117)&gt;0),I117-F117-IF(N(G117)&gt;0,0.5,0)-IF(N(H117)&gt;0,0.5,0),0)</f>
        <v/>
      </c>
      <c r="K117" s="5" t="n"/>
      <c r="L117" s="7">
        <f>MIN(J117,10.0)</f>
        <v/>
      </c>
      <c r="M117" s="7">
        <f>MAX(0,MIN(J117,12)-10.0)</f>
        <v/>
      </c>
      <c r="N117" s="7">
        <f>MAX(0,J117-12)</f>
        <v/>
      </c>
      <c r="O117" s="5" t="n"/>
      <c r="P117" s="6">
        <f>E117*(L117+M117*1.5+N117*2+O117*3+N(K117))</f>
        <v/>
      </c>
      <c r="Q117" s="5" t="n"/>
      <c r="R117" s="6">
        <f>Q117-P117</f>
        <v/>
      </c>
    </row>
    <row r="118">
      <c r="P118" s="2" t="inlineStr">
        <is>
          <t>PAINTFOREMAN LABOR</t>
        </is>
      </c>
      <c r="R118" s="8">
        <f>SUM(R117:R117)</f>
        <v/>
      </c>
    </row>
    <row r="120">
      <c r="B120" s="2" t="inlineStr">
        <is>
          <t>FIRSTAIDLABOR</t>
        </is>
      </c>
    </row>
    <row r="121">
      <c r="A121" s="5" t="inlineStr">
        <is>
          <t>2310</t>
        </is>
      </c>
      <c r="B121" s="5" t="inlineStr"/>
      <c r="C121" s="5" t="inlineStr">
        <is>
          <t>CONSTRUCTIONMEDIC</t>
        </is>
      </c>
      <c r="D121" s="5" t="inlineStr">
        <is>
          <t>Local80</t>
        </is>
      </c>
      <c r="E121" s="6" t="n">
        <v>23.04</v>
      </c>
      <c r="F121" s="5" t="n"/>
      <c r="G121" s="5" t="n"/>
      <c r="H121" s="5" t="n"/>
      <c r="I121" s="5" t="n"/>
      <c r="J121" s="7">
        <f>IF(AND(N(F121)&gt;0,N(I121)&gt;0),I121-F121-IF(N(G121)&gt;0,0.5,0)-IF(N(H121)&gt;0,0.5,0),0)</f>
        <v/>
      </c>
      <c r="K121" s="5" t="n"/>
      <c r="L121" s="7">
        <f>MIN(J121,10.0)</f>
        <v/>
      </c>
      <c r="M121" s="7">
        <f>MAX(0,MIN(J121,12)-10.0)</f>
        <v/>
      </c>
      <c r="N121" s="7">
        <f>MAX(0,J121-12)</f>
        <v/>
      </c>
      <c r="O121" s="5" t="n"/>
      <c r="P121" s="6">
        <f>E121*(L121+M121*1.5+N121*2+O121*3+N(K121))</f>
        <v/>
      </c>
      <c r="Q121" s="5" t="n"/>
      <c r="R121" s="6">
        <f>Q121-P121</f>
        <v/>
      </c>
    </row>
    <row r="122">
      <c r="P122" s="2" t="inlineStr">
        <is>
          <t>FIRSTAIDLABOR LABOR</t>
        </is>
      </c>
      <c r="R122" s="8">
        <f>SUM(R121:R121)</f>
        <v/>
      </c>
    </row>
    <row r="124">
      <c r="B124" s="2" t="inlineStr">
        <is>
          <t>KEYGRIP</t>
        </is>
      </c>
    </row>
    <row r="125">
      <c r="A125" s="5" t="inlineStr">
        <is>
          <t>2501</t>
        </is>
      </c>
      <c r="B125" s="5" t="inlineStr">
        <is>
          <t>Pat O'Mara</t>
        </is>
      </c>
      <c r="C125" s="5" t="inlineStr">
        <is>
          <t>KEYGRIP</t>
        </is>
      </c>
      <c r="D125" s="5" t="inlineStr">
        <is>
          <t>Local80</t>
        </is>
      </c>
      <c r="E125" s="6" t="n">
        <v>25.5</v>
      </c>
      <c r="F125" s="5" t="n"/>
      <c r="G125" s="5" t="n"/>
      <c r="H125" s="5" t="n"/>
      <c r="I125" s="5" t="n"/>
      <c r="J125" s="7">
        <f>IF(AND(N(F125)&gt;0,N(I125)&gt;0),I125-F125-IF(N(G125)&gt;0,0.5,0)-IF(N(H125)&gt;0,0.5,0),0)</f>
        <v/>
      </c>
      <c r="K125" s="5" t="n"/>
      <c r="L125" s="7">
        <f>MIN(J125,10.0)</f>
        <v/>
      </c>
      <c r="M125" s="7">
        <f>MAX(0,MIN(J125,12)-10.0)</f>
        <v/>
      </c>
      <c r="N125" s="7">
        <f>MAX(0,J125-12)</f>
        <v/>
      </c>
      <c r="O125" s="5" t="n"/>
      <c r="P125" s="6">
        <f>E125*(L125+M125*1.5+N125*2+O125*3+N(K125))</f>
        <v/>
      </c>
      <c r="Q125" s="6" t="n">
        <v>395.25</v>
      </c>
      <c r="R125" s="6">
        <f>Q125-P125</f>
        <v/>
      </c>
    </row>
    <row r="126">
      <c r="P126" s="2" t="inlineStr">
        <is>
          <t>KEYGRIP LABOR</t>
        </is>
      </c>
      <c r="R126" s="8">
        <f>SUM(R125:R125)</f>
        <v/>
      </c>
    </row>
    <row r="128">
      <c r="B128" s="2" t="inlineStr">
        <is>
          <t>BESTBOYGRIP</t>
        </is>
      </c>
    </row>
    <row r="129">
      <c r="A129" s="5" t="inlineStr">
        <is>
          <t>2502</t>
        </is>
      </c>
      <c r="B129" s="5" t="inlineStr">
        <is>
          <t>Aaron Fairley</t>
        </is>
      </c>
      <c r="C129" s="5" t="inlineStr">
        <is>
          <t>BESTBOYGRIP</t>
        </is>
      </c>
      <c r="D129" s="5" t="inlineStr">
        <is>
          <t>Local80</t>
        </is>
      </c>
      <c r="E129" s="6" t="n">
        <v>23.04</v>
      </c>
      <c r="F129" s="5" t="n"/>
      <c r="G129" s="5" t="n"/>
      <c r="H129" s="5" t="n"/>
      <c r="I129" s="5" t="n"/>
      <c r="J129" s="7">
        <f>IF(AND(N(F129)&gt;0,N(I129)&gt;0),I129-F129-IF(N(G129)&gt;0,0.5,0)-IF(N(H129)&gt;0,0.5,0),0)</f>
        <v/>
      </c>
      <c r="K129" s="5" t="n"/>
      <c r="L129" s="7">
        <f>MIN(J129,10.0)</f>
        <v/>
      </c>
      <c r="M129" s="7">
        <f>MAX(0,MIN(J129,12)-10.0)</f>
        <v/>
      </c>
      <c r="N129" s="7">
        <f>MAX(0,J129-12)</f>
        <v/>
      </c>
      <c r="O129" s="5" t="n"/>
      <c r="P129" s="6">
        <f>E129*(L129+M129*1.5+N129*2+O129*3+N(K129))</f>
        <v/>
      </c>
      <c r="Q129" s="6" t="n">
        <v>357.12</v>
      </c>
      <c r="R129" s="6">
        <f>Q129-P129</f>
        <v/>
      </c>
    </row>
    <row r="130">
      <c r="A130" s="5" t="inlineStr">
        <is>
          <t>2502</t>
        </is>
      </c>
      <c r="B130" s="5" t="inlineStr"/>
      <c r="C130" s="5" t="inlineStr">
        <is>
          <t>STUDIOBESTBOYGRIP</t>
        </is>
      </c>
      <c r="D130" s="5" t="inlineStr">
        <is>
          <t>Local80</t>
        </is>
      </c>
      <c r="E130" s="6" t="n">
        <v>43.05</v>
      </c>
      <c r="F130" s="5" t="n"/>
      <c r="G130" s="5" t="n"/>
      <c r="H130" s="5" t="n"/>
      <c r="I130" s="5" t="n"/>
      <c r="J130" s="7">
        <f>IF(AND(N(F130)&gt;0,N(I130)&gt;0),I130-F130-IF(N(G130)&gt;0,0.5,0)-IF(N(H130)&gt;0,0.5,0),0)</f>
        <v/>
      </c>
      <c r="K130" s="5" t="n"/>
      <c r="L130" s="7">
        <f>MIN(J130,10.0)</f>
        <v/>
      </c>
      <c r="M130" s="7">
        <f>MAX(0,MIN(J130,12)-10.0)</f>
        <v/>
      </c>
      <c r="N130" s="7">
        <f>MAX(0,J130-12)</f>
        <v/>
      </c>
      <c r="O130" s="5" t="n"/>
      <c r="P130" s="6">
        <f>E130*(L130+M130*1.5+N130*2+O130*3+N(K130))</f>
        <v/>
      </c>
      <c r="Q130" s="6" t="n">
        <v>667.27</v>
      </c>
      <c r="R130" s="6">
        <f>Q130-P130</f>
        <v/>
      </c>
    </row>
    <row r="131">
      <c r="P131" s="2" t="inlineStr">
        <is>
          <t>BESTBOYGRIP LABOR</t>
        </is>
      </c>
      <c r="R131" s="8">
        <f>SUM(R129:R130)</f>
        <v/>
      </c>
    </row>
    <row r="133">
      <c r="B133" s="2" t="inlineStr">
        <is>
          <t>DOLLYGRIP</t>
        </is>
      </c>
    </row>
    <row r="134">
      <c r="A134" s="5" t="inlineStr">
        <is>
          <t>2503</t>
        </is>
      </c>
      <c r="B134" s="5" t="inlineStr">
        <is>
          <t>Peter Weidenfeller</t>
        </is>
      </c>
      <c r="C134" s="5" t="inlineStr">
        <is>
          <t>"A"DOLLYGRIP</t>
        </is>
      </c>
      <c r="D134" s="5" t="inlineStr">
        <is>
          <t>Local80</t>
        </is>
      </c>
      <c r="E134" s="6" t="n">
        <v>23.04</v>
      </c>
      <c r="F134" s="5" t="n"/>
      <c r="G134" s="5" t="n"/>
      <c r="H134" s="5" t="n"/>
      <c r="I134" s="5" t="n"/>
      <c r="J134" s="7">
        <f>IF(AND(N(F134)&gt;0,N(I134)&gt;0),I134-F134-IF(N(G134)&gt;0,0.5,0)-IF(N(H134)&gt;0,0.5,0),0)</f>
        <v/>
      </c>
      <c r="K134" s="5" t="n"/>
      <c r="L134" s="7">
        <f>MIN(J134,10.0)</f>
        <v/>
      </c>
      <c r="M134" s="7">
        <f>MAX(0,MIN(J134,12)-10.0)</f>
        <v/>
      </c>
      <c r="N134" s="7">
        <f>MAX(0,J134-12)</f>
        <v/>
      </c>
      <c r="O134" s="5" t="n"/>
      <c r="P134" s="6">
        <f>E134*(L134+M134*1.5+N134*2+O134*3+N(K134))</f>
        <v/>
      </c>
      <c r="Q134" s="6" t="n">
        <v>357.12</v>
      </c>
      <c r="R134" s="6">
        <f>Q134-P134</f>
        <v/>
      </c>
    </row>
    <row r="135">
      <c r="P135" s="2" t="inlineStr">
        <is>
          <t>DOLLYGRIP LABOR</t>
        </is>
      </c>
      <c r="R135" s="8">
        <f>SUM(R134:R134)</f>
        <v/>
      </c>
    </row>
    <row r="137">
      <c r="B137" s="2" t="inlineStr">
        <is>
          <t>CRANEGRIPS</t>
        </is>
      </c>
    </row>
    <row r="138">
      <c r="A138" s="5" t="inlineStr">
        <is>
          <t>2504</t>
        </is>
      </c>
      <c r="B138" s="5" t="inlineStr"/>
      <c r="C138" s="5" t="inlineStr">
        <is>
          <t>CRANEOPERATOR</t>
        </is>
      </c>
      <c r="D138" s="5" t="inlineStr">
        <is>
          <t>Local80</t>
        </is>
      </c>
      <c r="E138" s="6" t="n">
        <v>792</v>
      </c>
      <c r="F138" s="5" t="n"/>
      <c r="G138" s="5" t="n"/>
      <c r="H138" s="5" t="n"/>
      <c r="I138" s="5" t="n"/>
      <c r="J138" s="7">
        <f>IF(AND(N(F138)&gt;0,N(I138)&gt;0),I138-F138-IF(N(G138)&gt;0,0.5,0)-IF(N(H138)&gt;0,0.5,0),0)</f>
        <v/>
      </c>
      <c r="K138" s="5" t="n"/>
      <c r="L138" s="7">
        <f>MIN(J138,10.0)</f>
        <v/>
      </c>
      <c r="M138" s="7">
        <f>MAX(0,MIN(J138,12)-10.0)</f>
        <v/>
      </c>
      <c r="N138" s="7">
        <f>MAX(0,J138-12)</f>
        <v/>
      </c>
      <c r="O138" s="5" t="n"/>
      <c r="P138" s="6">
        <f>E138*(L138+M138*1.5+N138*2+O138*3+N(K138))</f>
        <v/>
      </c>
      <c r="Q138" s="6" t="n">
        <v>924</v>
      </c>
      <c r="R138" s="6">
        <f>Q138-P138</f>
        <v/>
      </c>
    </row>
    <row r="139">
      <c r="A139" s="5" t="inlineStr">
        <is>
          <t>2504</t>
        </is>
      </c>
      <c r="B139" s="5" t="inlineStr"/>
      <c r="C139" s="5" t="inlineStr">
        <is>
          <t>CRANEASSISTANT</t>
        </is>
      </c>
      <c r="D139" s="5" t="inlineStr">
        <is>
          <t>Local80</t>
        </is>
      </c>
      <c r="E139" s="6" t="n">
        <v>660</v>
      </c>
      <c r="F139" s="5" t="n"/>
      <c r="G139" s="5" t="n"/>
      <c r="H139" s="5" t="n"/>
      <c r="I139" s="5" t="n"/>
      <c r="J139" s="7">
        <f>IF(AND(N(F139)&gt;0,N(I139)&gt;0),I139-F139-IF(N(G139)&gt;0,0.5,0)-IF(N(H139)&gt;0,0.5,0),0)</f>
        <v/>
      </c>
      <c r="K139" s="5" t="n"/>
      <c r="L139" s="7">
        <f>MIN(J139,10.0)</f>
        <v/>
      </c>
      <c r="M139" s="7">
        <f>MAX(0,MIN(J139,12)-10.0)</f>
        <v/>
      </c>
      <c r="N139" s="7">
        <f>MAX(0,J139-12)</f>
        <v/>
      </c>
      <c r="O139" s="5" t="n"/>
      <c r="P139" s="6">
        <f>E139*(L139+M139*1.5+N139*2+O139*3+N(K139))</f>
        <v/>
      </c>
      <c r="Q139" s="6" t="n">
        <v>770</v>
      </c>
      <c r="R139" s="6">
        <f>Q139-P139</f>
        <v/>
      </c>
    </row>
    <row r="140">
      <c r="P140" s="2" t="inlineStr">
        <is>
          <t>CRANEGRIPS LABOR</t>
        </is>
      </c>
      <c r="R140" s="8">
        <f>SUM(R138:R139)</f>
        <v/>
      </c>
    </row>
    <row r="142">
      <c r="B142" s="2" t="inlineStr">
        <is>
          <t>COMPANYGRIPS</t>
        </is>
      </c>
    </row>
    <row r="143">
      <c r="A143" s="5" t="inlineStr">
        <is>
          <t>2505</t>
        </is>
      </c>
      <c r="B143" s="5" t="inlineStr"/>
      <c r="C143" s="5" t="inlineStr">
        <is>
          <t>GRIP#1</t>
        </is>
      </c>
      <c r="D143" s="5" t="inlineStr">
        <is>
          <t>Local80</t>
        </is>
      </c>
      <c r="E143" s="6" t="n">
        <v>20.57</v>
      </c>
      <c r="F143" s="5" t="n"/>
      <c r="G143" s="5" t="n"/>
      <c r="H143" s="5" t="n"/>
      <c r="I143" s="5" t="n"/>
      <c r="J143" s="7">
        <f>IF(AND(N(F143)&gt;0,N(I143)&gt;0),I143-F143-IF(N(G143)&gt;0,0.5,0)-IF(N(H143)&gt;0,0.5,0),0)</f>
        <v/>
      </c>
      <c r="K143" s="5" t="n"/>
      <c r="L143" s="7">
        <f>MIN(J143,10.0)</f>
        <v/>
      </c>
      <c r="M143" s="7">
        <f>MAX(0,MIN(J143,12)-10.0)</f>
        <v/>
      </c>
      <c r="N143" s="7">
        <f>MAX(0,J143-12)</f>
        <v/>
      </c>
      <c r="O143" s="5" t="n"/>
      <c r="P143" s="6">
        <f>E143*(L143+M143*1.5+N143*2+O143*3+N(K143))</f>
        <v/>
      </c>
      <c r="Q143" s="6" t="n">
        <v>318.83</v>
      </c>
      <c r="R143" s="6">
        <f>Q143-P143</f>
        <v/>
      </c>
    </row>
    <row r="144">
      <c r="A144" s="5" t="inlineStr">
        <is>
          <t>2505</t>
        </is>
      </c>
      <c r="B144" s="5" t="inlineStr"/>
      <c r="C144" s="5" t="inlineStr">
        <is>
          <t>GRIP#2</t>
        </is>
      </c>
      <c r="D144" s="5" t="inlineStr">
        <is>
          <t>Local80</t>
        </is>
      </c>
      <c r="E144" s="6" t="n">
        <v>20.57</v>
      </c>
      <c r="F144" s="5" t="n"/>
      <c r="G144" s="5" t="n"/>
      <c r="H144" s="5" t="n"/>
      <c r="I144" s="5" t="n"/>
      <c r="J144" s="7">
        <f>IF(AND(N(F144)&gt;0,N(I144)&gt;0),I144-F144-IF(N(G144)&gt;0,0.5,0)-IF(N(H144)&gt;0,0.5,0),0)</f>
        <v/>
      </c>
      <c r="K144" s="5" t="n"/>
      <c r="L144" s="7">
        <f>MIN(J144,10.0)</f>
        <v/>
      </c>
      <c r="M144" s="7">
        <f>MAX(0,MIN(J144,12)-10.0)</f>
        <v/>
      </c>
      <c r="N144" s="7">
        <f>MAX(0,J144-12)</f>
        <v/>
      </c>
      <c r="O144" s="5" t="n"/>
      <c r="P144" s="6">
        <f>E144*(L144+M144*1.5+N144*2+O144*3+N(K144))</f>
        <v/>
      </c>
      <c r="Q144" s="6" t="n">
        <v>318.83</v>
      </c>
      <c r="R144" s="6">
        <f>Q144-P144</f>
        <v/>
      </c>
    </row>
    <row r="145">
      <c r="A145" s="5" t="inlineStr">
        <is>
          <t>2505</t>
        </is>
      </c>
      <c r="B145" s="5" t="inlineStr"/>
      <c r="C145" s="5" t="inlineStr">
        <is>
          <t>GRIP#3</t>
        </is>
      </c>
      <c r="D145" s="5" t="inlineStr">
        <is>
          <t>Local80</t>
        </is>
      </c>
      <c r="E145" s="6" t="n">
        <v>20.57</v>
      </c>
      <c r="F145" s="5" t="n"/>
      <c r="G145" s="5" t="n"/>
      <c r="H145" s="5" t="n"/>
      <c r="I145" s="5" t="n"/>
      <c r="J145" s="7">
        <f>IF(AND(N(F145)&gt;0,N(I145)&gt;0),I145-F145-IF(N(G145)&gt;0,0.5,0)-IF(N(H145)&gt;0,0.5,0),0)</f>
        <v/>
      </c>
      <c r="K145" s="5" t="n"/>
      <c r="L145" s="7">
        <f>MIN(J145,10.0)</f>
        <v/>
      </c>
      <c r="M145" s="7">
        <f>MAX(0,MIN(J145,12)-10.0)</f>
        <v/>
      </c>
      <c r="N145" s="7">
        <f>MAX(0,J145-12)</f>
        <v/>
      </c>
      <c r="O145" s="5" t="n"/>
      <c r="P145" s="6">
        <f>E145*(L145+M145*1.5+N145*2+O145*3+N(K145))</f>
        <v/>
      </c>
      <c r="Q145" s="6" t="n">
        <v>318.83</v>
      </c>
      <c r="R145" s="6">
        <f>Q145-P145</f>
        <v/>
      </c>
    </row>
    <row r="146">
      <c r="P146" s="2" t="inlineStr">
        <is>
          <t>COMPANYGRIPS LABOR</t>
        </is>
      </c>
      <c r="R146" s="8">
        <f>SUM(R143:R145)</f>
        <v/>
      </c>
    </row>
    <row r="148">
      <c r="B148" s="2" t="inlineStr">
        <is>
          <t>OTHERLABOR</t>
        </is>
      </c>
    </row>
    <row r="149">
      <c r="A149" s="5" t="inlineStr">
        <is>
          <t>2506</t>
        </is>
      </c>
      <c r="B149" s="5" t="inlineStr"/>
      <c r="C149" s="5" t="inlineStr">
        <is>
          <t>GRIPMANDAYS&amp;RIGGINGMANDAYS</t>
        </is>
      </c>
      <c r="D149" s="5" t="inlineStr">
        <is>
          <t>Local80</t>
        </is>
      </c>
      <c r="E149" s="6" t="n">
        <v>20.57</v>
      </c>
      <c r="F149" s="5" t="n"/>
      <c r="G149" s="5" t="n"/>
      <c r="H149" s="5" t="n"/>
      <c r="I149" s="5" t="n"/>
      <c r="J149" s="7">
        <f>IF(AND(N(F149)&gt;0,N(I149)&gt;0),I149-F149-IF(N(G149)&gt;0,0.5,0)-IF(N(H149)&gt;0,0.5,0),0)</f>
        <v/>
      </c>
      <c r="K149" s="5" t="n"/>
      <c r="L149" s="7">
        <f>MIN(J149,10.0)</f>
        <v/>
      </c>
      <c r="M149" s="7">
        <f>MAX(0,MIN(J149,12)-10.0)</f>
        <v/>
      </c>
      <c r="N149" s="7">
        <f>MAX(0,J149-12)</f>
        <v/>
      </c>
      <c r="O149" s="5" t="n"/>
      <c r="P149" s="6">
        <f>E149*(L149+M149*1.5+N149*2+O149*3+N(K149))</f>
        <v/>
      </c>
      <c r="Q149" s="6" t="n">
        <v>318.83</v>
      </c>
      <c r="R149" s="6">
        <f>Q149-P149</f>
        <v/>
      </c>
    </row>
    <row r="150">
      <c r="P150" s="2" t="inlineStr">
        <is>
          <t>OTHERLABOR LABOR</t>
        </is>
      </c>
      <c r="R150" s="8">
        <f>SUM(R149:R149)</f>
        <v/>
      </c>
    </row>
    <row r="152">
      <c r="B152" s="2" t="inlineStr">
        <is>
          <t>STANDBYLABOR</t>
        </is>
      </c>
    </row>
    <row r="153">
      <c r="A153" s="5" t="inlineStr">
        <is>
          <t>2510</t>
        </is>
      </c>
      <c r="B153" s="5" t="inlineStr"/>
      <c r="C153" s="5" t="inlineStr">
        <is>
          <t>LAYOUTBOARD</t>
        </is>
      </c>
      <c r="D153" s="5" t="inlineStr">
        <is>
          <t>Local729</t>
        </is>
      </c>
      <c r="E153" s="6" t="n">
        <v>25.5</v>
      </c>
      <c r="F153" s="5" t="n"/>
      <c r="G153" s="5" t="n"/>
      <c r="H153" s="5" t="n"/>
      <c r="I153" s="5" t="n"/>
      <c r="J153" s="7">
        <f>IF(AND(N(F153)&gt;0,N(I153)&gt;0),I153-F153-IF(N(G153)&gt;0,0.5,0)-IF(N(H153)&gt;0,0.5,0),0)</f>
        <v/>
      </c>
      <c r="K153" s="5" t="n"/>
      <c r="L153" s="7">
        <f>MIN(J153,10.0)</f>
        <v/>
      </c>
      <c r="M153" s="7">
        <f>MAX(0,MIN(J153,12)-10.0)</f>
        <v/>
      </c>
      <c r="N153" s="7">
        <f>MAX(0,J153-12)</f>
        <v/>
      </c>
      <c r="O153" s="5" t="n"/>
      <c r="P153" s="6">
        <f>E153*(L153+M153*1.5+N153*2+O153*3+N(K153))</f>
        <v/>
      </c>
      <c r="Q153" s="6" t="n">
        <v>395.25</v>
      </c>
      <c r="R153" s="6">
        <f>Q153-P153</f>
        <v/>
      </c>
    </row>
    <row r="154">
      <c r="P154" s="2" t="inlineStr">
        <is>
          <t>STANDBYLABOR LABOR</t>
        </is>
      </c>
      <c r="R154" s="8">
        <f>SUM(R153:R153)</f>
        <v/>
      </c>
    </row>
    <row r="156">
      <c r="B156" s="2" t="inlineStr">
        <is>
          <t>SETCRAFTSERVICELABOR</t>
        </is>
      </c>
    </row>
    <row r="157">
      <c r="A157" s="5" t="inlineStr">
        <is>
          <t>2511</t>
        </is>
      </c>
      <c r="B157" s="5" t="inlineStr">
        <is>
          <t>Maurico Solis</t>
        </is>
      </c>
      <c r="C157" s="5" t="inlineStr">
        <is>
          <t>KEYCRAFTSERVICE</t>
        </is>
      </c>
      <c r="D157" s="5" t="inlineStr">
        <is>
          <t>Local80</t>
        </is>
      </c>
      <c r="E157" s="6" t="n">
        <v>25.5</v>
      </c>
      <c r="F157" s="5" t="n"/>
      <c r="G157" s="5" t="n"/>
      <c r="H157" s="5" t="n"/>
      <c r="I157" s="5" t="n"/>
      <c r="J157" s="7">
        <f>IF(AND(N(F157)&gt;0,N(I157)&gt;0),I157-F157-IF(N(G157)&gt;0,0.5,0)-IF(N(H157)&gt;0,0.5,0),0)</f>
        <v/>
      </c>
      <c r="K157" s="5" t="n"/>
      <c r="L157" s="7">
        <f>MIN(J157,10.0)</f>
        <v/>
      </c>
      <c r="M157" s="7">
        <f>MAX(0,MIN(J157,12)-10.0)</f>
        <v/>
      </c>
      <c r="N157" s="7">
        <f>MAX(0,J157-12)</f>
        <v/>
      </c>
      <c r="O157" s="5" t="n"/>
      <c r="P157" s="6">
        <f>E157*(L157+M157*1.5+N157*2+O157*3+N(K157))</f>
        <v/>
      </c>
      <c r="Q157" s="6" t="n">
        <v>439.87</v>
      </c>
      <c r="R157" s="6">
        <f>Q157-P157</f>
        <v/>
      </c>
    </row>
    <row r="158">
      <c r="A158" s="5" t="inlineStr">
        <is>
          <t>2511</t>
        </is>
      </c>
      <c r="B158" s="5" t="inlineStr"/>
      <c r="C158" s="5" t="inlineStr">
        <is>
          <t>ASSTCRAFTSERVICE</t>
        </is>
      </c>
      <c r="D158" s="5" t="inlineStr">
        <is>
          <t>Local80</t>
        </is>
      </c>
      <c r="E158" s="6" t="n">
        <v>23.04</v>
      </c>
      <c r="F158" s="5" t="n"/>
      <c r="G158" s="5" t="n"/>
      <c r="H158" s="5" t="n"/>
      <c r="I158" s="5" t="n"/>
      <c r="J158" s="7">
        <f>IF(AND(N(F158)&gt;0,N(I158)&gt;0),I158-F158-IF(N(G158)&gt;0,0.5,0)-IF(N(H158)&gt;0,0.5,0),0)</f>
        <v/>
      </c>
      <c r="K158" s="5" t="n"/>
      <c r="L158" s="7">
        <f>MIN(J158,10.0)</f>
        <v/>
      </c>
      <c r="M158" s="7">
        <f>MAX(0,MIN(J158,12)-10.0)</f>
        <v/>
      </c>
      <c r="N158" s="7">
        <f>MAX(0,J158-12)</f>
        <v/>
      </c>
      <c r="O158" s="5" t="n"/>
      <c r="P158" s="6">
        <f>E158*(L158+M158*1.5+N158*2+O158*3+N(K158))</f>
        <v/>
      </c>
      <c r="Q158" s="6" t="n">
        <v>397.43</v>
      </c>
      <c r="R158" s="6">
        <f>Q158-P158</f>
        <v/>
      </c>
    </row>
    <row r="159">
      <c r="P159" s="2" t="inlineStr">
        <is>
          <t>SETCRAFTSERVICELABOR LABOR</t>
        </is>
      </c>
      <c r="R159" s="8">
        <f>SUM(R157:R158)</f>
        <v/>
      </c>
    </row>
    <row r="161">
      <c r="B161" s="2" t="inlineStr">
        <is>
          <t>SETFIRSTAIDLABOR</t>
        </is>
      </c>
    </row>
    <row r="162">
      <c r="A162" s="5" t="inlineStr">
        <is>
          <t>2514</t>
        </is>
      </c>
      <c r="B162" s="5" t="inlineStr">
        <is>
          <t>Robert Hill</t>
        </is>
      </c>
      <c r="C162" s="5" t="inlineStr">
        <is>
          <t>SETMEDIC</t>
        </is>
      </c>
      <c r="D162" s="5" t="inlineStr">
        <is>
          <t>Local80</t>
        </is>
      </c>
      <c r="E162" s="6" t="n">
        <v>23.04</v>
      </c>
      <c r="F162" s="5" t="n"/>
      <c r="G162" s="5" t="n"/>
      <c r="H162" s="5" t="n"/>
      <c r="I162" s="5" t="n"/>
      <c r="J162" s="7">
        <f>IF(AND(N(F162)&gt;0,N(I162)&gt;0),I162-F162-IF(N(G162)&gt;0,0.5,0)-IF(N(H162)&gt;0,0.5,0),0)</f>
        <v/>
      </c>
      <c r="K162" s="5" t="n"/>
      <c r="L162" s="7">
        <f>MIN(J162,10.0)</f>
        <v/>
      </c>
      <c r="M162" s="7">
        <f>MAX(0,MIN(J162,12)-10.0)</f>
        <v/>
      </c>
      <c r="N162" s="7">
        <f>MAX(0,J162-12)</f>
        <v/>
      </c>
      <c r="O162" s="5" t="n"/>
      <c r="P162" s="6">
        <f>E162*(L162+M162*1.5+N162*2+O162*3+N(K162))</f>
        <v/>
      </c>
      <c r="Q162" s="6" t="n">
        <v>397.43</v>
      </c>
      <c r="R162" s="6">
        <f>Q162-P162</f>
        <v/>
      </c>
    </row>
    <row r="163">
      <c r="A163" s="5" t="inlineStr">
        <is>
          <t>2514</t>
        </is>
      </c>
      <c r="B163" s="5" t="inlineStr"/>
      <c r="C163" s="5" t="inlineStr">
        <is>
          <t>RIGGINGMEDICMANDAYS</t>
        </is>
      </c>
      <c r="D163" s="5" t="inlineStr">
        <is>
          <t>Local80</t>
        </is>
      </c>
      <c r="E163" s="6" t="n">
        <v>23.04</v>
      </c>
      <c r="F163" s="5" t="n"/>
      <c r="G163" s="5" t="n"/>
      <c r="H163" s="5" t="n"/>
      <c r="I163" s="5" t="n"/>
      <c r="J163" s="7">
        <f>IF(AND(N(F163)&gt;0,N(I163)&gt;0),I163-F163-IF(N(G163)&gt;0,0.5,0)-IF(N(H163)&gt;0,0.5,0),0)</f>
        <v/>
      </c>
      <c r="K163" s="5" t="n"/>
      <c r="L163" s="7">
        <f>MIN(J163,10.0)</f>
        <v/>
      </c>
      <c r="M163" s="7">
        <f>MAX(0,MIN(J163,12)-10.0)</f>
        <v/>
      </c>
      <c r="N163" s="7">
        <f>MAX(0,J163-12)</f>
        <v/>
      </c>
      <c r="O163" s="5" t="n"/>
      <c r="P163" s="6">
        <f>E163*(L163+M163*1.5+N163*2+O163*3+N(K163))</f>
        <v/>
      </c>
      <c r="Q163" s="5" t="n"/>
      <c r="R163" s="6">
        <f>Q163-P163</f>
        <v/>
      </c>
    </row>
    <row r="164">
      <c r="P164" s="2" t="inlineStr">
        <is>
          <t>SETFIRSTAIDLABOR LABOR</t>
        </is>
      </c>
      <c r="R164" s="8">
        <f>SUM(R162:R163)</f>
        <v/>
      </c>
    </row>
    <row r="166">
      <c r="B166" s="2" t="inlineStr">
        <is>
          <t>SFXCOORDINATOR</t>
        </is>
      </c>
    </row>
    <row r="167">
      <c r="A167" s="5" t="inlineStr">
        <is>
          <t>2601</t>
        </is>
      </c>
      <c r="B167" s="5" t="inlineStr">
        <is>
          <t>Zak Knight</t>
        </is>
      </c>
      <c r="C167" s="5" t="inlineStr">
        <is>
          <t>SPFXCOORDINATOR</t>
        </is>
      </c>
      <c r="D167" s="5" t="inlineStr">
        <is>
          <t>Local44</t>
        </is>
      </c>
      <c r="E167" s="6" t="n">
        <v>42</v>
      </c>
      <c r="F167" s="5" t="n"/>
      <c r="G167" s="5" t="n"/>
      <c r="H167" s="5" t="n"/>
      <c r="I167" s="5" t="n"/>
      <c r="J167" s="7">
        <f>IF(AND(N(F167)&gt;0,N(I167)&gt;0),I167-F167-IF(N(G167)&gt;0,0.5,0)-IF(N(H167)&gt;0,0.5,0),0)</f>
        <v/>
      </c>
      <c r="K167" s="5" t="n"/>
      <c r="L167" s="7">
        <f>MIN(J167,10.0)</f>
        <v/>
      </c>
      <c r="M167" s="7">
        <f>MAX(0,MIN(J167,12)-10.0)</f>
        <v/>
      </c>
      <c r="N167" s="7">
        <f>MAX(0,J167-12)</f>
        <v/>
      </c>
      <c r="O167" s="5" t="n"/>
      <c r="P167" s="6">
        <f>E167*(L167+M167*1.5+N167*2+O167*3+N(K167))</f>
        <v/>
      </c>
      <c r="Q167" s="6" t="n">
        <v>651</v>
      </c>
      <c r="R167" s="6">
        <f>Q167-P167</f>
        <v/>
      </c>
    </row>
    <row r="168">
      <c r="P168" s="2" t="inlineStr">
        <is>
          <t>SFXCOORDINATOR LABOR</t>
        </is>
      </c>
      <c r="R168" s="8">
        <f>SUM(R167:R167)</f>
        <v/>
      </c>
    </row>
    <row r="170">
      <c r="B170" s="2" t="inlineStr">
        <is>
          <t>SFXTECHMANDAYS</t>
        </is>
      </c>
    </row>
    <row r="171">
      <c r="A171" s="5" t="inlineStr">
        <is>
          <t>2609</t>
        </is>
      </c>
      <c r="B171" s="5" t="inlineStr"/>
      <c r="C171" s="5" t="inlineStr">
        <is>
          <t>SPFXTECHMANDAYS</t>
        </is>
      </c>
      <c r="D171" s="5" t="inlineStr">
        <is>
          <t>Local44</t>
        </is>
      </c>
      <c r="E171" s="6" t="n">
        <v>40</v>
      </c>
      <c r="F171" s="5" t="n"/>
      <c r="G171" s="5" t="n"/>
      <c r="H171" s="5" t="n"/>
      <c r="I171" s="5" t="n"/>
      <c r="J171" s="7">
        <f>IF(AND(N(F171)&gt;0,N(I171)&gt;0),I171-F171-IF(N(G171)&gt;0,0.5,0)-IF(N(H171)&gt;0,0.5,0),0)</f>
        <v/>
      </c>
      <c r="K171" s="5" t="n"/>
      <c r="L171" s="7">
        <f>MIN(J171,10.0)</f>
        <v/>
      </c>
      <c r="M171" s="7">
        <f>MAX(0,MIN(J171,12)-10.0)</f>
        <v/>
      </c>
      <c r="N171" s="7">
        <f>MAX(0,J171-12)</f>
        <v/>
      </c>
      <c r="O171" s="5" t="n"/>
      <c r="P171" s="6">
        <f>E171*(L171+M171*1.5+N171*2+O171*3+N(K171))</f>
        <v/>
      </c>
      <c r="Q171" s="6" t="n">
        <v>620</v>
      </c>
      <c r="R171" s="6">
        <f>Q171-P171</f>
        <v/>
      </c>
    </row>
    <row r="172">
      <c r="A172" s="5" t="inlineStr">
        <is>
          <t>2609</t>
        </is>
      </c>
      <c r="B172" s="5" t="inlineStr"/>
      <c r="C172" s="5" t="inlineStr">
        <is>
          <t>SPFXASSISTANTMANDAYS</t>
        </is>
      </c>
      <c r="D172" s="5" t="inlineStr">
        <is>
          <t>Local44</t>
        </is>
      </c>
      <c r="E172" s="6" t="n">
        <v>25.5</v>
      </c>
      <c r="F172" s="5" t="n"/>
      <c r="G172" s="5" t="n"/>
      <c r="H172" s="5" t="n"/>
      <c r="I172" s="5" t="n"/>
      <c r="J172" s="7">
        <f>IF(AND(N(F172)&gt;0,N(I172)&gt;0),I172-F172-IF(N(G172)&gt;0,0.5,0)-IF(N(H172)&gt;0,0.5,0),0)</f>
        <v/>
      </c>
      <c r="K172" s="5" t="n"/>
      <c r="L172" s="7">
        <f>MIN(J172,10.0)</f>
        <v/>
      </c>
      <c r="M172" s="7">
        <f>MAX(0,MIN(J172,12)-10.0)</f>
        <v/>
      </c>
      <c r="N172" s="7">
        <f>MAX(0,J172-12)</f>
        <v/>
      </c>
      <c r="O172" s="5" t="n"/>
      <c r="P172" s="6">
        <f>E172*(L172+M172*1.5+N172*2+O172*3+N(K172))</f>
        <v/>
      </c>
      <c r="Q172" s="6" t="n">
        <v>395.25</v>
      </c>
      <c r="R172" s="6">
        <f>Q172-P172</f>
        <v/>
      </c>
    </row>
    <row r="173">
      <c r="A173" s="5" t="inlineStr">
        <is>
          <t>2609</t>
        </is>
      </c>
      <c r="B173" s="5" t="inlineStr"/>
      <c r="C173" s="5" t="inlineStr">
        <is>
          <t>PYROMANDAYS</t>
        </is>
      </c>
      <c r="D173" s="5" t="inlineStr">
        <is>
          <t>Local44</t>
        </is>
      </c>
      <c r="E173" s="6" t="n">
        <v>68.18000000000001</v>
      </c>
      <c r="F173" s="5" t="n"/>
      <c r="G173" s="5" t="n"/>
      <c r="H173" s="5" t="n"/>
      <c r="I173" s="5" t="n"/>
      <c r="J173" s="7">
        <f>IF(AND(N(F173)&gt;0,N(I173)&gt;0),I173-F173-IF(N(G173)&gt;0,0.5,0)-IF(N(H173)&gt;0,0.5,0),0)</f>
        <v/>
      </c>
      <c r="K173" s="5" t="n"/>
      <c r="L173" s="7">
        <f>MIN(J173,10.0)</f>
        <v/>
      </c>
      <c r="M173" s="7">
        <f>MAX(0,MIN(J173,12)-10.0)</f>
        <v/>
      </c>
      <c r="N173" s="7">
        <f>MAX(0,J173-12)</f>
        <v/>
      </c>
      <c r="O173" s="5" t="n"/>
      <c r="P173" s="6">
        <f>E173*(L173+M173*1.5+N173*2+O173*3+N(K173))</f>
        <v/>
      </c>
      <c r="Q173" s="6" t="n">
        <v>749.98</v>
      </c>
      <c r="R173" s="6">
        <f>Q173-P173</f>
        <v/>
      </c>
    </row>
    <row r="174">
      <c r="P174" s="2" t="inlineStr">
        <is>
          <t>SFXTECHMANDAYS LABOR</t>
        </is>
      </c>
      <c r="R174" s="8">
        <f>SUM(R171:R173)</f>
        <v/>
      </c>
    </row>
    <row r="176">
      <c r="B176" s="2" t="inlineStr">
        <is>
          <t>SETDECORATOR</t>
        </is>
      </c>
    </row>
    <row r="177">
      <c r="A177" s="5" t="inlineStr">
        <is>
          <t>2701</t>
        </is>
      </c>
      <c r="B177" s="5" t="inlineStr">
        <is>
          <t>Sandy Skora</t>
        </is>
      </c>
      <c r="C177" s="5" t="inlineStr">
        <is>
          <t>SETDECORATOR</t>
        </is>
      </c>
      <c r="D177" s="5" t="inlineStr">
        <is>
          <t>Local44</t>
        </is>
      </c>
      <c r="E177" s="6" t="n">
        <v>400</v>
      </c>
      <c r="F177" s="5" t="n"/>
      <c r="G177" s="5" t="n"/>
      <c r="H177" s="5" t="n"/>
      <c r="I177" s="5" t="n"/>
      <c r="J177" s="7">
        <f>IF(AND(N(F177)&gt;0,N(I177)&gt;0),I177-F177-IF(N(G177)&gt;0,0.5,0)-IF(N(H177)&gt;0,0.5,0),0)</f>
        <v/>
      </c>
      <c r="K177" s="5" t="n"/>
      <c r="L177" s="7">
        <f>MIN(J177,10.0)</f>
        <v/>
      </c>
      <c r="M177" s="7">
        <f>MAX(0,MIN(J177,12)-10.0)</f>
        <v/>
      </c>
      <c r="N177" s="7">
        <f>MAX(0,J177-12)</f>
        <v/>
      </c>
      <c r="O177" s="5" t="n"/>
      <c r="P177" s="6">
        <f>E177*(L177+M177*1.5+N177*2+O177*3+N(K177))</f>
        <v/>
      </c>
      <c r="Q177" s="6" t="n">
        <v>400</v>
      </c>
      <c r="R177" s="6">
        <f>Q177-P177</f>
        <v/>
      </c>
    </row>
    <row r="178">
      <c r="P178" s="2" t="inlineStr">
        <is>
          <t>SETDECORATOR LABOR</t>
        </is>
      </c>
      <c r="R178" s="8">
        <f>SUM(R177:R177)</f>
        <v/>
      </c>
    </row>
    <row r="180">
      <c r="B180" s="2" t="inlineStr">
        <is>
          <t>LEADPERSON</t>
        </is>
      </c>
    </row>
    <row r="181">
      <c r="A181" s="5" t="inlineStr">
        <is>
          <t>2702</t>
        </is>
      </c>
      <c r="B181" s="5" t="inlineStr">
        <is>
          <t>Josh Richmond</t>
        </is>
      </c>
      <c r="C181" s="5" t="inlineStr">
        <is>
          <t>LEADPERSON</t>
        </is>
      </c>
      <c r="D181" s="5" t="inlineStr">
        <is>
          <t>Local44</t>
        </is>
      </c>
      <c r="E181" s="6" t="n">
        <v>23.04</v>
      </c>
      <c r="F181" s="5" t="n"/>
      <c r="G181" s="5" t="n"/>
      <c r="H181" s="5" t="n"/>
      <c r="I181" s="5" t="n"/>
      <c r="J181" s="7">
        <f>IF(AND(N(F181)&gt;0,N(I181)&gt;0),I181-F181-IF(N(G181)&gt;0,0.5,0)-IF(N(H181)&gt;0,0.5,0),0)</f>
        <v/>
      </c>
      <c r="K181" s="5" t="n"/>
      <c r="L181" s="7">
        <f>MIN(J181,10.0)</f>
        <v/>
      </c>
      <c r="M181" s="7">
        <f>MAX(0,MIN(J181,12)-10.0)</f>
        <v/>
      </c>
      <c r="N181" s="7">
        <f>MAX(0,J181-12)</f>
        <v/>
      </c>
      <c r="O181" s="5" t="n"/>
      <c r="P181" s="6">
        <f>E181*(L181+M181*1.5+N181*2+O181*3+N(K181))</f>
        <v/>
      </c>
      <c r="Q181" s="6" t="n">
        <v>322.56</v>
      </c>
      <c r="R181" s="6">
        <f>Q181-P181</f>
        <v/>
      </c>
    </row>
    <row r="182">
      <c r="P182" s="2" t="inlineStr">
        <is>
          <t>LEADPERSON LABOR</t>
        </is>
      </c>
      <c r="R182" s="8">
        <f>SUM(R181:R181)</f>
        <v/>
      </c>
    </row>
    <row r="184">
      <c r="B184" s="2" t="inlineStr">
        <is>
          <t>SWINGLABOR</t>
        </is>
      </c>
    </row>
    <row r="185">
      <c r="A185" s="5" t="inlineStr">
        <is>
          <t>2703</t>
        </is>
      </c>
      <c r="B185" s="5" t="inlineStr">
        <is>
          <t>Tim Dodge</t>
        </is>
      </c>
      <c r="C185" s="5" t="inlineStr">
        <is>
          <t>SWING#1</t>
        </is>
      </c>
      <c r="D185" s="5" t="inlineStr">
        <is>
          <t>Local44</t>
        </is>
      </c>
      <c r="E185" s="6" t="n">
        <v>20.57</v>
      </c>
      <c r="F185" s="5" t="n"/>
      <c r="G185" s="5" t="n"/>
      <c r="H185" s="5" t="n"/>
      <c r="I185" s="5" t="n"/>
      <c r="J185" s="7">
        <f>IF(AND(N(F185)&gt;0,N(I185)&gt;0),I185-F185-IF(N(G185)&gt;0,0.5,0)-IF(N(H185)&gt;0,0.5,0),0)</f>
        <v/>
      </c>
      <c r="K185" s="5" t="n"/>
      <c r="L185" s="7">
        <f>MIN(J185,10.0)</f>
        <v/>
      </c>
      <c r="M185" s="7">
        <f>MAX(0,MIN(J185,12)-10.0)</f>
        <v/>
      </c>
      <c r="N185" s="7">
        <f>MAX(0,J185-12)</f>
        <v/>
      </c>
      <c r="O185" s="5" t="n"/>
      <c r="P185" s="6">
        <f>E185*(L185+M185*1.5+N185*2+O185*3+N(K185))</f>
        <v/>
      </c>
      <c r="Q185" s="6" t="n">
        <v>287.98</v>
      </c>
      <c r="R185" s="6">
        <f>Q185-P185</f>
        <v/>
      </c>
    </row>
    <row r="186">
      <c r="A186" s="5" t="inlineStr">
        <is>
          <t>2703</t>
        </is>
      </c>
      <c r="B186" s="5" t="inlineStr"/>
      <c r="C186" s="5" t="inlineStr">
        <is>
          <t>SWING#2</t>
        </is>
      </c>
      <c r="D186" s="5" t="inlineStr">
        <is>
          <t>Local44</t>
        </is>
      </c>
      <c r="E186" s="6" t="n">
        <v>20.57</v>
      </c>
      <c r="F186" s="5" t="n"/>
      <c r="G186" s="5" t="n"/>
      <c r="H186" s="5" t="n"/>
      <c r="I186" s="5" t="n"/>
      <c r="J186" s="7">
        <f>IF(AND(N(F186)&gt;0,N(I186)&gt;0),I186-F186-IF(N(G186)&gt;0,0.5,0)-IF(N(H186)&gt;0,0.5,0),0)</f>
        <v/>
      </c>
      <c r="K186" s="5" t="n"/>
      <c r="L186" s="7">
        <f>MIN(J186,10.0)</f>
        <v/>
      </c>
      <c r="M186" s="7">
        <f>MAX(0,MIN(J186,12)-10.0)</f>
        <v/>
      </c>
      <c r="N186" s="7">
        <f>MAX(0,J186-12)</f>
        <v/>
      </c>
      <c r="O186" s="5" t="n"/>
      <c r="P186" s="6">
        <f>E186*(L186+M186*1.5+N186*2+O186*3+N(K186))</f>
        <v/>
      </c>
      <c r="Q186" s="6" t="n">
        <v>287.98</v>
      </c>
      <c r="R186" s="6">
        <f>Q186-P186</f>
        <v/>
      </c>
    </row>
    <row r="187">
      <c r="A187" s="5" t="inlineStr">
        <is>
          <t>2703</t>
        </is>
      </c>
      <c r="B187" s="5" t="inlineStr"/>
      <c r="C187" s="5" t="inlineStr">
        <is>
          <t>ADDITIONALSWINGMANDAYS</t>
        </is>
      </c>
      <c r="D187" s="5" t="inlineStr">
        <is>
          <t>Local44</t>
        </is>
      </c>
      <c r="E187" s="6" t="n">
        <v>20.57</v>
      </c>
      <c r="F187" s="5" t="n"/>
      <c r="G187" s="5" t="n"/>
      <c r="H187" s="5" t="n"/>
      <c r="I187" s="5" t="n"/>
      <c r="J187" s="7">
        <f>IF(AND(N(F187)&gt;0,N(I187)&gt;0),I187-F187-IF(N(G187)&gt;0,0.5,0)-IF(N(H187)&gt;0,0.5,0),0)</f>
        <v/>
      </c>
      <c r="K187" s="5" t="n"/>
      <c r="L187" s="7">
        <f>MIN(J187,10.0)</f>
        <v/>
      </c>
      <c r="M187" s="7">
        <f>MAX(0,MIN(J187,12)-10.0)</f>
        <v/>
      </c>
      <c r="N187" s="7">
        <f>MAX(0,J187-12)</f>
        <v/>
      </c>
      <c r="O187" s="5" t="n"/>
      <c r="P187" s="6">
        <f>E187*(L187+M187*1.5+N187*2+O187*3+N(K187))</f>
        <v/>
      </c>
      <c r="Q187" s="6" t="n">
        <v>287.98</v>
      </c>
      <c r="R187" s="6">
        <f>Q187-P187</f>
        <v/>
      </c>
    </row>
    <row r="188">
      <c r="P188" s="2" t="inlineStr">
        <is>
          <t>SWINGLABOR LABOR</t>
        </is>
      </c>
      <c r="R188" s="8">
        <f>SUM(R185:R187)</f>
        <v/>
      </c>
    </row>
    <row r="190">
      <c r="B190" s="2" t="inlineStr">
        <is>
          <t>ON-SETDRESSER</t>
        </is>
      </c>
    </row>
    <row r="191">
      <c r="A191" s="5" t="inlineStr">
        <is>
          <t>2705</t>
        </is>
      </c>
      <c r="B191" s="5" t="inlineStr">
        <is>
          <t>Khamisi Thurman</t>
        </is>
      </c>
      <c r="C191" s="5" t="inlineStr">
        <is>
          <t>ON-SETDRESSER</t>
        </is>
      </c>
      <c r="D191" s="5" t="inlineStr">
        <is>
          <t>Local44</t>
        </is>
      </c>
      <c r="E191" s="6" t="n">
        <v>20.57</v>
      </c>
      <c r="F191" s="5" t="n"/>
      <c r="G191" s="5" t="n"/>
      <c r="H191" s="5" t="n"/>
      <c r="I191" s="5" t="n"/>
      <c r="J191" s="7">
        <f>IF(AND(N(F191)&gt;0,N(I191)&gt;0),I191-F191-IF(N(G191)&gt;0,0.5,0)-IF(N(H191)&gt;0,0.5,0),0)</f>
        <v/>
      </c>
      <c r="K191" s="5" t="n"/>
      <c r="L191" s="7">
        <f>MIN(J191,10.0)</f>
        <v/>
      </c>
      <c r="M191" s="7">
        <f>MAX(0,MIN(J191,12)-10.0)</f>
        <v/>
      </c>
      <c r="N191" s="7">
        <f>MAX(0,J191-12)</f>
        <v/>
      </c>
      <c r="O191" s="5" t="n"/>
      <c r="P191" s="6">
        <f>E191*(L191+M191*1.5+N191*2+O191*3+N(K191))</f>
        <v/>
      </c>
      <c r="Q191" s="6" t="n">
        <v>318.83</v>
      </c>
      <c r="R191" s="6">
        <f>Q191-P191</f>
        <v/>
      </c>
    </row>
    <row r="192">
      <c r="P192" s="2" t="inlineStr">
        <is>
          <t>ON-SETDRESSER LABOR</t>
        </is>
      </c>
      <c r="R192" s="8">
        <f>SUM(R191:R191)</f>
        <v/>
      </c>
    </row>
    <row r="194">
      <c r="B194" s="2" t="inlineStr">
        <is>
          <t>BUYERS</t>
        </is>
      </c>
    </row>
    <row r="195">
      <c r="A195" s="5" t="inlineStr">
        <is>
          <t>2706</t>
        </is>
      </c>
      <c r="B195" s="5" t="inlineStr">
        <is>
          <t>Sarah Hickman</t>
        </is>
      </c>
      <c r="C195" s="5" t="inlineStr">
        <is>
          <t>BUYER</t>
        </is>
      </c>
      <c r="D195" s="5" t="inlineStr">
        <is>
          <t>Local44</t>
        </is>
      </c>
      <c r="E195" s="6" t="n">
        <v>23.04</v>
      </c>
      <c r="F195" s="5" t="n"/>
      <c r="G195" s="5" t="n"/>
      <c r="H195" s="5" t="n"/>
      <c r="I195" s="5" t="n"/>
      <c r="J195" s="7">
        <f>IF(AND(N(F195)&gt;0,N(I195)&gt;0),I195-F195-IF(N(G195)&gt;0,0.5,0)-IF(N(H195)&gt;0,0.5,0),0)</f>
        <v/>
      </c>
      <c r="K195" s="5" t="n"/>
      <c r="L195" s="7">
        <f>MIN(J195,10.0)</f>
        <v/>
      </c>
      <c r="M195" s="7">
        <f>MAX(0,MIN(J195,12)-10.0)</f>
        <v/>
      </c>
      <c r="N195" s="7">
        <f>MAX(0,J195-12)</f>
        <v/>
      </c>
      <c r="O195" s="5" t="n"/>
      <c r="P195" s="6">
        <f>E195*(L195+M195*1.5+N195*2+O195*3+N(K195))</f>
        <v/>
      </c>
      <c r="Q195" s="5" t="n"/>
      <c r="R195" s="6">
        <f>Q195-P195</f>
        <v/>
      </c>
    </row>
    <row r="196">
      <c r="P196" s="2" t="inlineStr">
        <is>
          <t>BUYERS LABOR</t>
        </is>
      </c>
      <c r="R196" s="8">
        <f>SUM(R195:R195)</f>
        <v/>
      </c>
    </row>
    <row r="198">
      <c r="B198" s="2" t="inlineStr">
        <is>
          <t>PROPMASTER</t>
        </is>
      </c>
    </row>
    <row r="199">
      <c r="A199" s="5" t="inlineStr">
        <is>
          <t>2801</t>
        </is>
      </c>
      <c r="B199" s="5" t="inlineStr">
        <is>
          <t>Annie Brandt</t>
        </is>
      </c>
      <c r="C199" s="5" t="inlineStr">
        <is>
          <t>PROPMASTER</t>
        </is>
      </c>
      <c r="D199" s="5" t="inlineStr">
        <is>
          <t>Local44</t>
        </is>
      </c>
      <c r="E199" s="6" t="n">
        <v>25.5</v>
      </c>
      <c r="F199" s="5" t="n"/>
      <c r="G199" s="5" t="n"/>
      <c r="H199" s="5" t="n"/>
      <c r="I199" s="5" t="n"/>
      <c r="J199" s="7">
        <f>IF(AND(N(F199)&gt;0,N(I199)&gt;0),I199-F199-IF(N(G199)&gt;0,0.5,0)-IF(N(H199)&gt;0,0.5,0),0)</f>
        <v/>
      </c>
      <c r="K199" s="5" t="n"/>
      <c r="L199" s="7">
        <f>MIN(J199,10.0)</f>
        <v/>
      </c>
      <c r="M199" s="7">
        <f>MAX(0,MIN(J199,12)-10.0)</f>
        <v/>
      </c>
      <c r="N199" s="7">
        <f>MAX(0,J199-12)</f>
        <v/>
      </c>
      <c r="O199" s="5" t="n"/>
      <c r="P199" s="6">
        <f>E199*(L199+M199*1.5+N199*2+O199*3+N(K199))</f>
        <v/>
      </c>
      <c r="Q199" s="6" t="n">
        <v>395.25</v>
      </c>
      <c r="R199" s="6">
        <f>Q199-P199</f>
        <v/>
      </c>
    </row>
    <row r="200">
      <c r="P200" s="2" t="inlineStr">
        <is>
          <t>PROPMASTER LABOR</t>
        </is>
      </c>
      <c r="R200" s="8">
        <f>SUM(R199:R199)</f>
        <v/>
      </c>
    </row>
    <row r="202">
      <c r="B202" s="2" t="inlineStr">
        <is>
          <t>ASSTPROPMASTER</t>
        </is>
      </c>
    </row>
    <row r="203">
      <c r="A203" s="5" t="inlineStr">
        <is>
          <t>2802</t>
        </is>
      </c>
      <c r="B203" s="5" t="inlineStr">
        <is>
          <t>Nate Bakes</t>
        </is>
      </c>
      <c r="C203" s="5" t="inlineStr">
        <is>
          <t>ASSTPROPMASTER</t>
        </is>
      </c>
      <c r="D203" s="5" t="inlineStr">
        <is>
          <t>Local44</t>
        </is>
      </c>
      <c r="E203" s="6" t="n">
        <v>23.04</v>
      </c>
      <c r="F203" s="5" t="n"/>
      <c r="G203" s="5" t="n"/>
      <c r="H203" s="5" t="n"/>
      <c r="I203" s="5" t="n"/>
      <c r="J203" s="7">
        <f>IF(AND(N(F203)&gt;0,N(I203)&gt;0),I203-F203-IF(N(G203)&gt;0,0.5,0)-IF(N(H203)&gt;0,0.5,0),0)</f>
        <v/>
      </c>
      <c r="K203" s="5" t="n"/>
      <c r="L203" s="7">
        <f>MIN(J203,10.0)</f>
        <v/>
      </c>
      <c r="M203" s="7">
        <f>MAX(0,MIN(J203,12)-10.0)</f>
        <v/>
      </c>
      <c r="N203" s="7">
        <f>MAX(0,J203-12)</f>
        <v/>
      </c>
      <c r="O203" s="5" t="n"/>
      <c r="P203" s="6">
        <f>E203*(L203+M203*1.5+N203*2+O203*3+N(K203))</f>
        <v/>
      </c>
      <c r="Q203" s="6" t="n">
        <v>357.12</v>
      </c>
      <c r="R203" s="6">
        <f>Q203-P203</f>
        <v/>
      </c>
    </row>
    <row r="204">
      <c r="P204" s="2" t="inlineStr">
        <is>
          <t>ASSTPROPMASTER LABOR</t>
        </is>
      </c>
      <c r="R204" s="8">
        <f>SUM(R203:R203)</f>
        <v/>
      </c>
    </row>
    <row r="206">
      <c r="B206" s="2" t="inlineStr">
        <is>
          <t>COSTUMEDESIGNER</t>
        </is>
      </c>
    </row>
    <row r="207">
      <c r="A207" s="5" t="inlineStr">
        <is>
          <t>2901</t>
        </is>
      </c>
      <c r="B207" s="5" t="inlineStr">
        <is>
          <t>Megan Spatz</t>
        </is>
      </c>
      <c r="C207" s="5" t="inlineStr">
        <is>
          <t>COSTUMEDESIGNER</t>
        </is>
      </c>
      <c r="D207" s="5" t="inlineStr">
        <is>
          <t>Local892</t>
        </is>
      </c>
      <c r="E207" s="6" t="n">
        <v>540</v>
      </c>
      <c r="F207" s="5" t="n"/>
      <c r="G207" s="5" t="n"/>
      <c r="H207" s="5" t="n"/>
      <c r="I207" s="5" t="n"/>
      <c r="J207" s="7">
        <f>IF(AND(N(F207)&gt;0,N(I207)&gt;0),I207-F207-IF(N(G207)&gt;0,0.5,0)-IF(N(H207)&gt;0,0.5,0),0)</f>
        <v/>
      </c>
      <c r="K207" s="5" t="n"/>
      <c r="L207" s="7">
        <f>MIN(J207,8.0)</f>
        <v/>
      </c>
      <c r="M207" s="7">
        <f>MAX(0,MIN(J207,12)-8.0)</f>
        <v/>
      </c>
      <c r="N207" s="7">
        <f>MAX(0,J207-12)</f>
        <v/>
      </c>
      <c r="O207" s="5" t="n"/>
      <c r="P207" s="6">
        <f>E207*(L207+M207*1.5+N207*2+O207*3+N(K207))</f>
        <v/>
      </c>
      <c r="Q207" s="6" t="n">
        <v>540</v>
      </c>
      <c r="R207" s="6">
        <f>Q207-P207</f>
        <v/>
      </c>
    </row>
    <row r="208">
      <c r="P208" s="2" t="inlineStr">
        <is>
          <t>COSTUMEDESIGNER LABOR</t>
        </is>
      </c>
      <c r="R208" s="8">
        <f>SUM(R207:R207)</f>
        <v/>
      </c>
    </row>
    <row r="210">
      <c r="B210" s="2" t="inlineStr">
        <is>
          <t>COSTUMESUPERVISOR</t>
        </is>
      </c>
    </row>
    <row r="211">
      <c r="A211" s="5" t="inlineStr">
        <is>
          <t>2903</t>
        </is>
      </c>
      <c r="B211" s="5" t="inlineStr">
        <is>
          <t>Danielle Schuck</t>
        </is>
      </c>
      <c r="C211" s="5" t="inlineStr">
        <is>
          <t>COSTUMESUPERVISOR</t>
        </is>
      </c>
      <c r="D211" s="5" t="inlineStr">
        <is>
          <t>Local705</t>
        </is>
      </c>
      <c r="E211" s="6" t="n">
        <v>25.5</v>
      </c>
      <c r="F211" s="5" t="n"/>
      <c r="G211" s="5" t="n"/>
      <c r="H211" s="5" t="n"/>
      <c r="I211" s="5" t="n"/>
      <c r="J211" s="7">
        <f>IF(AND(N(F211)&gt;0,N(I211)&gt;0),I211-F211-IF(N(G211)&gt;0,0.5,0)-IF(N(H211)&gt;0,0.5,0),0)</f>
        <v/>
      </c>
      <c r="K211" s="5" t="n"/>
      <c r="L211" s="7">
        <f>MIN(J211,8.0)</f>
        <v/>
      </c>
      <c r="M211" s="7">
        <f>MAX(0,MIN(J211,12)-8.0)</f>
        <v/>
      </c>
      <c r="N211" s="7">
        <f>MAX(0,J211-12)</f>
        <v/>
      </c>
      <c r="O211" s="5" t="n"/>
      <c r="P211" s="6">
        <f>E211*(L211+M211*1.5+N211*2+O211*3+N(K211))</f>
        <v/>
      </c>
      <c r="Q211" s="6" t="n">
        <v>395.25</v>
      </c>
      <c r="R211" s="6">
        <f>Q211-P211</f>
        <v/>
      </c>
    </row>
    <row r="212">
      <c r="P212" s="2" t="inlineStr">
        <is>
          <t>COSTUMESUPERVISOR LABOR</t>
        </is>
      </c>
      <c r="R212" s="8">
        <f>SUM(R211:R211)</f>
        <v/>
      </c>
    </row>
    <row r="214">
      <c r="B214" s="2" t="inlineStr">
        <is>
          <t>SETCOSTUMERS</t>
        </is>
      </c>
    </row>
    <row r="215">
      <c r="A215" s="5" t="inlineStr">
        <is>
          <t>2905</t>
        </is>
      </c>
      <c r="B215" s="5" t="inlineStr">
        <is>
          <t>Monavie Tutop</t>
        </is>
      </c>
      <c r="C215" s="5" t="inlineStr">
        <is>
          <t>COSTUMER#1</t>
        </is>
      </c>
      <c r="D215" s="5" t="inlineStr">
        <is>
          <t>Local705</t>
        </is>
      </c>
      <c r="E215" s="6" t="n">
        <v>23.04</v>
      </c>
      <c r="F215" s="5" t="n"/>
      <c r="G215" s="5" t="n"/>
      <c r="H215" s="5" t="n"/>
      <c r="I215" s="5" t="n"/>
      <c r="J215" s="7">
        <f>IF(AND(N(F215)&gt;0,N(I215)&gt;0),I215-F215-IF(N(G215)&gt;0,0.5,0)-IF(N(H215)&gt;0,0.5,0),0)</f>
        <v/>
      </c>
      <c r="K215" s="5" t="n"/>
      <c r="L215" s="7">
        <f>MIN(J215,8.0)</f>
        <v/>
      </c>
      <c r="M215" s="7">
        <f>MAX(0,MIN(J215,12)-8.0)</f>
        <v/>
      </c>
      <c r="N215" s="7">
        <f>MAX(0,J215-12)</f>
        <v/>
      </c>
      <c r="O215" s="5" t="n"/>
      <c r="P215" s="6">
        <f>E215*(L215+M215*1.5+N215*2+O215*3+N(K215))</f>
        <v/>
      </c>
      <c r="Q215" s="6" t="n">
        <v>397.43</v>
      </c>
      <c r="R215" s="6">
        <f>Q215-P215</f>
        <v/>
      </c>
    </row>
    <row r="216">
      <c r="A216" s="5" t="inlineStr">
        <is>
          <t>2905</t>
        </is>
      </c>
      <c r="B216" s="5" t="inlineStr"/>
      <c r="C216" s="5" t="inlineStr">
        <is>
          <t>COSTUMER#2</t>
        </is>
      </c>
      <c r="D216" s="5" t="inlineStr">
        <is>
          <t>Local705</t>
        </is>
      </c>
      <c r="E216" s="6" t="n">
        <v>20.57</v>
      </c>
      <c r="F216" s="5" t="n"/>
      <c r="G216" s="5" t="n"/>
      <c r="H216" s="5" t="n"/>
      <c r="I216" s="5" t="n"/>
      <c r="J216" s="7">
        <f>IF(AND(N(F216)&gt;0,N(I216)&gt;0),I216-F216-IF(N(G216)&gt;0,0.5,0)-IF(N(H216)&gt;0,0.5,0),0)</f>
        <v/>
      </c>
      <c r="K216" s="5" t="n"/>
      <c r="L216" s="7">
        <f>MIN(J216,8.0)</f>
        <v/>
      </c>
      <c r="M216" s="7">
        <f>MAX(0,MIN(J216,12)-8.0)</f>
        <v/>
      </c>
      <c r="N216" s="7">
        <f>MAX(0,J216-12)</f>
        <v/>
      </c>
      <c r="O216" s="5" t="n"/>
      <c r="P216" s="6">
        <f>E216*(L216+M216*1.5+N216*2+O216*3+N(K216))</f>
        <v/>
      </c>
      <c r="Q216" s="6" t="n">
        <v>354.83</v>
      </c>
      <c r="R216" s="6">
        <f>Q216-P216</f>
        <v/>
      </c>
    </row>
    <row r="217">
      <c r="P217" s="2" t="inlineStr">
        <is>
          <t>SETCOSTUMERS LABOR</t>
        </is>
      </c>
      <c r="R217" s="8">
        <f>SUM(R215:R216)</f>
        <v/>
      </c>
    </row>
    <row r="219">
      <c r="B219" s="2" t="inlineStr">
        <is>
          <t>KEYMAKE-UP</t>
        </is>
      </c>
    </row>
    <row r="220">
      <c r="A220" s="5" t="inlineStr">
        <is>
          <t>3101</t>
        </is>
      </c>
      <c r="B220" s="5" t="inlineStr">
        <is>
          <t>Eleanor Sabaduquia</t>
        </is>
      </c>
      <c r="C220" s="5" t="inlineStr">
        <is>
          <t>KEYMAKEUPARTIST</t>
        </is>
      </c>
      <c r="D220" s="5" t="inlineStr">
        <is>
          <t>Local706</t>
        </is>
      </c>
      <c r="E220" s="6" t="n">
        <v>25.5</v>
      </c>
      <c r="F220" s="5" t="n"/>
      <c r="G220" s="5" t="n"/>
      <c r="H220" s="5" t="n"/>
      <c r="I220" s="5" t="n"/>
      <c r="J220" s="7">
        <f>IF(AND(N(F220)&gt;0,N(I220)&gt;0),I220-F220-IF(N(G220)&gt;0,0.5,0)-IF(N(H220)&gt;0,0.5,0),0)</f>
        <v/>
      </c>
      <c r="K220" s="5" t="n"/>
      <c r="L220" s="7">
        <f>MIN(J220,10.0)</f>
        <v/>
      </c>
      <c r="M220" s="7">
        <f>MAX(0,MIN(J220,12)-10.0)</f>
        <v/>
      </c>
      <c r="N220" s="7">
        <f>MAX(0,J220-12)</f>
        <v/>
      </c>
      <c r="O220" s="5" t="n"/>
      <c r="P220" s="6">
        <f>E220*(L220+M220*1.5+N220*2+O220*3+N(K220))</f>
        <v/>
      </c>
      <c r="Q220" s="6" t="n">
        <v>439.87</v>
      </c>
      <c r="R220" s="6">
        <f>Q220-P220</f>
        <v/>
      </c>
    </row>
    <row r="221">
      <c r="P221" s="2" t="inlineStr">
        <is>
          <t>KEYMAKE-UP LABOR</t>
        </is>
      </c>
      <c r="R221" s="8">
        <f>SUM(R220:R220)</f>
        <v/>
      </c>
    </row>
    <row r="223">
      <c r="B223" s="2" t="inlineStr">
        <is>
          <t>ASSTMAKE-UP</t>
        </is>
      </c>
    </row>
    <row r="224">
      <c r="A224" s="5" t="inlineStr">
        <is>
          <t>3102</t>
        </is>
      </c>
      <c r="B224" s="5" t="inlineStr">
        <is>
          <t>Yoko Nobushi</t>
        </is>
      </c>
      <c r="C224" s="5" t="inlineStr">
        <is>
          <t>ASSTMAKEUPARTIST#1</t>
        </is>
      </c>
      <c r="D224" s="5" t="inlineStr">
        <is>
          <t>Local706</t>
        </is>
      </c>
      <c r="E224" s="6" t="n">
        <v>23.04</v>
      </c>
      <c r="F224" s="5" t="n"/>
      <c r="G224" s="5" t="n"/>
      <c r="H224" s="5" t="n"/>
      <c r="I224" s="5" t="n"/>
      <c r="J224" s="7">
        <f>IF(AND(N(F224)&gt;0,N(I224)&gt;0),I224-F224-IF(N(G224)&gt;0,0.5,0)-IF(N(H224)&gt;0,0.5,0),0)</f>
        <v/>
      </c>
      <c r="K224" s="5" t="n"/>
      <c r="L224" s="7">
        <f>MIN(J224,10.0)</f>
        <v/>
      </c>
      <c r="M224" s="7">
        <f>MAX(0,MIN(J224,12)-10.0)</f>
        <v/>
      </c>
      <c r="N224" s="7">
        <f>MAX(0,J224-12)</f>
        <v/>
      </c>
      <c r="O224" s="5" t="n"/>
      <c r="P224" s="6">
        <f>E224*(L224+M224*1.5+N224*2+O224*3+N(K224))</f>
        <v/>
      </c>
      <c r="Q224" s="6" t="n">
        <v>397.43</v>
      </c>
      <c r="R224" s="6">
        <f>Q224-P224</f>
        <v/>
      </c>
    </row>
    <row r="225">
      <c r="P225" s="2" t="inlineStr">
        <is>
          <t>ASSTMAKE-UP LABOR</t>
        </is>
      </c>
      <c r="R225" s="8">
        <f>SUM(R224:R224)</f>
        <v/>
      </c>
    </row>
    <row r="227">
      <c r="B227" s="2" t="inlineStr">
        <is>
          <t>ADDITIONALMAKE-UPLABOR</t>
        </is>
      </c>
    </row>
    <row r="228">
      <c r="A228" s="5" t="inlineStr">
        <is>
          <t>3103</t>
        </is>
      </c>
      <c r="B228" s="5" t="inlineStr"/>
      <c r="C228" s="5" t="inlineStr">
        <is>
          <t>ADDLMAKEUPARTISTDAYS</t>
        </is>
      </c>
      <c r="D228" s="5" t="inlineStr">
        <is>
          <t>Local706</t>
        </is>
      </c>
      <c r="E228" s="6" t="n">
        <v>23.04</v>
      </c>
      <c r="F228" s="5" t="n"/>
      <c r="G228" s="5" t="n"/>
      <c r="H228" s="5" t="n"/>
      <c r="I228" s="5" t="n"/>
      <c r="J228" s="7">
        <f>IF(AND(N(F228)&gt;0,N(I228)&gt;0),I228-F228-IF(N(G228)&gt;0,0.5,0)-IF(N(H228)&gt;0,0.5,0),0)</f>
        <v/>
      </c>
      <c r="K228" s="5" t="n"/>
      <c r="L228" s="7">
        <f>MIN(J228,10.0)</f>
        <v/>
      </c>
      <c r="M228" s="7">
        <f>MAX(0,MIN(J228,12)-10.0)</f>
        <v/>
      </c>
      <c r="N228" s="7">
        <f>MAX(0,J228-12)</f>
        <v/>
      </c>
      <c r="O228" s="5" t="n"/>
      <c r="P228" s="6">
        <f>E228*(L228+M228*1.5+N228*2+O228*3+N(K228))</f>
        <v/>
      </c>
      <c r="Q228" s="6" t="n">
        <v>397.43</v>
      </c>
      <c r="R228" s="6">
        <f>Q228-P228</f>
        <v/>
      </c>
    </row>
    <row r="229">
      <c r="P229" s="2" t="inlineStr">
        <is>
          <t>ADDITIONALMAKE-UPLABOR LABOR</t>
        </is>
      </c>
      <c r="R229" s="8">
        <f>SUM(R228:R228)</f>
        <v/>
      </c>
    </row>
    <row r="231">
      <c r="B231" s="2" t="inlineStr">
        <is>
          <t>PROSTHETICS</t>
        </is>
      </c>
    </row>
    <row r="232">
      <c r="A232" s="5" t="inlineStr">
        <is>
          <t>3105</t>
        </is>
      </c>
      <c r="B232" s="5" t="inlineStr"/>
      <c r="C232" s="5" t="inlineStr">
        <is>
          <t>PROSTHETICMAKEUPARTIST</t>
        </is>
      </c>
      <c r="D232" s="5" t="inlineStr">
        <is>
          <t>Local706</t>
        </is>
      </c>
      <c r="E232" s="6" t="n">
        <v>25.5</v>
      </c>
      <c r="F232" s="5" t="n"/>
      <c r="G232" s="5" t="n"/>
      <c r="H232" s="5" t="n"/>
      <c r="I232" s="5" t="n"/>
      <c r="J232" s="7">
        <f>IF(AND(N(F232)&gt;0,N(I232)&gt;0),I232-F232-IF(N(G232)&gt;0,0.5,0)-IF(N(H232)&gt;0,0.5,0),0)</f>
        <v/>
      </c>
      <c r="K232" s="5" t="n"/>
      <c r="L232" s="7">
        <f>MIN(J232,10.0)</f>
        <v/>
      </c>
      <c r="M232" s="7">
        <f>MAX(0,MIN(J232,12)-10.0)</f>
        <v/>
      </c>
      <c r="N232" s="7">
        <f>MAX(0,J232-12)</f>
        <v/>
      </c>
      <c r="O232" s="5" t="n"/>
      <c r="P232" s="6">
        <f>E232*(L232+M232*1.5+N232*2+O232*3+N(K232))</f>
        <v/>
      </c>
      <c r="Q232" s="6" t="n">
        <v>439.87</v>
      </c>
      <c r="R232" s="6">
        <f>Q232-P232</f>
        <v/>
      </c>
    </row>
    <row r="233">
      <c r="A233" s="5" t="inlineStr">
        <is>
          <t>3105</t>
        </is>
      </c>
      <c r="B233" s="5" t="inlineStr"/>
      <c r="C233" s="5" t="inlineStr">
        <is>
          <t>LENSCONSULTANT</t>
        </is>
      </c>
      <c r="D233" s="5" t="inlineStr"/>
      <c r="E233" s="6" t="n">
        <v>50</v>
      </c>
      <c r="F233" s="5" t="n"/>
      <c r="G233" s="5" t="n"/>
      <c r="H233" s="5" t="n"/>
      <c r="I233" s="5" t="n"/>
      <c r="J233" s="7">
        <f>IF(AND(N(F233)&gt;0,N(I233)&gt;0),I233-F233-IF(N(G233)&gt;0,0.5,0)-IF(N(H233)&gt;0,0.5,0),0)</f>
        <v/>
      </c>
      <c r="K233" s="5" t="n"/>
      <c r="L233" s="7">
        <f>MIN(J233,8.0)</f>
        <v/>
      </c>
      <c r="M233" s="7">
        <f>MAX(0,MIN(J233,12)-8.0)</f>
        <v/>
      </c>
      <c r="N233" s="7">
        <f>MAX(0,J233-12)</f>
        <v/>
      </c>
      <c r="O233" s="5" t="n"/>
      <c r="P233" s="6">
        <f>E233*(L233+M233*1.5+N233*2+O233*3+N(K233))</f>
        <v/>
      </c>
      <c r="Q233" s="6" t="n">
        <v>862.53</v>
      </c>
      <c r="R233" s="6">
        <f>Q233-P233</f>
        <v/>
      </c>
    </row>
    <row r="234">
      <c r="P234" s="2" t="inlineStr">
        <is>
          <t>PROSTHETICS LABOR</t>
        </is>
      </c>
      <c r="R234" s="8">
        <f>SUM(R232:R233)</f>
        <v/>
      </c>
    </row>
    <row r="236">
      <c r="B236" s="2" t="inlineStr">
        <is>
          <t>KEYHAIR</t>
        </is>
      </c>
    </row>
    <row r="237">
      <c r="A237" s="5" t="inlineStr">
        <is>
          <t>3111</t>
        </is>
      </c>
      <c r="B237" s="5" t="inlineStr">
        <is>
          <t>Traci Smithe</t>
        </is>
      </c>
      <c r="C237" s="5" t="inlineStr">
        <is>
          <t>KEYHAIR</t>
        </is>
      </c>
      <c r="D237" s="5" t="inlineStr">
        <is>
          <t>Local706</t>
        </is>
      </c>
      <c r="E237" s="6" t="n">
        <v>25.5</v>
      </c>
      <c r="F237" s="5" t="n"/>
      <c r="G237" s="5" t="n"/>
      <c r="H237" s="5" t="n"/>
      <c r="I237" s="5" t="n"/>
      <c r="J237" s="7">
        <f>IF(AND(N(F237)&gt;0,N(I237)&gt;0),I237-F237-IF(N(G237)&gt;0,0.5,0)-IF(N(H237)&gt;0,0.5,0),0)</f>
        <v/>
      </c>
      <c r="K237" s="5" t="n"/>
      <c r="L237" s="7">
        <f>MIN(J237,10.0)</f>
        <v/>
      </c>
      <c r="M237" s="7">
        <f>MAX(0,MIN(J237,12)-10.0)</f>
        <v/>
      </c>
      <c r="N237" s="7">
        <f>MAX(0,J237-12)</f>
        <v/>
      </c>
      <c r="O237" s="5" t="n"/>
      <c r="P237" s="6">
        <f>E237*(L237+M237*1.5+N237*2+O237*3+N(K237))</f>
        <v/>
      </c>
      <c r="Q237" s="6" t="n">
        <v>439.87</v>
      </c>
      <c r="R237" s="6">
        <f>Q237-P237</f>
        <v/>
      </c>
    </row>
    <row r="238">
      <c r="P238" s="2" t="inlineStr">
        <is>
          <t>KEYHAIR LABOR</t>
        </is>
      </c>
      <c r="R238" s="8">
        <f>SUM(R237:R237)</f>
        <v/>
      </c>
    </row>
    <row r="240">
      <c r="B240" s="2" t="inlineStr">
        <is>
          <t>ASSTHAIR</t>
        </is>
      </c>
    </row>
    <row r="241">
      <c r="A241" s="5" t="inlineStr">
        <is>
          <t>3112</t>
        </is>
      </c>
      <c r="B241" s="5" t="inlineStr">
        <is>
          <t>Yunea Cruz</t>
        </is>
      </c>
      <c r="C241" s="5" t="inlineStr">
        <is>
          <t>ASSTHAIRSTYLIST#1</t>
        </is>
      </c>
      <c r="D241" s="5" t="inlineStr">
        <is>
          <t>Local706</t>
        </is>
      </c>
      <c r="E241" s="6" t="n">
        <v>23.04</v>
      </c>
      <c r="F241" s="5" t="n"/>
      <c r="G241" s="5" t="n"/>
      <c r="H241" s="5" t="n"/>
      <c r="I241" s="5" t="n"/>
      <c r="J241" s="7">
        <f>IF(AND(N(F241)&gt;0,N(I241)&gt;0),I241-F241-IF(N(G241)&gt;0,0.5,0)-IF(N(H241)&gt;0,0.5,0),0)</f>
        <v/>
      </c>
      <c r="K241" s="5" t="n"/>
      <c r="L241" s="7">
        <f>MIN(J241,10.0)</f>
        <v/>
      </c>
      <c r="M241" s="7">
        <f>MAX(0,MIN(J241,12)-10.0)</f>
        <v/>
      </c>
      <c r="N241" s="7">
        <f>MAX(0,J241-12)</f>
        <v/>
      </c>
      <c r="O241" s="5" t="n"/>
      <c r="P241" s="6">
        <f>E241*(L241+M241*1.5+N241*2+O241*3+N(K241))</f>
        <v/>
      </c>
      <c r="Q241" s="6" t="n">
        <v>397.43</v>
      </c>
      <c r="R241" s="6">
        <f>Q241-P241</f>
        <v/>
      </c>
    </row>
    <row r="242">
      <c r="P242" s="2" t="inlineStr">
        <is>
          <t>ASSTHAIR LABOR</t>
        </is>
      </c>
      <c r="R242" s="8">
        <f>SUM(R241:R241)</f>
        <v/>
      </c>
    </row>
    <row r="244">
      <c r="B244" s="2" t="inlineStr">
        <is>
          <t>ADDITIONALHAIRLABOR</t>
        </is>
      </c>
    </row>
    <row r="245">
      <c r="A245" s="5" t="inlineStr">
        <is>
          <t>3113</t>
        </is>
      </c>
      <c r="B245" s="5" t="inlineStr"/>
      <c r="C245" s="5" t="inlineStr">
        <is>
          <t>ADDLHAIRSTYLISTDAYS</t>
        </is>
      </c>
      <c r="D245" s="5" t="inlineStr">
        <is>
          <t>Local706</t>
        </is>
      </c>
      <c r="E245" s="6" t="n">
        <v>23.04</v>
      </c>
      <c r="F245" s="5" t="n"/>
      <c r="G245" s="5" t="n"/>
      <c r="H245" s="5" t="n"/>
      <c r="I245" s="5" t="n"/>
      <c r="J245" s="7">
        <f>IF(AND(N(F245)&gt;0,N(I245)&gt;0),I245-F245-IF(N(G245)&gt;0,0.5,0)-IF(N(H245)&gt;0,0.5,0),0)</f>
        <v/>
      </c>
      <c r="K245" s="5" t="n"/>
      <c r="L245" s="7">
        <f>MIN(J245,10.0)</f>
        <v/>
      </c>
      <c r="M245" s="7">
        <f>MAX(0,MIN(J245,12)-10.0)</f>
        <v/>
      </c>
      <c r="N245" s="7">
        <f>MAX(0,J245-12)</f>
        <v/>
      </c>
      <c r="O245" s="5" t="n"/>
      <c r="P245" s="6">
        <f>E245*(L245+M245*1.5+N245*2+O245*3+N(K245))</f>
        <v/>
      </c>
      <c r="Q245" s="6" t="n">
        <v>397.43</v>
      </c>
      <c r="R245" s="6">
        <f>Q245-P245</f>
        <v/>
      </c>
    </row>
    <row r="246">
      <c r="P246" s="2" t="inlineStr">
        <is>
          <t>ADDITIONALHAIRLABOR LABOR</t>
        </is>
      </c>
      <c r="R246" s="8">
        <f>SUM(R245:R245)</f>
        <v/>
      </c>
    </row>
    <row r="248">
      <c r="B248" s="2" t="inlineStr">
        <is>
          <t>GAFFER</t>
        </is>
      </c>
    </row>
    <row r="249">
      <c r="A249" s="5" t="inlineStr">
        <is>
          <t>3201</t>
        </is>
      </c>
      <c r="B249" s="5" t="inlineStr">
        <is>
          <t>Nicholas Kaat</t>
        </is>
      </c>
      <c r="C249" s="5" t="inlineStr">
        <is>
          <t>GAFFER</t>
        </is>
      </c>
      <c r="D249" s="5" t="inlineStr">
        <is>
          <t>Local728</t>
        </is>
      </c>
      <c r="E249" s="6" t="n">
        <v>25.5</v>
      </c>
      <c r="F249" s="5" t="n"/>
      <c r="G249" s="5" t="n"/>
      <c r="H249" s="5" t="n"/>
      <c r="I249" s="5" t="n"/>
      <c r="J249" s="7">
        <f>IF(AND(N(F249)&gt;0,N(I249)&gt;0),I249-F249-IF(N(G249)&gt;0,0.5,0)-IF(N(H249)&gt;0,0.5,0),0)</f>
        <v/>
      </c>
      <c r="K249" s="5" t="n"/>
      <c r="L249" s="7">
        <f>MIN(J249,10.0)</f>
        <v/>
      </c>
      <c r="M249" s="7">
        <f>MAX(0,MIN(J249,12)-10.0)</f>
        <v/>
      </c>
      <c r="N249" s="7">
        <f>MAX(0,J249-12)</f>
        <v/>
      </c>
      <c r="O249" s="5" t="n"/>
      <c r="P249" s="6">
        <f>E249*(L249+M249*1.5+N249*2+O249*3+N(K249))</f>
        <v/>
      </c>
      <c r="Q249" s="6" t="n">
        <v>395.25</v>
      </c>
      <c r="R249" s="6">
        <f>Q249-P249</f>
        <v/>
      </c>
    </row>
    <row r="250">
      <c r="P250" s="2" t="inlineStr">
        <is>
          <t>GAFFER LABOR</t>
        </is>
      </c>
      <c r="R250" s="8">
        <f>SUM(R249:R249)</f>
        <v/>
      </c>
    </row>
    <row r="252">
      <c r="B252" s="2" t="inlineStr">
        <is>
          <t>BESTBOYELECTRIC</t>
        </is>
      </c>
    </row>
    <row r="253">
      <c r="A253" s="5" t="inlineStr">
        <is>
          <t>3202</t>
        </is>
      </c>
      <c r="B253" s="5" t="inlineStr">
        <is>
          <t>Nathan Fetzer</t>
        </is>
      </c>
      <c r="C253" s="5" t="inlineStr">
        <is>
          <t>BESTBOYELECTRIC</t>
        </is>
      </c>
      <c r="D253" s="5" t="inlineStr">
        <is>
          <t>Local728</t>
        </is>
      </c>
      <c r="E253" s="6" t="n">
        <v>23.04</v>
      </c>
      <c r="F253" s="5" t="n"/>
      <c r="G253" s="5" t="n"/>
      <c r="H253" s="5" t="n"/>
      <c r="I253" s="5" t="n"/>
      <c r="J253" s="7">
        <f>IF(AND(N(F253)&gt;0,N(I253)&gt;0),I253-F253-IF(N(G253)&gt;0,0.5,0)-IF(N(H253)&gt;0,0.5,0),0)</f>
        <v/>
      </c>
      <c r="K253" s="5" t="n"/>
      <c r="L253" s="7">
        <f>MIN(J253,10.0)</f>
        <v/>
      </c>
      <c r="M253" s="7">
        <f>MAX(0,MIN(J253,12)-10.0)</f>
        <v/>
      </c>
      <c r="N253" s="7">
        <f>MAX(0,J253-12)</f>
        <v/>
      </c>
      <c r="O253" s="5" t="n"/>
      <c r="P253" s="6">
        <f>E253*(L253+M253*1.5+N253*2+O253*3+N(K253))</f>
        <v/>
      </c>
      <c r="Q253" s="6" t="n">
        <v>357.12</v>
      </c>
      <c r="R253" s="6">
        <f>Q253-P253</f>
        <v/>
      </c>
    </row>
    <row r="254">
      <c r="A254" s="5" t="inlineStr">
        <is>
          <t>3202</t>
        </is>
      </c>
      <c r="B254" s="5" t="inlineStr"/>
      <c r="C254" s="5" t="inlineStr">
        <is>
          <t>STUDIOBESTBOYELECTRIC</t>
        </is>
      </c>
      <c r="D254" s="5" t="inlineStr">
        <is>
          <t>Local728</t>
        </is>
      </c>
      <c r="E254" s="6" t="n">
        <v>43.05</v>
      </c>
      <c r="F254" s="5" t="n"/>
      <c r="G254" s="5" t="n"/>
      <c r="H254" s="5" t="n"/>
      <c r="I254" s="5" t="n"/>
      <c r="J254" s="7">
        <f>IF(AND(N(F254)&gt;0,N(I254)&gt;0),I254-F254-IF(N(G254)&gt;0,0.5,0)-IF(N(H254)&gt;0,0.5,0),0)</f>
        <v/>
      </c>
      <c r="K254" s="5" t="n"/>
      <c r="L254" s="7">
        <f>MIN(J254,10.0)</f>
        <v/>
      </c>
      <c r="M254" s="7">
        <f>MAX(0,MIN(J254,12)-10.0)</f>
        <v/>
      </c>
      <c r="N254" s="7">
        <f>MAX(0,J254-12)</f>
        <v/>
      </c>
      <c r="O254" s="5" t="n"/>
      <c r="P254" s="6">
        <f>E254*(L254+M254*1.5+N254*2+O254*3+N(K254))</f>
        <v/>
      </c>
      <c r="Q254" s="6" t="n">
        <v>667.27</v>
      </c>
      <c r="R254" s="6">
        <f>Q254-P254</f>
        <v/>
      </c>
    </row>
    <row r="255">
      <c r="P255" s="2" t="inlineStr">
        <is>
          <t>BESTBOYELECTRIC LABOR</t>
        </is>
      </c>
      <c r="R255" s="8">
        <f>SUM(R253:R254)</f>
        <v/>
      </c>
    </row>
    <row r="257">
      <c r="B257" s="2" t="inlineStr">
        <is>
          <t>ELECTRICIANS</t>
        </is>
      </c>
    </row>
    <row r="258">
      <c r="A258" s="5" t="inlineStr">
        <is>
          <t>3204</t>
        </is>
      </c>
      <c r="B258" s="5" t="inlineStr"/>
      <c r="C258" s="5" t="inlineStr">
        <is>
          <t>ELECTRICIAN#1</t>
        </is>
      </c>
      <c r="D258" s="5" t="inlineStr">
        <is>
          <t>Local728</t>
        </is>
      </c>
      <c r="E258" s="6" t="n">
        <v>20.57</v>
      </c>
      <c r="F258" s="5" t="n"/>
      <c r="G258" s="5" t="n"/>
      <c r="H258" s="5" t="n"/>
      <c r="I258" s="5" t="n"/>
      <c r="J258" s="7">
        <f>IF(AND(N(F258)&gt;0,N(I258)&gt;0),I258-F258-IF(N(G258)&gt;0,0.5,0)-IF(N(H258)&gt;0,0.5,0),0)</f>
        <v/>
      </c>
      <c r="K258" s="5" t="n"/>
      <c r="L258" s="7">
        <f>MIN(J258,10.0)</f>
        <v/>
      </c>
      <c r="M258" s="7">
        <f>MAX(0,MIN(J258,12)-10.0)</f>
        <v/>
      </c>
      <c r="N258" s="7">
        <f>MAX(0,J258-12)</f>
        <v/>
      </c>
      <c r="O258" s="5" t="n"/>
      <c r="P258" s="6">
        <f>E258*(L258+M258*1.5+N258*2+O258*3+N(K258))</f>
        <v/>
      </c>
      <c r="Q258" s="6" t="n">
        <v>318.83</v>
      </c>
      <c r="R258" s="6">
        <f>Q258-P258</f>
        <v/>
      </c>
    </row>
    <row r="259">
      <c r="A259" s="5" t="inlineStr">
        <is>
          <t>3204</t>
        </is>
      </c>
      <c r="B259" s="5" t="inlineStr"/>
      <c r="C259" s="5" t="inlineStr">
        <is>
          <t>ELECTRICIAN#2</t>
        </is>
      </c>
      <c r="D259" s="5" t="inlineStr">
        <is>
          <t>Local728</t>
        </is>
      </c>
      <c r="E259" s="6" t="n">
        <v>20.57</v>
      </c>
      <c r="F259" s="5" t="n"/>
      <c r="G259" s="5" t="n"/>
      <c r="H259" s="5" t="n"/>
      <c r="I259" s="5" t="n"/>
      <c r="J259" s="7">
        <f>IF(AND(N(F259)&gt;0,N(I259)&gt;0),I259-F259-IF(N(G259)&gt;0,0.5,0)-IF(N(H259)&gt;0,0.5,0),0)</f>
        <v/>
      </c>
      <c r="K259" s="5" t="n"/>
      <c r="L259" s="7">
        <f>MIN(J259,10.0)</f>
        <v/>
      </c>
      <c r="M259" s="7">
        <f>MAX(0,MIN(J259,12)-10.0)</f>
        <v/>
      </c>
      <c r="N259" s="7">
        <f>MAX(0,J259-12)</f>
        <v/>
      </c>
      <c r="O259" s="5" t="n"/>
      <c r="P259" s="6">
        <f>E259*(L259+M259*1.5+N259*2+O259*3+N(K259))</f>
        <v/>
      </c>
      <c r="Q259" s="6" t="n">
        <v>318.83</v>
      </c>
      <c r="R259" s="6">
        <f>Q259-P259</f>
        <v/>
      </c>
    </row>
    <row r="260">
      <c r="A260" s="5" t="inlineStr">
        <is>
          <t>3204</t>
        </is>
      </c>
      <c r="B260" s="5" t="inlineStr"/>
      <c r="C260" s="5" t="inlineStr">
        <is>
          <t>ELECTRICIAN#3</t>
        </is>
      </c>
      <c r="D260" s="5" t="inlineStr">
        <is>
          <t>Local728</t>
        </is>
      </c>
      <c r="E260" s="6" t="n">
        <v>20.57</v>
      </c>
      <c r="F260" s="5" t="n"/>
      <c r="G260" s="5" t="n"/>
      <c r="H260" s="5" t="n"/>
      <c r="I260" s="5" t="n"/>
      <c r="J260" s="7">
        <f>IF(AND(N(F260)&gt;0,N(I260)&gt;0),I260-F260-IF(N(G260)&gt;0,0.5,0)-IF(N(H260)&gt;0,0.5,0),0)</f>
        <v/>
      </c>
      <c r="K260" s="5" t="n"/>
      <c r="L260" s="7">
        <f>MIN(J260,10.0)</f>
        <v/>
      </c>
      <c r="M260" s="7">
        <f>MAX(0,MIN(J260,12)-10.0)</f>
        <v/>
      </c>
      <c r="N260" s="7">
        <f>MAX(0,J260-12)</f>
        <v/>
      </c>
      <c r="O260" s="5" t="n"/>
      <c r="P260" s="6">
        <f>E260*(L260+M260*1.5+N260*2+O260*3+N(K260))</f>
        <v/>
      </c>
      <c r="Q260" s="6" t="n">
        <v>318.83</v>
      </c>
      <c r="R260" s="6">
        <f>Q260-P260</f>
        <v/>
      </c>
    </row>
    <row r="261">
      <c r="P261" s="2" t="inlineStr">
        <is>
          <t>ELECTRICIANS LABOR</t>
        </is>
      </c>
      <c r="R261" s="8">
        <f>SUM(R258:R260)</f>
        <v/>
      </c>
    </row>
    <row r="263">
      <c r="B263" s="2" t="inlineStr">
        <is>
          <t>ADDITIONALELECTRICLABOR</t>
        </is>
      </c>
    </row>
    <row r="264">
      <c r="A264" s="5" t="inlineStr">
        <is>
          <t>3206</t>
        </is>
      </c>
      <c r="B264" s="5" t="inlineStr"/>
      <c r="C264" s="5" t="inlineStr">
        <is>
          <t>ELECTRICMANDAYS&amp;RIGGINGMANDAYS</t>
        </is>
      </c>
      <c r="D264" s="5" t="inlineStr">
        <is>
          <t>Local728</t>
        </is>
      </c>
      <c r="E264" s="6" t="n">
        <v>20.57</v>
      </c>
      <c r="F264" s="5" t="n"/>
      <c r="G264" s="5" t="n"/>
      <c r="H264" s="5" t="n"/>
      <c r="I264" s="5" t="n"/>
      <c r="J264" s="7">
        <f>IF(AND(N(F264)&gt;0,N(I264)&gt;0),I264-F264-IF(N(G264)&gt;0,0.5,0)-IF(N(H264)&gt;0,0.5,0),0)</f>
        <v/>
      </c>
      <c r="K264" s="5" t="n"/>
      <c r="L264" s="7">
        <f>MIN(J264,10.0)</f>
        <v/>
      </c>
      <c r="M264" s="7">
        <f>MAX(0,MIN(J264,12)-10.0)</f>
        <v/>
      </c>
      <c r="N264" s="7">
        <f>MAX(0,J264-12)</f>
        <v/>
      </c>
      <c r="O264" s="5" t="n"/>
      <c r="P264" s="6">
        <f>E264*(L264+M264*1.5+N264*2+O264*3+N(K264))</f>
        <v/>
      </c>
      <c r="Q264" s="6" t="n">
        <v>318.83</v>
      </c>
      <c r="R264" s="6">
        <f>Q264-P264</f>
        <v/>
      </c>
    </row>
    <row r="265">
      <c r="P265" s="2" t="inlineStr">
        <is>
          <t>ADDITIONALELECTRICLABOR LABOR</t>
        </is>
      </c>
      <c r="R265" s="8">
        <f>SUM(R264:R264)</f>
        <v/>
      </c>
    </row>
    <row r="267">
      <c r="B267" s="2" t="inlineStr">
        <is>
          <t>DIRECTOROFPHOTOGRAPHY</t>
        </is>
      </c>
    </row>
    <row r="268">
      <c r="A268" s="5" t="inlineStr">
        <is>
          <t>3301</t>
        </is>
      </c>
      <c r="B268" s="5" t="inlineStr">
        <is>
          <t>Michael Burgess</t>
        </is>
      </c>
      <c r="C268" s="5" t="inlineStr">
        <is>
          <t>DIRECTOROFPHOTOGRAPHY</t>
        </is>
      </c>
      <c r="D268" s="5" t="inlineStr">
        <is>
          <t>Local600</t>
        </is>
      </c>
      <c r="E268" s="6" t="n">
        <v>700</v>
      </c>
      <c r="F268" s="5" t="n"/>
      <c r="G268" s="5" t="n"/>
      <c r="H268" s="5" t="n"/>
      <c r="I268" s="5" t="n"/>
      <c r="J268" s="7">
        <f>IF(AND(N(F268)&gt;0,N(I268)&gt;0),I268-F268-IF(N(G268)&gt;0,0.5,0)-IF(N(H268)&gt;0,0.5,0),0)</f>
        <v/>
      </c>
      <c r="K268" s="5" t="n"/>
      <c r="L268" s="7">
        <f>MIN(J268,8.0)</f>
        <v/>
      </c>
      <c r="M268" s="7">
        <f>MAX(0,MIN(J268,12)-8.0)</f>
        <v/>
      </c>
      <c r="N268" s="7">
        <f>MAX(0,J268-12)</f>
        <v/>
      </c>
      <c r="O268" s="5" t="n"/>
      <c r="P268" s="6">
        <f>E268*(L268+M268*1.5+N268*2+O268*3+N(K268))</f>
        <v/>
      </c>
      <c r="Q268" s="6" t="n">
        <v>700</v>
      </c>
      <c r="R268" s="6">
        <f>Q268-P268</f>
        <v/>
      </c>
    </row>
    <row r="269">
      <c r="P269" s="2" t="inlineStr">
        <is>
          <t>DIRECTOROFPHOTOGRAPHY LABOR</t>
        </is>
      </c>
      <c r="R269" s="8">
        <f>SUM(R268:R268)</f>
        <v/>
      </c>
    </row>
    <row r="271">
      <c r="B271" s="2" t="inlineStr">
        <is>
          <t>CAMERAOPERATORS</t>
        </is>
      </c>
    </row>
    <row r="272">
      <c r="A272" s="5" t="inlineStr">
        <is>
          <t>3302</t>
        </is>
      </c>
      <c r="B272" s="5" t="inlineStr">
        <is>
          <t>Craig Bauer</t>
        </is>
      </c>
      <c r="C272" s="5" t="inlineStr">
        <is>
          <t>"B"CAMERAOP</t>
        </is>
      </c>
      <c r="D272" s="5" t="inlineStr">
        <is>
          <t>Local600</t>
        </is>
      </c>
      <c r="E272" s="6" t="n">
        <v>45</v>
      </c>
      <c r="F272" s="5" t="n"/>
      <c r="G272" s="5" t="n"/>
      <c r="H272" s="5" t="n"/>
      <c r="I272" s="5" t="n"/>
      <c r="J272" s="7">
        <f>IF(AND(N(F272)&gt;0,N(I272)&gt;0),I272-F272-IF(N(G272)&gt;0,0.5,0)-IF(N(H272)&gt;0,0.5,0),0)</f>
        <v/>
      </c>
      <c r="K272" s="5" t="n"/>
      <c r="L272" s="7">
        <f>MIN(J272,8.0)</f>
        <v/>
      </c>
      <c r="M272" s="7">
        <f>MAX(0,MIN(J272,12)-8.0)</f>
        <v/>
      </c>
      <c r="N272" s="7">
        <f>MAX(0,J272-12)</f>
        <v/>
      </c>
      <c r="O272" s="5" t="n"/>
      <c r="P272" s="6">
        <f>E272*(L272+M272*1.5+N272*2+O272*3+N(K272))</f>
        <v/>
      </c>
      <c r="Q272" s="6" t="n">
        <v>630</v>
      </c>
      <c r="R272" s="6">
        <f>Q272-P272</f>
        <v/>
      </c>
    </row>
    <row r="273">
      <c r="P273" s="2" t="inlineStr">
        <is>
          <t>CAMERAOPERATORS LABOR</t>
        </is>
      </c>
      <c r="R273" s="8">
        <f>SUM(R272:R272)</f>
        <v/>
      </c>
    </row>
    <row r="275">
      <c r="B275" s="2" t="inlineStr">
        <is>
          <t>DIGITALIMAGINGTECHS</t>
        </is>
      </c>
    </row>
    <row r="276">
      <c r="A276" s="5" t="inlineStr">
        <is>
          <t>3304</t>
        </is>
      </c>
      <c r="B276" s="5" t="inlineStr">
        <is>
          <t>Oliver Mancebo</t>
        </is>
      </c>
      <c r="C276" s="5" t="inlineStr">
        <is>
          <t>DIT</t>
        </is>
      </c>
      <c r="D276" s="5" t="inlineStr">
        <is>
          <t>Local600</t>
        </is>
      </c>
      <c r="E276" s="6" t="n">
        <v>35</v>
      </c>
      <c r="F276" s="5" t="n"/>
      <c r="G276" s="5" t="n"/>
      <c r="H276" s="5" t="n"/>
      <c r="I276" s="5" t="n"/>
      <c r="J276" s="7">
        <f>IF(AND(N(F276)&gt;0,N(I276)&gt;0),I276-F276-IF(N(G276)&gt;0,0.5,0)-IF(N(H276)&gt;0,0.5,0),0)</f>
        <v/>
      </c>
      <c r="K276" s="5" t="n"/>
      <c r="L276" s="7">
        <f>MIN(J276,8.0)</f>
        <v/>
      </c>
      <c r="M276" s="7">
        <f>MAX(0,MIN(J276,12)-8.0)</f>
        <v/>
      </c>
      <c r="N276" s="7">
        <f>MAX(0,J276-12)</f>
        <v/>
      </c>
      <c r="O276" s="5" t="n"/>
      <c r="P276" s="6">
        <f>E276*(L276+M276*1.5+N276*2+O276*3+N(K276))</f>
        <v/>
      </c>
      <c r="Q276" s="6" t="n">
        <v>542.5</v>
      </c>
      <c r="R276" s="6">
        <f>Q276-P276</f>
        <v/>
      </c>
    </row>
    <row r="277">
      <c r="P277" s="2" t="inlineStr">
        <is>
          <t>DIGITALIMAGINGTECHS LABOR</t>
        </is>
      </c>
      <c r="R277" s="8">
        <f>SUM(R276:R276)</f>
        <v/>
      </c>
    </row>
    <row r="279">
      <c r="B279" s="2" t="inlineStr">
        <is>
          <t>1STASSTCAMERA</t>
        </is>
      </c>
    </row>
    <row r="280">
      <c r="A280" s="5" t="inlineStr">
        <is>
          <t>3305</t>
        </is>
      </c>
      <c r="B280" s="5" t="inlineStr">
        <is>
          <t>Steve Cueva</t>
        </is>
      </c>
      <c r="C280" s="5" t="inlineStr">
        <is>
          <t>"A"CAMERA 1STAC</t>
        </is>
      </c>
      <c r="D280" s="5" t="inlineStr">
        <is>
          <t>Local600</t>
        </is>
      </c>
      <c r="E280" s="6" t="n">
        <v>25.5</v>
      </c>
      <c r="F280" s="5" t="n"/>
      <c r="G280" s="5" t="n"/>
      <c r="H280" s="5" t="n"/>
      <c r="I280" s="5" t="n"/>
      <c r="J280" s="7">
        <f>IF(AND(N(F280)&gt;0,N(I280)&gt;0),I280-F280-IF(N(G280)&gt;0,0.5,0)-IF(N(H280)&gt;0,0.5,0),0)</f>
        <v/>
      </c>
      <c r="K280" s="5" t="n"/>
      <c r="L280" s="7">
        <f>MIN(J280,8.0)</f>
        <v/>
      </c>
      <c r="M280" s="7">
        <f>MAX(0,MIN(J280,12)-8.0)</f>
        <v/>
      </c>
      <c r="N280" s="7">
        <f>MAX(0,J280-12)</f>
        <v/>
      </c>
      <c r="O280" s="5" t="n"/>
      <c r="P280" s="6">
        <f>E280*(L280+M280*1.5+N280*2+O280*3+N(K280))</f>
        <v/>
      </c>
      <c r="Q280" s="6" t="n">
        <v>395.25</v>
      </c>
      <c r="R280" s="6">
        <f>Q280-P280</f>
        <v/>
      </c>
    </row>
    <row r="281">
      <c r="A281" s="5" t="inlineStr">
        <is>
          <t>3305</t>
        </is>
      </c>
      <c r="B281" s="5" t="inlineStr">
        <is>
          <t>Chris Garcia</t>
        </is>
      </c>
      <c r="C281" s="5" t="inlineStr">
        <is>
          <t>"B"CAMERA 1STAC</t>
        </is>
      </c>
      <c r="D281" s="5" t="inlineStr">
        <is>
          <t>Local600</t>
        </is>
      </c>
      <c r="E281" s="6" t="n">
        <v>25.5</v>
      </c>
      <c r="F281" s="5" t="n"/>
      <c r="G281" s="5" t="n"/>
      <c r="H281" s="5" t="n"/>
      <c r="I281" s="5" t="n"/>
      <c r="J281" s="7">
        <f>IF(AND(N(F281)&gt;0,N(I281)&gt;0),I281-F281-IF(N(G281)&gt;0,0.5,0)-IF(N(H281)&gt;0,0.5,0),0)</f>
        <v/>
      </c>
      <c r="K281" s="5" t="n"/>
      <c r="L281" s="7">
        <f>MIN(J281,8.0)</f>
        <v/>
      </c>
      <c r="M281" s="7">
        <f>MAX(0,MIN(J281,12)-8.0)</f>
        <v/>
      </c>
      <c r="N281" s="7">
        <f>MAX(0,J281-12)</f>
        <v/>
      </c>
      <c r="O281" s="5" t="n"/>
      <c r="P281" s="6">
        <f>E281*(L281+M281*1.5+N281*2+O281*3+N(K281))</f>
        <v/>
      </c>
      <c r="Q281" s="6" t="n">
        <v>395.25</v>
      </c>
      <c r="R281" s="6">
        <f>Q281-P281</f>
        <v/>
      </c>
    </row>
    <row r="282">
      <c r="P282" s="2" t="inlineStr">
        <is>
          <t>1STASSTCAMERA LABOR</t>
        </is>
      </c>
      <c r="R282" s="8">
        <f>SUM(R280:R281)</f>
        <v/>
      </c>
    </row>
    <row r="284">
      <c r="B284" s="2" t="inlineStr">
        <is>
          <t>2NDASSTCAMERA</t>
        </is>
      </c>
    </row>
    <row r="285">
      <c r="A285" s="5" t="inlineStr">
        <is>
          <t>3306</t>
        </is>
      </c>
      <c r="B285" s="5" t="inlineStr">
        <is>
          <t>Manny Serrano</t>
        </is>
      </c>
      <c r="C285" s="5" t="inlineStr">
        <is>
          <t>"A"CAMERA 2NDAC</t>
        </is>
      </c>
      <c r="D285" s="5" t="inlineStr">
        <is>
          <t>Local600</t>
        </is>
      </c>
      <c r="E285" s="6" t="n">
        <v>23.04</v>
      </c>
      <c r="F285" s="5" t="n"/>
      <c r="G285" s="5" t="n"/>
      <c r="H285" s="5" t="n"/>
      <c r="I285" s="5" t="n"/>
      <c r="J285" s="7">
        <f>IF(AND(N(F285)&gt;0,N(I285)&gt;0),I285-F285-IF(N(G285)&gt;0,0.5,0)-IF(N(H285)&gt;0,0.5,0),0)</f>
        <v/>
      </c>
      <c r="K285" s="5" t="n"/>
      <c r="L285" s="7">
        <f>MIN(J285,8.0)</f>
        <v/>
      </c>
      <c r="M285" s="7">
        <f>MAX(0,MIN(J285,12)-8.0)</f>
        <v/>
      </c>
      <c r="N285" s="7">
        <f>MAX(0,J285-12)</f>
        <v/>
      </c>
      <c r="O285" s="5" t="n"/>
      <c r="P285" s="6">
        <f>E285*(L285+M285*1.5+N285*2+O285*3+N(K285))</f>
        <v/>
      </c>
      <c r="Q285" s="6" t="n">
        <v>357.12</v>
      </c>
      <c r="R285" s="6">
        <f>Q285-P285</f>
        <v/>
      </c>
    </row>
    <row r="286">
      <c r="A286" s="5" t="inlineStr">
        <is>
          <t>3306</t>
        </is>
      </c>
      <c r="B286" s="5" t="inlineStr"/>
      <c r="C286" s="5" t="inlineStr">
        <is>
          <t>"B"CAMERA 2NDAC</t>
        </is>
      </c>
      <c r="D286" s="5" t="inlineStr">
        <is>
          <t>Local600</t>
        </is>
      </c>
      <c r="E286" s="6" t="n">
        <v>23.04</v>
      </c>
      <c r="F286" s="5" t="n"/>
      <c r="G286" s="5" t="n"/>
      <c r="H286" s="5" t="n"/>
      <c r="I286" s="5" t="n"/>
      <c r="J286" s="7">
        <f>IF(AND(N(F286)&gt;0,N(I286)&gt;0),I286-F286-IF(N(G286)&gt;0,0.5,0)-IF(N(H286)&gt;0,0.5,0),0)</f>
        <v/>
      </c>
      <c r="K286" s="5" t="n"/>
      <c r="L286" s="7">
        <f>MIN(J286,8.0)</f>
        <v/>
      </c>
      <c r="M286" s="7">
        <f>MAX(0,MIN(J286,12)-8.0)</f>
        <v/>
      </c>
      <c r="N286" s="7">
        <f>MAX(0,J286-12)</f>
        <v/>
      </c>
      <c r="O286" s="5" t="n"/>
      <c r="P286" s="6">
        <f>E286*(L286+M286*1.5+N286*2+O286*3+N(K286))</f>
        <v/>
      </c>
      <c r="Q286" s="6" t="n">
        <v>357.12</v>
      </c>
      <c r="R286" s="6">
        <f>Q286-P286</f>
        <v/>
      </c>
    </row>
    <row r="287">
      <c r="P287" s="2" t="inlineStr">
        <is>
          <t>2NDASSTCAMERA LABOR</t>
        </is>
      </c>
      <c r="R287" s="8">
        <f>SUM(R285:R286)</f>
        <v/>
      </c>
    </row>
    <row r="289">
      <c r="B289" s="2" t="inlineStr">
        <is>
          <t>STILLPHOTOGRAPHER</t>
        </is>
      </c>
    </row>
    <row r="290">
      <c r="A290" s="5" t="inlineStr">
        <is>
          <t>3308</t>
        </is>
      </c>
      <c r="B290" s="5" t="inlineStr">
        <is>
          <t>Scott Patrick Green</t>
        </is>
      </c>
      <c r="C290" s="5" t="inlineStr">
        <is>
          <t>STILLPHOTOGRAPHER</t>
        </is>
      </c>
      <c r="D290" s="5" t="inlineStr">
        <is>
          <t>Local600</t>
        </is>
      </c>
      <c r="E290" s="6" t="n">
        <v>26.5</v>
      </c>
      <c r="F290" s="5" t="n"/>
      <c r="G290" s="5" t="n"/>
      <c r="H290" s="5" t="n"/>
      <c r="I290" s="5" t="n"/>
      <c r="J290" s="7">
        <f>IF(AND(N(F290)&gt;0,N(I290)&gt;0),I290-F290-IF(N(G290)&gt;0,0.5,0)-IF(N(H290)&gt;0,0.5,0),0)</f>
        <v/>
      </c>
      <c r="K290" s="5" t="n"/>
      <c r="L290" s="7">
        <f>MIN(J290,8.0)</f>
        <v/>
      </c>
      <c r="M290" s="7">
        <f>MAX(0,MIN(J290,12)-8.0)</f>
        <v/>
      </c>
      <c r="N290" s="7">
        <f>MAX(0,J290-12)</f>
        <v/>
      </c>
      <c r="O290" s="5" t="n"/>
      <c r="P290" s="6">
        <f>E290*(L290+M290*1.5+N290*2+O290*3+N(K290))</f>
        <v/>
      </c>
      <c r="Q290" s="6" t="n">
        <v>291.5</v>
      </c>
      <c r="R290" s="6">
        <f>Q290-P290</f>
        <v/>
      </c>
    </row>
    <row r="291">
      <c r="P291" s="2" t="inlineStr">
        <is>
          <t>STILLPHOTOGRAPHER LABOR</t>
        </is>
      </c>
      <c r="R291" s="8">
        <f>SUM(R290:R290)</f>
        <v/>
      </c>
    </row>
    <row r="293">
      <c r="B293" s="2" t="inlineStr">
        <is>
          <t>AERIAL/UNDERWATERPHOTOGRAPHY</t>
        </is>
      </c>
    </row>
    <row r="294">
      <c r="A294" s="5" t="inlineStr">
        <is>
          <t>3385</t>
        </is>
      </c>
      <c r="B294" s="5" t="inlineStr"/>
      <c r="C294" s="5" t="inlineStr">
        <is>
          <t>UNDERWATEROPERATOR</t>
        </is>
      </c>
      <c r="D294" s="5" t="inlineStr">
        <is>
          <t>Local600</t>
        </is>
      </c>
      <c r="E294" s="6" t="n">
        <v>65</v>
      </c>
      <c r="F294" s="5" t="n"/>
      <c r="G294" s="5" t="n"/>
      <c r="H294" s="5" t="n"/>
      <c r="I294" s="5" t="n"/>
      <c r="J294" s="7">
        <f>IF(AND(N(F294)&gt;0,N(I294)&gt;0),I294-F294-IF(N(G294)&gt;0,0.5,0)-IF(N(H294)&gt;0,0.5,0),0)</f>
        <v/>
      </c>
      <c r="K294" s="5" t="n"/>
      <c r="L294" s="7">
        <f>MIN(J294,8.0)</f>
        <v/>
      </c>
      <c r="M294" s="7">
        <f>MAX(0,MIN(J294,12)-8.0)</f>
        <v/>
      </c>
      <c r="N294" s="7">
        <f>MAX(0,J294-12)</f>
        <v/>
      </c>
      <c r="O294" s="5" t="n"/>
      <c r="P294" s="6">
        <f>E294*(L294+M294*1.5+N294*2+O294*3+N(K294))</f>
        <v/>
      </c>
      <c r="Q294" s="6" t="n">
        <v>910</v>
      </c>
      <c r="R294" s="6">
        <f>Q294-P294</f>
        <v/>
      </c>
    </row>
    <row r="295">
      <c r="P295" s="2" t="inlineStr">
        <is>
          <t>AERIAL/UNDERWATERPHOTOGRAPHY LABOR</t>
        </is>
      </c>
      <c r="R295" s="8">
        <f>SUM(R294:R294)</f>
        <v/>
      </c>
    </row>
    <row r="297">
      <c r="B297" s="2" t="inlineStr">
        <is>
          <t>SOUNDMIXER</t>
        </is>
      </c>
    </row>
    <row r="298">
      <c r="A298" s="5" t="inlineStr">
        <is>
          <t>3401</t>
        </is>
      </c>
      <c r="B298" s="5" t="inlineStr">
        <is>
          <t>Julian Howarth</t>
        </is>
      </c>
      <c r="C298" s="5" t="inlineStr">
        <is>
          <t>SOUNDMIXER</t>
        </is>
      </c>
      <c r="D298" s="5" t="inlineStr">
        <is>
          <t>Local695</t>
        </is>
      </c>
      <c r="E298" s="6" t="n">
        <v>26.5</v>
      </c>
      <c r="F298" s="5" t="n"/>
      <c r="G298" s="5" t="n"/>
      <c r="H298" s="5" t="n"/>
      <c r="I298" s="5" t="n"/>
      <c r="J298" s="7">
        <f>IF(AND(N(F298)&gt;0,N(I298)&gt;0),I298-F298-IF(N(G298)&gt;0,0.5,0)-IF(N(H298)&gt;0,0.5,0),0)</f>
        <v/>
      </c>
      <c r="K298" s="5" t="n"/>
      <c r="L298" s="7">
        <f>MIN(J298,10.0)</f>
        <v/>
      </c>
      <c r="M298" s="7">
        <f>MAX(0,MIN(J298,12)-10.0)</f>
        <v/>
      </c>
      <c r="N298" s="7">
        <f>MAX(0,J298-12)</f>
        <v/>
      </c>
      <c r="O298" s="5" t="n"/>
      <c r="P298" s="6">
        <f>E298*(L298+M298*1.5+N298*2+O298*3+N(K298))</f>
        <v/>
      </c>
      <c r="Q298" s="6" t="n">
        <v>410.75</v>
      </c>
      <c r="R298" s="6">
        <f>Q298-P298</f>
        <v/>
      </c>
    </row>
    <row r="299">
      <c r="P299" s="2" t="inlineStr">
        <is>
          <t>SOUNDMIXER LABOR</t>
        </is>
      </c>
      <c r="R299" s="8">
        <f>SUM(R298:R298)</f>
        <v/>
      </c>
    </row>
    <row r="301">
      <c r="B301" s="2" t="inlineStr">
        <is>
          <t>BOOMOPERATOR</t>
        </is>
      </c>
    </row>
    <row r="302">
      <c r="A302" s="5" t="inlineStr">
        <is>
          <t>3402</t>
        </is>
      </c>
      <c r="B302" s="5" t="inlineStr">
        <is>
          <t>Tim Song Jones</t>
        </is>
      </c>
      <c r="C302" s="5" t="inlineStr">
        <is>
          <t>BOOMOPERATOR</t>
        </is>
      </c>
      <c r="D302" s="5" t="inlineStr">
        <is>
          <t>Local695</t>
        </is>
      </c>
      <c r="E302" s="6" t="n">
        <v>23.04</v>
      </c>
      <c r="F302" s="5" t="n"/>
      <c r="G302" s="5" t="n"/>
      <c r="H302" s="5" t="n"/>
      <c r="I302" s="5" t="n"/>
      <c r="J302" s="7">
        <f>IF(AND(N(F302)&gt;0,N(I302)&gt;0),I302-F302-IF(N(G302)&gt;0,0.5,0)-IF(N(H302)&gt;0,0.5,0),0)</f>
        <v/>
      </c>
      <c r="K302" s="5" t="n"/>
      <c r="L302" s="7">
        <f>MIN(J302,10.0)</f>
        <v/>
      </c>
      <c r="M302" s="7">
        <f>MAX(0,MIN(J302,12)-10.0)</f>
        <v/>
      </c>
      <c r="N302" s="7">
        <f>MAX(0,J302-12)</f>
        <v/>
      </c>
      <c r="O302" s="5" t="n"/>
      <c r="P302" s="6">
        <f>E302*(L302+M302*1.5+N302*2+O302*3+N(K302))</f>
        <v/>
      </c>
      <c r="Q302" s="6" t="n">
        <v>357.12</v>
      </c>
      <c r="R302" s="6">
        <f>Q302-P302</f>
        <v/>
      </c>
    </row>
    <row r="303">
      <c r="P303" s="2" t="inlineStr">
        <is>
          <t>BOOMOPERATOR LABOR</t>
        </is>
      </c>
      <c r="R303" s="8">
        <f>SUM(R302:R302)</f>
        <v/>
      </c>
    </row>
    <row r="305">
      <c r="B305" s="2" t="inlineStr">
        <is>
          <t>CABLEPERSON</t>
        </is>
      </c>
    </row>
    <row r="306">
      <c r="A306" s="5" t="inlineStr">
        <is>
          <t>3403</t>
        </is>
      </c>
      <c r="B306" s="5" t="inlineStr"/>
      <c r="C306" s="5" t="inlineStr">
        <is>
          <t>UTILITYSOUND</t>
        </is>
      </c>
      <c r="D306" s="5" t="inlineStr">
        <is>
          <t>Local695</t>
        </is>
      </c>
      <c r="E306" s="6" t="n">
        <v>20.57</v>
      </c>
      <c r="F306" s="5" t="n"/>
      <c r="G306" s="5" t="n"/>
      <c r="H306" s="5" t="n"/>
      <c r="I306" s="5" t="n"/>
      <c r="J306" s="7">
        <f>IF(AND(N(F306)&gt;0,N(I306)&gt;0),I306-F306-IF(N(G306)&gt;0,0.5,0)-IF(N(H306)&gt;0,0.5,0),0)</f>
        <v/>
      </c>
      <c r="K306" s="5" t="n"/>
      <c r="L306" s="7">
        <f>MIN(J306,10.0)</f>
        <v/>
      </c>
      <c r="M306" s="7">
        <f>MAX(0,MIN(J306,12)-10.0)</f>
        <v/>
      </c>
      <c r="N306" s="7">
        <f>MAX(0,J306-12)</f>
        <v/>
      </c>
      <c r="O306" s="5" t="n"/>
      <c r="P306" s="6">
        <f>E306*(L306+M306*1.5+N306*2+O306*3+N(K306))</f>
        <v/>
      </c>
      <c r="Q306" s="6" t="n">
        <v>318.83</v>
      </c>
      <c r="R306" s="6">
        <f>Q306-P306</f>
        <v/>
      </c>
    </row>
    <row r="307">
      <c r="P307" s="2" t="inlineStr">
        <is>
          <t>CABLEPERSON LABOR</t>
        </is>
      </c>
      <c r="R307" s="8">
        <f>SUM(R306:R306)</f>
        <v/>
      </c>
    </row>
    <row r="309">
      <c r="B309" s="2" t="inlineStr">
        <is>
          <t>VIDEOASSIST</t>
        </is>
      </c>
    </row>
    <row r="310">
      <c r="A310" s="5" t="inlineStr">
        <is>
          <t>3404</t>
        </is>
      </c>
      <c r="B310" s="5" t="inlineStr">
        <is>
          <t>Jeff Snyder</t>
        </is>
      </c>
      <c r="C310" s="5" t="inlineStr">
        <is>
          <t>VIDEOASSISTOPERATOR</t>
        </is>
      </c>
      <c r="D310" s="5" t="inlineStr">
        <is>
          <t>Local695</t>
        </is>
      </c>
      <c r="E310" s="6" t="n">
        <v>23.04</v>
      </c>
      <c r="F310" s="5" t="n"/>
      <c r="G310" s="5" t="n"/>
      <c r="H310" s="5" t="n"/>
      <c r="I310" s="5" t="n"/>
      <c r="J310" s="7">
        <f>IF(AND(N(F310)&gt;0,N(I310)&gt;0),I310-F310-IF(N(G310)&gt;0,0.5,0)-IF(N(H310)&gt;0,0.5,0),0)</f>
        <v/>
      </c>
      <c r="K310" s="5" t="n"/>
      <c r="L310" s="7">
        <f>MIN(J310,10.0)</f>
        <v/>
      </c>
      <c r="M310" s="7">
        <f>MAX(0,MIN(J310,12)-10.0)</f>
        <v/>
      </c>
      <c r="N310" s="7">
        <f>MAX(0,J310-12)</f>
        <v/>
      </c>
      <c r="O310" s="5" t="n"/>
      <c r="P310" s="6">
        <f>E310*(L310+M310*1.5+N310*2+O310*3+N(K310))</f>
        <v/>
      </c>
      <c r="Q310" s="6" t="n">
        <v>357.12</v>
      </c>
      <c r="R310" s="6">
        <f>Q310-P310</f>
        <v/>
      </c>
    </row>
    <row r="311">
      <c r="P311" s="2" t="inlineStr">
        <is>
          <t>VIDEOASSIST LABOR</t>
        </is>
      </c>
      <c r="R311" s="8">
        <f>SUM(R310:R310)</f>
        <v/>
      </c>
    </row>
    <row r="313">
      <c r="B313" s="2" t="inlineStr">
        <is>
          <t>CAPTAIN</t>
        </is>
      </c>
    </row>
    <row r="314">
      <c r="A314" s="5" t="inlineStr">
        <is>
          <t>3502</t>
        </is>
      </c>
      <c r="B314" s="5" t="inlineStr">
        <is>
          <t>Kevin Caira</t>
        </is>
      </c>
      <c r="C314" s="5" t="inlineStr">
        <is>
          <t>TRANSPOCAPTAIN(LA)</t>
        </is>
      </c>
      <c r="D314" s="5" t="inlineStr">
        <is>
          <t>Local399</t>
        </is>
      </c>
      <c r="E314" s="6" t="n">
        <v>37.21</v>
      </c>
      <c r="F314" s="5" t="n"/>
      <c r="G314" s="5" t="n"/>
      <c r="H314" s="5" t="n"/>
      <c r="I314" s="5" t="n"/>
      <c r="J314" s="7">
        <f>IF(AND(N(F314)&gt;0,N(I314)&gt;0),I314-F314-IF(N(G314)&gt;0,0.5,0)-IF(N(H314)&gt;0,0.5,0),0)</f>
        <v/>
      </c>
      <c r="K314" s="5" t="n"/>
      <c r="L314" s="7">
        <f>MIN(J314,8.0)</f>
        <v/>
      </c>
      <c r="M314" s="7">
        <f>MAX(0,MIN(J314,12)-8.0)</f>
        <v/>
      </c>
      <c r="N314" s="7">
        <f>MAX(0,J314-12)</f>
        <v/>
      </c>
      <c r="O314" s="5" t="n"/>
      <c r="P314" s="6">
        <f>E314*(L314+M314*1.5+N314*2+O314*3+N(K314))</f>
        <v/>
      </c>
      <c r="Q314" s="6" t="n">
        <v>651.17</v>
      </c>
      <c r="R314" s="6">
        <f>Q314-P314</f>
        <v/>
      </c>
    </row>
    <row r="315">
      <c r="A315" s="5" t="inlineStr">
        <is>
          <t>3502</t>
        </is>
      </c>
      <c r="B315" s="5" t="inlineStr">
        <is>
          <t>Tina Peterson</t>
        </is>
      </c>
      <c r="C315" s="5" t="inlineStr">
        <is>
          <t>CO-CAPTAIN</t>
        </is>
      </c>
      <c r="D315" s="5" t="inlineStr">
        <is>
          <t>Local399</t>
        </is>
      </c>
      <c r="E315" s="6" t="n">
        <v>37.21</v>
      </c>
      <c r="F315" s="5" t="n"/>
      <c r="G315" s="5" t="n"/>
      <c r="H315" s="5" t="n"/>
      <c r="I315" s="5" t="n"/>
      <c r="J315" s="7">
        <f>IF(AND(N(F315)&gt;0,N(I315)&gt;0),I315-F315-IF(N(G315)&gt;0,0.5,0)-IF(N(H315)&gt;0,0.5,0),0)</f>
        <v/>
      </c>
      <c r="K315" s="5" t="n"/>
      <c r="L315" s="7">
        <f>MIN(J315,8.0)</f>
        <v/>
      </c>
      <c r="M315" s="7">
        <f>MAX(0,MIN(J315,12)-8.0)</f>
        <v/>
      </c>
      <c r="N315" s="7">
        <f>MAX(0,J315-12)</f>
        <v/>
      </c>
      <c r="O315" s="5" t="n"/>
      <c r="P315" s="6">
        <f>E315*(L315+M315*1.5+N315*2+O315*3+N(K315))</f>
        <v/>
      </c>
      <c r="Q315" s="6" t="n">
        <v>576.75</v>
      </c>
      <c r="R315" s="6">
        <f>Q315-P315</f>
        <v/>
      </c>
    </row>
    <row r="316">
      <c r="P316" s="2" t="inlineStr">
        <is>
          <t>CAPTAIN LABOR</t>
        </is>
      </c>
      <c r="R316" s="8">
        <f>SUM(R314:R315)</f>
        <v/>
      </c>
    </row>
    <row r="318">
      <c r="B318" s="2" t="inlineStr">
        <is>
          <t>DRIVERS</t>
        </is>
      </c>
    </row>
    <row r="319">
      <c r="A319" s="5" t="inlineStr">
        <is>
          <t>3503</t>
        </is>
      </c>
      <c r="B319" s="5" t="inlineStr"/>
      <c r="C319" s="5" t="inlineStr">
        <is>
          <t>GRIPTRUCK 48'TRACTORTRAILERDRIVER</t>
        </is>
      </c>
      <c r="D319" s="5" t="inlineStr"/>
      <c r="E319" s="6" t="n">
        <v>32.36</v>
      </c>
      <c r="F319" s="5" t="n"/>
      <c r="G319" s="5" t="n"/>
      <c r="H319" s="5" t="n"/>
      <c r="I319" s="5" t="n"/>
      <c r="J319" s="7">
        <f>IF(AND(N(F319)&gt;0,N(I319)&gt;0),I319-F319-IF(N(G319)&gt;0,0.5,0)-IF(N(H319)&gt;0,0.5,0),0)</f>
        <v/>
      </c>
      <c r="K319" s="5" t="n"/>
      <c r="L319" s="7">
        <f>MIN(J319,8.0)</f>
        <v/>
      </c>
      <c r="M319" s="7">
        <f>MAX(0,MIN(J319,12)-8.0)</f>
        <v/>
      </c>
      <c r="N319" s="7">
        <f>MAX(0,J319-12)</f>
        <v/>
      </c>
      <c r="O319" s="5" t="n"/>
      <c r="P319" s="6">
        <f>E319*(L319+M319*1.5+N319*2+O319*3+N(K319))</f>
        <v/>
      </c>
      <c r="Q319" s="6" t="n">
        <v>501.58</v>
      </c>
      <c r="R319" s="6">
        <f>Q319-P319</f>
        <v/>
      </c>
    </row>
    <row r="320">
      <c r="A320" s="5" t="inlineStr">
        <is>
          <t>3503</t>
        </is>
      </c>
      <c r="B320" s="5" t="inlineStr">
        <is>
          <t>Donald Wilson</t>
        </is>
      </c>
      <c r="C320" s="5" t="inlineStr">
        <is>
          <t>PROP 5-TON(ENCLOSED)</t>
        </is>
      </c>
      <c r="D320" s="5" t="inlineStr"/>
      <c r="E320" s="6" t="n">
        <v>32.36</v>
      </c>
      <c r="F320" s="5" t="n"/>
      <c r="G320" s="5" t="n"/>
      <c r="H320" s="5" t="n"/>
      <c r="I320" s="5" t="n"/>
      <c r="J320" s="7">
        <f>IF(AND(N(F320)&gt;0,N(I320)&gt;0),I320-F320-IF(N(G320)&gt;0,0.5,0)-IF(N(H320)&gt;0,0.5,0),0)</f>
        <v/>
      </c>
      <c r="K320" s="5" t="n"/>
      <c r="L320" s="7">
        <f>MIN(J320,8.0)</f>
        <v/>
      </c>
      <c r="M320" s="7">
        <f>MAX(0,MIN(J320,12)-8.0)</f>
        <v/>
      </c>
      <c r="N320" s="7">
        <f>MAX(0,J320-12)</f>
        <v/>
      </c>
      <c r="O320" s="5" t="n"/>
      <c r="P320" s="6">
        <f>E320*(L320+M320*1.5+N320*2+O320*3+N(K320))</f>
        <v/>
      </c>
      <c r="Q320" s="6" t="n">
        <v>501.58</v>
      </c>
      <c r="R320" s="6">
        <f>Q320-P320</f>
        <v/>
      </c>
    </row>
    <row r="321">
      <c r="A321" s="5" t="inlineStr">
        <is>
          <t>3503</t>
        </is>
      </c>
      <c r="B321" s="5" t="inlineStr"/>
      <c r="C321" s="5" t="inlineStr">
        <is>
          <t>WARDROBESTAKEBEDDRIVER#1</t>
        </is>
      </c>
      <c r="D321" s="5" t="inlineStr"/>
      <c r="E321" s="6" t="n">
        <v>37.99</v>
      </c>
      <c r="F321" s="5" t="n"/>
      <c r="G321" s="5" t="n"/>
      <c r="H321" s="5" t="n"/>
      <c r="I321" s="5" t="n"/>
      <c r="J321" s="7">
        <f>IF(AND(N(F321)&gt;0,N(I321)&gt;0),I321-F321-IF(N(G321)&gt;0,0.5,0)-IF(N(H321)&gt;0,0.5,0),0)</f>
        <v/>
      </c>
      <c r="K321" s="5" t="n"/>
      <c r="L321" s="7">
        <f>MIN(J321,8.0)</f>
        <v/>
      </c>
      <c r="M321" s="7">
        <f>MAX(0,MIN(J321,12)-8.0)</f>
        <v/>
      </c>
      <c r="N321" s="7">
        <f>MAX(0,J321-12)</f>
        <v/>
      </c>
      <c r="O321" s="5" t="n"/>
      <c r="P321" s="6">
        <f>E321*(L321+M321*1.5+N321*2+O321*3+N(K321))</f>
        <v/>
      </c>
      <c r="Q321" s="6" t="n">
        <v>588.85</v>
      </c>
      <c r="R321" s="6">
        <f>Q321-P321</f>
        <v/>
      </c>
    </row>
    <row r="322">
      <c r="A322" s="5" t="inlineStr">
        <is>
          <t>3503</t>
        </is>
      </c>
      <c r="B322" s="5" t="inlineStr"/>
      <c r="C322" s="5" t="inlineStr">
        <is>
          <t>MAKEUPHAIRTRAILERDRIVER</t>
        </is>
      </c>
      <c r="D322" s="5" t="inlineStr"/>
      <c r="E322" s="6" t="n">
        <v>32.36</v>
      </c>
      <c r="F322" s="5" t="n"/>
      <c r="G322" s="5" t="n"/>
      <c r="H322" s="5" t="n"/>
      <c r="I322" s="5" t="n"/>
      <c r="J322" s="7">
        <f>IF(AND(N(F322)&gt;0,N(I322)&gt;0),I322-F322-IF(N(G322)&gt;0,0.5,0)-IF(N(H322)&gt;0,0.5,0),0)</f>
        <v/>
      </c>
      <c r="K322" s="5" t="n"/>
      <c r="L322" s="7">
        <f>MIN(J322,8.0)</f>
        <v/>
      </c>
      <c r="M322" s="7">
        <f>MAX(0,MIN(J322,12)-8.0)</f>
        <v/>
      </c>
      <c r="N322" s="7">
        <f>MAX(0,J322-12)</f>
        <v/>
      </c>
      <c r="O322" s="5" t="n"/>
      <c r="P322" s="6">
        <f>E322*(L322+M322*1.5+N322*2+O322*3+N(K322))</f>
        <v/>
      </c>
      <c r="Q322" s="6" t="n">
        <v>501.58</v>
      </c>
      <c r="R322" s="6">
        <f>Q322-P322</f>
        <v/>
      </c>
    </row>
    <row r="323">
      <c r="A323" s="5" t="inlineStr">
        <is>
          <t>3503</t>
        </is>
      </c>
      <c r="B323" s="5" t="inlineStr"/>
      <c r="C323" s="5" t="inlineStr">
        <is>
          <t>ELECTRIC 10TONDRIVER(GENIEOPERATOR)</t>
        </is>
      </c>
      <c r="D323" s="5" t="inlineStr"/>
      <c r="E323" s="6" t="n">
        <v>37.99</v>
      </c>
      <c r="F323" s="5" t="n"/>
      <c r="G323" s="5" t="n"/>
      <c r="H323" s="5" t="n"/>
      <c r="I323" s="5" t="n"/>
      <c r="J323" s="7">
        <f>IF(AND(N(F323)&gt;0,N(I323)&gt;0),I323-F323-IF(N(G323)&gt;0,0.5,0)-IF(N(H323)&gt;0,0.5,0),0)</f>
        <v/>
      </c>
      <c r="K323" s="5" t="n"/>
      <c r="L323" s="7">
        <f>MIN(J323,8.0)</f>
        <v/>
      </c>
      <c r="M323" s="7">
        <f>MAX(0,MIN(J323,12)-8.0)</f>
        <v/>
      </c>
      <c r="N323" s="7">
        <f>MAX(0,J323-12)</f>
        <v/>
      </c>
      <c r="O323" s="5" t="n"/>
      <c r="P323" s="6">
        <f>E323*(L323+M323*1.5+N323*2+O323*3+N(K323))</f>
        <v/>
      </c>
      <c r="Q323" s="6" t="n">
        <v>588.85</v>
      </c>
      <c r="R323" s="6">
        <f>Q323-P323</f>
        <v/>
      </c>
    </row>
    <row r="324">
      <c r="A324" s="5" t="inlineStr">
        <is>
          <t>3503</t>
        </is>
      </c>
      <c r="B324" s="5" t="inlineStr"/>
      <c r="C324" s="5" t="inlineStr">
        <is>
          <t>SOUNDCCSTAKEBEDFUELTRUCKDRIVER</t>
        </is>
      </c>
      <c r="D324" s="5" t="inlineStr"/>
      <c r="E324" s="6" t="n">
        <v>32.36</v>
      </c>
      <c r="F324" s="5" t="n"/>
      <c r="G324" s="5" t="n"/>
      <c r="H324" s="5" t="n"/>
      <c r="I324" s="5" t="n"/>
      <c r="J324" s="7">
        <f>IF(AND(N(F324)&gt;0,N(I324)&gt;0),I324-F324-IF(N(G324)&gt;0,0.5,0)-IF(N(H324)&gt;0,0.5,0),0)</f>
        <v/>
      </c>
      <c r="K324" s="5" t="n"/>
      <c r="L324" s="7">
        <f>MIN(J324,8.0)</f>
        <v/>
      </c>
      <c r="M324" s="7">
        <f>MAX(0,MIN(J324,12)-8.0)</f>
        <v/>
      </c>
      <c r="N324" s="7">
        <f>MAX(0,J324-12)</f>
        <v/>
      </c>
      <c r="O324" s="5" t="n"/>
      <c r="P324" s="6">
        <f>E324*(L324+M324*1.5+N324*2+O324*3+N(K324))</f>
        <v/>
      </c>
      <c r="Q324" s="6" t="n">
        <v>501.58</v>
      </c>
      <c r="R324" s="6">
        <f>Q324-P324</f>
        <v/>
      </c>
    </row>
    <row r="325">
      <c r="A325" s="5" t="inlineStr">
        <is>
          <t>3503</t>
        </is>
      </c>
      <c r="B325" s="5" t="inlineStr"/>
      <c r="C325" s="5" t="inlineStr">
        <is>
          <t>9-ROOMHONEYWAGONTRACTORDRIVER</t>
        </is>
      </c>
      <c r="D325" s="5" t="inlineStr"/>
      <c r="E325" s="6" t="n">
        <v>32.36</v>
      </c>
      <c r="F325" s="5" t="n"/>
      <c r="G325" s="5" t="n"/>
      <c r="H325" s="5" t="n"/>
      <c r="I325" s="5" t="n"/>
      <c r="J325" s="7">
        <f>IF(AND(N(F325)&gt;0,N(I325)&gt;0),I325-F325-IF(N(G325)&gt;0,0.5,0)-IF(N(H325)&gt;0,0.5,0),0)</f>
        <v/>
      </c>
      <c r="K325" s="5" t="n"/>
      <c r="L325" s="7">
        <f>MIN(J325,8.0)</f>
        <v/>
      </c>
      <c r="M325" s="7">
        <f>MAX(0,MIN(J325,12)-8.0)</f>
        <v/>
      </c>
      <c r="N325" s="7">
        <f>MAX(0,J325-12)</f>
        <v/>
      </c>
      <c r="O325" s="5" t="n"/>
      <c r="P325" s="6">
        <f>E325*(L325+M325*1.5+N325*2+O325*3+N(K325))</f>
        <v/>
      </c>
      <c r="Q325" s="6" t="n">
        <v>501.58</v>
      </c>
      <c r="R325" s="6">
        <f>Q325-P325</f>
        <v/>
      </c>
    </row>
    <row r="326">
      <c r="A326" s="5" t="inlineStr">
        <is>
          <t>3503</t>
        </is>
      </c>
      <c r="B326" s="5" t="inlineStr"/>
      <c r="C326" s="5" t="inlineStr">
        <is>
          <t>FORDTRANSITVANDRIVER#1</t>
        </is>
      </c>
      <c r="D326" s="5" t="inlineStr"/>
      <c r="E326" s="6" t="n">
        <v>32.36</v>
      </c>
      <c r="F326" s="5" t="n"/>
      <c r="G326" s="5" t="n"/>
      <c r="H326" s="5" t="n"/>
      <c r="I326" s="5" t="n"/>
      <c r="J326" s="7">
        <f>IF(AND(N(F326)&gt;0,N(I326)&gt;0),I326-F326-IF(N(G326)&gt;0,0.5,0)-IF(N(H326)&gt;0,0.5,0),0)</f>
        <v/>
      </c>
      <c r="K326" s="5" t="n"/>
      <c r="L326" s="7">
        <f>MIN(J326,8.0)</f>
        <v/>
      </c>
      <c r="M326" s="7">
        <f>MAX(0,MIN(J326,12)-8.0)</f>
        <v/>
      </c>
      <c r="N326" s="7">
        <f>MAX(0,J326-12)</f>
        <v/>
      </c>
      <c r="O326" s="5" t="n"/>
      <c r="P326" s="6">
        <f>E326*(L326+M326*1.5+N326*2+O326*3+N(K326))</f>
        <v/>
      </c>
      <c r="Q326" s="6" t="n">
        <v>501.58</v>
      </c>
      <c r="R326" s="6">
        <f>Q326-P326</f>
        <v/>
      </c>
    </row>
    <row r="327">
      <c r="A327" s="5" t="inlineStr">
        <is>
          <t>3503</t>
        </is>
      </c>
      <c r="B327" s="5" t="inlineStr">
        <is>
          <t>Kaiser Clark</t>
        </is>
      </c>
      <c r="C327" s="5" t="inlineStr">
        <is>
          <t>CSETDECTRUCKDRIVER#1</t>
        </is>
      </c>
      <c r="D327" s="5" t="inlineStr"/>
      <c r="E327" s="6" t="n">
        <v>32.36</v>
      </c>
      <c r="F327" s="5" t="n"/>
      <c r="G327" s="5" t="n"/>
      <c r="H327" s="5" t="n"/>
      <c r="I327" s="5" t="n"/>
      <c r="J327" s="7">
        <f>IF(AND(N(F327)&gt;0,N(I327)&gt;0),I327-F327-IF(N(G327)&gt;0,0.5,0)-IF(N(H327)&gt;0,0.5,0),0)</f>
        <v/>
      </c>
      <c r="K327" s="5" t="n"/>
      <c r="L327" s="7">
        <f>MIN(J327,8.0)</f>
        <v/>
      </c>
      <c r="M327" s="7">
        <f>MAX(0,MIN(J327,12)-8.0)</f>
        <v/>
      </c>
      <c r="N327" s="7">
        <f>MAX(0,J327-12)</f>
        <v/>
      </c>
      <c r="O327" s="5" t="n"/>
      <c r="P327" s="6">
        <f>E327*(L327+M327*1.5+N327*2+O327*3+N(K327))</f>
        <v/>
      </c>
      <c r="Q327" s="6" t="n">
        <v>501.58</v>
      </c>
      <c r="R327" s="6">
        <f>Q327-P327</f>
        <v/>
      </c>
    </row>
    <row r="328">
      <c r="A328" s="5" t="inlineStr">
        <is>
          <t>3503</t>
        </is>
      </c>
      <c r="B328" s="5" t="inlineStr"/>
      <c r="C328" s="5" t="inlineStr">
        <is>
          <t>C 5-TONENCLOSEDRIGGINGGRIPDRIVER</t>
        </is>
      </c>
      <c r="D328" s="5" t="inlineStr"/>
      <c r="E328" s="6" t="n">
        <v>32.36</v>
      </c>
      <c r="F328" s="5" t="n"/>
      <c r="G328" s="5" t="n"/>
      <c r="H328" s="5" t="n"/>
      <c r="I328" s="5" t="n"/>
      <c r="J328" s="7">
        <f>IF(AND(N(F328)&gt;0,N(I328)&gt;0),I328-F328-IF(N(G328)&gt;0,0.5,0)-IF(N(H328)&gt;0,0.5,0),0)</f>
        <v/>
      </c>
      <c r="K328" s="5" t="n"/>
      <c r="L328" s="7">
        <f>MIN(J328,8.0)</f>
        <v/>
      </c>
      <c r="M328" s="7">
        <f>MAX(0,MIN(J328,12)-8.0)</f>
        <v/>
      </c>
      <c r="N328" s="7">
        <f>MAX(0,J328-12)</f>
        <v/>
      </c>
      <c r="O328" s="5" t="n"/>
      <c r="P328" s="6">
        <f>E328*(L328+M328*1.5+N328*2+O328*3+N(K328))</f>
        <v/>
      </c>
      <c r="Q328" s="5" t="n"/>
      <c r="R328" s="6">
        <f>Q328-P328</f>
        <v/>
      </c>
    </row>
    <row r="329">
      <c r="A329" s="5" t="inlineStr">
        <is>
          <t>3503</t>
        </is>
      </c>
      <c r="B329" s="5" t="inlineStr"/>
      <c r="C329" s="5" t="inlineStr">
        <is>
          <t>SCOUTBUS</t>
        </is>
      </c>
      <c r="D329" s="5" t="inlineStr"/>
      <c r="E329" s="6" t="n">
        <v>32.36</v>
      </c>
      <c r="F329" s="5" t="n"/>
      <c r="G329" s="5" t="n"/>
      <c r="H329" s="5" t="n"/>
      <c r="I329" s="5" t="n"/>
      <c r="J329" s="7">
        <f>IF(AND(N(F329)&gt;0,N(I329)&gt;0),I329-F329-IF(N(G329)&gt;0,0.5,0)-IF(N(H329)&gt;0,0.5,0),0)</f>
        <v/>
      </c>
      <c r="K329" s="5" t="n"/>
      <c r="L329" s="7">
        <f>MIN(J329,8.0)</f>
        <v/>
      </c>
      <c r="M329" s="7">
        <f>MAX(0,MIN(J329,12)-8.0)</f>
        <v/>
      </c>
      <c r="N329" s="7">
        <f>MAX(0,J329-12)</f>
        <v/>
      </c>
      <c r="O329" s="5" t="n"/>
      <c r="P329" s="6">
        <f>E329*(L329+M329*1.5+N329*2+O329*3+N(K329))</f>
        <v/>
      </c>
      <c r="Q329" s="5" t="n"/>
      <c r="R329" s="6">
        <f>Q329-P329</f>
        <v/>
      </c>
    </row>
    <row r="330">
      <c r="A330" s="5" t="inlineStr">
        <is>
          <t>3503</t>
        </is>
      </c>
      <c r="B330" s="5" t="inlineStr"/>
      <c r="C330" s="5" t="inlineStr">
        <is>
          <t>DRIVERMANDAYS</t>
        </is>
      </c>
      <c r="D330" s="5" t="inlineStr"/>
      <c r="E330" s="6" t="n">
        <v>32.36</v>
      </c>
      <c r="F330" s="5" t="n"/>
      <c r="G330" s="5" t="n"/>
      <c r="H330" s="5" t="n"/>
      <c r="I330" s="5" t="n"/>
      <c r="J330" s="7">
        <f>IF(AND(N(F330)&gt;0,N(I330)&gt;0),I330-F330-IF(N(G330)&gt;0,0.5,0)-IF(N(H330)&gt;0,0.5,0),0)</f>
        <v/>
      </c>
      <c r="K330" s="5" t="n"/>
      <c r="L330" s="7">
        <f>MIN(J330,8.0)</f>
        <v/>
      </c>
      <c r="M330" s="7">
        <f>MAX(0,MIN(J330,12)-8.0)</f>
        <v/>
      </c>
      <c r="N330" s="7">
        <f>MAX(0,J330-12)</f>
        <v/>
      </c>
      <c r="O330" s="5" t="n"/>
      <c r="P330" s="6">
        <f>E330*(L330+M330*1.5+N330*2+O330*3+N(K330))</f>
        <v/>
      </c>
      <c r="Q330" s="5" t="n"/>
      <c r="R330" s="6">
        <f>Q330-P330</f>
        <v/>
      </c>
    </row>
    <row r="331">
      <c r="P331" s="2" t="inlineStr">
        <is>
          <t>DRIVERS LABOR</t>
        </is>
      </c>
      <c r="R331" s="8">
        <f>SUM(R319:R330)</f>
        <v/>
      </c>
    </row>
    <row r="333">
      <c r="B333" s="2" t="inlineStr">
        <is>
          <t>LOCATIONSITEFEES</t>
        </is>
      </c>
    </row>
    <row r="334">
      <c r="A334" s="5" t="inlineStr">
        <is>
          <t>3607</t>
        </is>
      </c>
      <c r="B334" s="5" t="inlineStr"/>
      <c r="C334" s="5" t="inlineStr">
        <is>
          <t>Location#1(Hospital ER, LACountry Childrens Shelter, Shelter Dorm, Dept...</t>
        </is>
      </c>
      <c r="D334" s="5" t="inlineStr">
        <is>
          <t>Local400</t>
        </is>
      </c>
      <c r="E334" s="6" t="n">
        <v>50000</v>
      </c>
      <c r="F334" s="5" t="n"/>
      <c r="G334" s="5" t="n"/>
      <c r="H334" s="5" t="n"/>
      <c r="I334" s="5" t="n"/>
      <c r="J334" s="7">
        <f>IF(AND(N(F334)&gt;0,N(I334)&gt;0),I334-F334-IF(N(G334)&gt;0,0.5,0)-IF(N(H334)&gt;0,0.5,0),0)</f>
        <v/>
      </c>
      <c r="K334" s="5" t="n"/>
      <c r="L334" s="7">
        <f>MIN(J334,8.0)</f>
        <v/>
      </c>
      <c r="M334" s="7">
        <f>MAX(0,MIN(J334,12)-8.0)</f>
        <v/>
      </c>
      <c r="N334" s="7">
        <f>MAX(0,J334-12)</f>
        <v/>
      </c>
      <c r="O334" s="5" t="n"/>
      <c r="P334" s="6">
        <f>E334*(L334+M334*1.5+N334*2+O334*3+N(K334))</f>
        <v/>
      </c>
      <c r="Q334" s="6" t="n">
        <v>50000</v>
      </c>
      <c r="R334" s="6">
        <f>Q334-P334</f>
        <v/>
      </c>
    </row>
    <row r="335">
      <c r="P335" s="2" t="inlineStr">
        <is>
          <t>LOCATIONSITEFEES LABOR</t>
        </is>
      </c>
      <c r="R335" s="8">
        <f>SUM(R334:R334)</f>
        <v/>
      </c>
    </row>
    <row r="337">
      <c r="B337" s="2" t="inlineStr">
        <is>
          <t>CATERINGLABOR</t>
        </is>
      </c>
    </row>
    <row r="338">
      <c r="A338" s="5" t="inlineStr">
        <is>
          <t>3621</t>
        </is>
      </c>
      <c r="B338" s="5" t="inlineStr"/>
      <c r="C338" s="5" t="inlineStr">
        <is>
          <t>COOKDRIVER#1</t>
        </is>
      </c>
      <c r="D338" s="5" t="inlineStr">
        <is>
          <t>Local399</t>
        </is>
      </c>
      <c r="E338" s="6" t="n">
        <v>32.36</v>
      </c>
      <c r="F338" s="5" t="n"/>
      <c r="G338" s="5" t="n"/>
      <c r="H338" s="5" t="n"/>
      <c r="I338" s="5" t="n"/>
      <c r="J338" s="7">
        <f>IF(AND(N(F338)&gt;0,N(I338)&gt;0),I338-F338-IF(N(G338)&gt;0,0.5,0)-IF(N(H338)&gt;0,0.5,0),0)</f>
        <v/>
      </c>
      <c r="K338" s="5" t="n"/>
      <c r="L338" s="7">
        <f>MIN(J338,8.0)</f>
        <v/>
      </c>
      <c r="M338" s="7">
        <f>MAX(0,MIN(J338,12)-8.0)</f>
        <v/>
      </c>
      <c r="N338" s="7">
        <f>MAX(0,J338-12)</f>
        <v/>
      </c>
      <c r="O338" s="5" t="n"/>
      <c r="P338" s="6">
        <f>E338*(L338+M338*1.5+N338*2+O338*3+N(K338))</f>
        <v/>
      </c>
      <c r="Q338" s="6" t="n">
        <v>647.2</v>
      </c>
      <c r="R338" s="6">
        <f>Q338-P338</f>
        <v/>
      </c>
    </row>
    <row r="339">
      <c r="A339" s="5" t="inlineStr">
        <is>
          <t>3621</t>
        </is>
      </c>
      <c r="B339" s="5" t="inlineStr"/>
      <c r="C339" s="5" t="inlineStr">
        <is>
          <t>1STASSTCATERER#1</t>
        </is>
      </c>
      <c r="D339" s="5" t="inlineStr"/>
      <c r="E339" s="6" t="n">
        <v>17</v>
      </c>
      <c r="F339" s="5" t="n"/>
      <c r="G339" s="5" t="n"/>
      <c r="H339" s="5" t="n"/>
      <c r="I339" s="5" t="n"/>
      <c r="J339" s="7">
        <f>IF(AND(N(F339)&gt;0,N(I339)&gt;0),I339-F339-IF(N(G339)&gt;0,0.5,0)-IF(N(H339)&gt;0,0.5,0),0)</f>
        <v/>
      </c>
      <c r="K339" s="5" t="n"/>
      <c r="L339" s="7">
        <f>MIN(J339,8.0)</f>
        <v/>
      </c>
      <c r="M339" s="7">
        <f>MAX(0,MIN(J339,12)-8.0)</f>
        <v/>
      </c>
      <c r="N339" s="7">
        <f>MAX(0,J339-12)</f>
        <v/>
      </c>
      <c r="O339" s="5" t="n"/>
      <c r="P339" s="6">
        <f>E339*(L339+M339*1.5+N339*2+O339*3+N(K339))</f>
        <v/>
      </c>
      <c r="Q339" s="6" t="n">
        <v>340</v>
      </c>
      <c r="R339" s="6">
        <f>Q339-P339</f>
        <v/>
      </c>
    </row>
    <row r="340">
      <c r="A340" s="5" t="inlineStr">
        <is>
          <t>3621</t>
        </is>
      </c>
      <c r="B340" s="5" t="inlineStr"/>
      <c r="C340" s="5" t="inlineStr">
        <is>
          <t>1STASSTCATERER#2</t>
        </is>
      </c>
      <c r="D340" s="5" t="inlineStr"/>
      <c r="E340" s="6" t="n">
        <v>16</v>
      </c>
      <c r="F340" s="5" t="n"/>
      <c r="G340" s="5" t="n"/>
      <c r="H340" s="5" t="n"/>
      <c r="I340" s="5" t="n"/>
      <c r="J340" s="7">
        <f>IF(AND(N(F340)&gt;0,N(I340)&gt;0),I340-F340-IF(N(G340)&gt;0,0.5,0)-IF(N(H340)&gt;0,0.5,0),0)</f>
        <v/>
      </c>
      <c r="K340" s="5" t="n"/>
      <c r="L340" s="7">
        <f>MIN(J340,8.0)</f>
        <v/>
      </c>
      <c r="M340" s="7">
        <f>MAX(0,MIN(J340,12)-8.0)</f>
        <v/>
      </c>
      <c r="N340" s="7">
        <f>MAX(0,J340-12)</f>
        <v/>
      </c>
      <c r="O340" s="5" t="n"/>
      <c r="P340" s="6">
        <f>E340*(L340+M340*1.5+N340*2+O340*3+N(K340))</f>
        <v/>
      </c>
      <c r="Q340" s="6" t="n">
        <v>320</v>
      </c>
      <c r="R340" s="6">
        <f>Q340-P340</f>
        <v/>
      </c>
    </row>
    <row r="341">
      <c r="P341" s="2" t="inlineStr">
        <is>
          <t>CATERINGLABOR LABOR</t>
        </is>
      </c>
      <c r="R341" s="8">
        <f>SUM(R338:R340)</f>
        <v/>
      </c>
    </row>
    <row r="343">
      <c r="K343" s="9" t="inlineStr">
        <is>
          <t>TOTAL</t>
        </is>
      </c>
      <c r="P343" s="9" t="inlineStr">
        <is>
          <t>ACTUAL</t>
        </is>
      </c>
      <c r="Q343" s="9" t="inlineStr">
        <is>
          <t>BUDGET</t>
        </is>
      </c>
      <c r="R343" s="9" t="inlineStr">
        <is>
          <t>TOTAL VAR</t>
        </is>
      </c>
    </row>
    <row r="344">
      <c r="P344" s="9" t="inlineStr">
        <is>
          <t>DAY COST</t>
        </is>
      </c>
      <c r="Q344" s="9" t="inlineStr">
        <is>
          <t>DY COST</t>
        </is>
      </c>
      <c r="R344" s="9" t="inlineStr">
        <is>
          <t>(OVER) / UNDER</t>
        </is>
      </c>
    </row>
    <row r="345">
      <c r="P345" s="10">
        <f>SUM(P6:P6)+SUM(P10:P11)+SUM(P15:P17)+SUM(P21:P22)+SUM(P26:P32)+SUM(P36:P36)+SUM(P40:P41)+SUM(P45:P45)+SUM(P49:P49)+SUM(P53:P54)+SUM(P58:P58)+SUM(P62:P62)+SUM(P66:P67)+SUM(P71:P71)+SUM(P75:P75)+SUM(P79:P80)+SUM(P84:P84)+SUM(P88:P88)+SUM(P92:P93)+SUM(P97:P100)+SUM(P104:P104)+SUM(P108:P109)+SUM(P113:P113)+SUM(P117:P117)+SUM(P121:P121)+SUM(P125:P125)+SUM(P129:P130)+SUM(P134:P134)+SUM(P138:P139)+SUM(P143:P145)+SUM(P149:P149)+SUM(P153:P153)+SUM(P157:P158)+SUM(P162:P163)+SUM(P167:P167)+SUM(P171:P173)+SUM(P177:P177)+SUM(P181:P181)+SUM(P185:P187)+SUM(P191:P191)+SUM(P195:P195)+SUM(P199:P199)+SUM(P203:P203)+SUM(P207:P207)+SUM(P211:P211)+SUM(P215:P216)+SUM(P220:P220)+SUM(P224:P224)+SUM(P228:P228)+SUM(P232:P233)+SUM(P237:P237)+SUM(P241:P241)+SUM(P245:P245)+SUM(P249:P249)+SUM(P253:P254)+SUM(P258:P260)+SUM(P264:P264)+SUM(P268:P268)+SUM(P272:P272)+SUM(P276:P276)+SUM(P280:P281)+SUM(P285:P286)+SUM(P290:P290)+SUM(P294:P294)+SUM(P298:P298)+SUM(P302:P302)+SUM(P306:P306)+SUM(P310:P310)+SUM(P314:P315)+SUM(P319:P330)+SUM(P334:P334)+SUM(P338:P340)</f>
        <v/>
      </c>
      <c r="Q345" s="10">
        <f>SUM(Q6:Q6)+SUM(Q10:Q11)+SUM(Q15:Q17)+SUM(Q21:Q22)+SUM(Q26:Q32)+SUM(Q36:Q36)+SUM(Q40:Q41)+SUM(Q45:Q45)+SUM(Q49:Q49)+SUM(Q53:Q54)+SUM(Q58:Q58)+SUM(Q62:Q62)+SUM(Q66:Q67)+SUM(Q71:Q71)+SUM(Q75:Q75)+SUM(Q79:Q80)+SUM(Q84:Q84)+SUM(Q88:Q88)+SUM(Q92:Q93)+SUM(Q97:Q100)+SUM(Q104:Q104)+SUM(Q108:Q109)+SUM(Q113:Q113)+SUM(Q117:Q117)+SUM(Q121:Q121)+SUM(Q125:Q125)+SUM(Q129:Q130)+SUM(Q134:Q134)+SUM(Q138:Q139)+SUM(Q143:Q145)+SUM(Q149:Q149)+SUM(Q153:Q153)+SUM(Q157:Q158)+SUM(Q162:Q163)+SUM(Q167:Q167)+SUM(Q171:Q173)+SUM(Q177:Q177)+SUM(Q181:Q181)+SUM(Q185:Q187)+SUM(Q191:Q191)+SUM(Q195:Q195)+SUM(Q199:Q199)+SUM(Q203:Q203)+SUM(Q207:Q207)+SUM(Q211:Q211)+SUM(Q215:Q216)+SUM(Q220:Q220)+SUM(Q224:Q224)+SUM(Q228:Q228)+SUM(Q232:Q233)+SUM(Q237:Q237)+SUM(Q241:Q241)+SUM(Q245:Q245)+SUM(Q249:Q249)+SUM(Q253:Q254)+SUM(Q258:Q260)+SUM(Q264:Q264)+SUM(Q268:Q268)+SUM(Q272:Q272)+SUM(Q276:Q276)+SUM(Q280:Q281)+SUM(Q285:Q286)+SUM(Q290:Q290)+SUM(Q294:Q294)+SUM(Q298:Q298)+SUM(Q302:Q302)+SUM(Q306:Q306)+SUM(Q310:Q310)+SUM(Q314:Q315)+SUM(Q319:Q330)+SUM(Q334:Q334)+SUM(Q338:Q340)</f>
        <v/>
      </c>
      <c r="R345" s="10">
        <f>SUM(R6:R6)+SUM(R10:R11)+SUM(R15:R17)+SUM(R21:R22)+SUM(R26:R32)+SUM(R36:R36)+SUM(R40:R41)+SUM(R45:R45)+SUM(R49:R49)+SUM(R53:R54)+SUM(R58:R58)+SUM(R62:R62)+SUM(R66:R67)+SUM(R71:R71)+SUM(R75:R75)+SUM(R79:R80)+SUM(R84:R84)+SUM(R88:R88)+SUM(R92:R93)+SUM(R97:R100)+SUM(R104:R104)+SUM(R108:R109)+SUM(R113:R113)+SUM(R117:R117)+SUM(R121:R121)+SUM(R125:R125)+SUM(R129:R130)+SUM(R134:R134)+SUM(R138:R139)+SUM(R143:R145)+SUM(R149:R149)+SUM(R153:R153)+SUM(R157:R158)+SUM(R162:R163)+SUM(R167:R167)+SUM(R171:R173)+SUM(R177:R177)+SUM(R181:R181)+SUM(R185:R187)+SUM(R191:R191)+SUM(R195:R195)+SUM(R199:R199)+SUM(R203:R203)+SUM(R207:R207)+SUM(R211:R211)+SUM(R215:R216)+SUM(R220:R220)+SUM(R224:R224)+SUM(R228:R228)+SUM(R232:R233)+SUM(R237:R237)+SUM(R241:R241)+SUM(R245:R245)+SUM(R249:R249)+SUM(R253:R254)+SUM(R258:R260)+SUM(R264:R264)+SUM(R268:R268)+SUM(R272:R272)+SUM(R276:R276)+SUM(R280:R281)+SUM(R285:R286)+SUM(R290:R290)+SUM(R294:R294)+SUM(R298:R298)+SUM(R302:R302)+SUM(R306:R306)+SUM(R310:R310)+SUM(R314:R315)+SUM(R319:R330)+SUM(R334:R334)+SUM(R338:R340)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R34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20" customWidth="1" min="3" max="3"/>
    <col width="9" customWidth="1" min="4" max="4"/>
    <col width="9" customWidth="1" min="5" max="5"/>
    <col width="7" customWidth="1" min="6" max="6"/>
    <col width="7" customWidth="1" min="7" max="7"/>
    <col width="8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12" customWidth="1" min="16" max="16"/>
    <col width="13" customWidth="1" min="17" max="17"/>
    <col width="14" customWidth="1" min="18" max="18"/>
  </cols>
  <sheetData>
    <row r="1">
      <c r="A1" s="1" t="inlineStr">
        <is>
          <t>HOT COST</t>
        </is>
      </c>
      <c r="C1" t="inlineStr">
        <is>
          <t>Tuesday 14 Nov 2017</t>
        </is>
      </c>
      <c r="F1" s="2" t="inlineStr">
        <is>
          <t>DAY #22</t>
        </is>
      </c>
    </row>
    <row r="2">
      <c r="A2" s="3" t="inlineStr">
        <is>
          <t>enter CALL, LUNCH, WRAP as decimal hours (e.g. 7.5) — everything right of WRAP computes</t>
        </is>
      </c>
    </row>
    <row r="4">
      <c r="A4" s="4" t="inlineStr">
        <is>
          <t>ACCT</t>
        </is>
      </c>
      <c r="B4" s="4" t="inlineStr">
        <is>
          <t>NAME</t>
        </is>
      </c>
      <c r="C4" s="4" t="inlineStr">
        <is>
          <t>POSITION</t>
        </is>
      </c>
      <c r="D4" s="4" t="inlineStr">
        <is>
          <t>UNION</t>
        </is>
      </c>
      <c r="E4" s="4" t="inlineStr">
        <is>
          <t>RATE</t>
        </is>
      </c>
      <c r="F4" s="4" t="inlineStr">
        <is>
          <t>CALL</t>
        </is>
      </c>
      <c r="G4" s="4" t="inlineStr">
        <is>
          <t>LUNCH</t>
        </is>
      </c>
      <c r="H4" s="4" t="inlineStr">
        <is>
          <t>LUNCH 2</t>
        </is>
      </c>
      <c r="I4" s="4" t="inlineStr">
        <is>
          <t>WRAP</t>
        </is>
      </c>
      <c r="J4" s="4" t="inlineStr">
        <is>
          <t>HRS</t>
        </is>
      </c>
      <c r="K4" s="4" t="inlineStr">
        <is>
          <t>MP'S</t>
        </is>
      </c>
      <c r="L4" s="4" t="inlineStr">
        <is>
          <t>ST</t>
        </is>
      </c>
      <c r="M4" s="4" t="inlineStr">
        <is>
          <t>1.5X</t>
        </is>
      </c>
      <c r="N4" s="4" t="inlineStr">
        <is>
          <t>2X</t>
        </is>
      </c>
      <c r="O4" s="4" t="inlineStr">
        <is>
          <t>3X</t>
        </is>
      </c>
      <c r="P4" s="4" t="inlineStr">
        <is>
          <t>TOTAL / DAY</t>
        </is>
      </c>
      <c r="Q4" s="4" t="inlineStr">
        <is>
          <t>BUDGET / DAY</t>
        </is>
      </c>
      <c r="R4" s="4" t="inlineStr">
        <is>
          <t>(OVER) / UNDER</t>
        </is>
      </c>
    </row>
    <row r="5">
      <c r="B5" s="2" t="inlineStr">
        <is>
          <t>LEAD#</t>
        </is>
      </c>
    </row>
    <row r="6">
      <c r="A6" s="5" t="inlineStr">
        <is>
          <t>1401</t>
        </is>
      </c>
      <c r="B6" s="5" t="inlineStr">
        <is>
          <t>Linda Cardellini</t>
        </is>
      </c>
      <c r="C6" s="5" t="inlineStr">
        <is>
          <t>"ANNA"</t>
        </is>
      </c>
      <c r="D6" s="5" t="inlineStr"/>
      <c r="E6" s="6" t="n">
        <v>1211.8</v>
      </c>
      <c r="F6" s="5" t="n"/>
      <c r="G6" s="5" t="n"/>
      <c r="H6" s="5" t="n"/>
      <c r="I6" s="5" t="n"/>
      <c r="J6" s="7">
        <f>IF(AND(N(F6)&gt;0,N(I6)&gt;0),I6-F6-IF(N(G6)&gt;0,0.5,0)-IF(N(H6)&gt;0,0.5,0),0)</f>
        <v/>
      </c>
      <c r="K6" s="5" t="n"/>
      <c r="L6" s="7">
        <f>MIN(J6,8.0)</f>
        <v/>
      </c>
      <c r="M6" s="7">
        <f>MAX(0,MIN(J6,12)-8.0)</f>
        <v/>
      </c>
      <c r="N6" s="7">
        <f>MAX(0,J6-12)</f>
        <v/>
      </c>
      <c r="O6" s="5" t="n"/>
      <c r="P6" s="6">
        <f>E6*(L6+M6*1.5+N6*2+O6*3+N(K6))</f>
        <v/>
      </c>
      <c r="Q6" s="6" t="n">
        <v>1211.8</v>
      </c>
      <c r="R6" s="6">
        <f>Q6-P6</f>
        <v/>
      </c>
    </row>
    <row r="7">
      <c r="P7" s="2" t="inlineStr">
        <is>
          <t>LEAD# LABOR</t>
        </is>
      </c>
      <c r="R7" s="8">
        <f>SUM(R6:R6)</f>
        <v/>
      </c>
    </row>
    <row r="9">
      <c r="B9" s="2" t="inlineStr">
        <is>
          <t>LEAD#2&amp;#</t>
        </is>
      </c>
    </row>
    <row r="10">
      <c r="A10" s="5" t="inlineStr">
        <is>
          <t>1402</t>
        </is>
      </c>
      <c r="B10" s="5" t="inlineStr">
        <is>
          <t>Roman Christou</t>
        </is>
      </c>
      <c r="C10" s="5" t="inlineStr">
        <is>
          <t>"CHRIS"(Minor)</t>
        </is>
      </c>
      <c r="D10" s="5" t="inlineStr"/>
      <c r="E10" s="6" t="n">
        <v>755.4</v>
      </c>
      <c r="F10" s="5" t="n"/>
      <c r="G10" s="5" t="n"/>
      <c r="H10" s="5" t="n"/>
      <c r="I10" s="5" t="n"/>
      <c r="J10" s="7">
        <f>IF(AND(N(F10)&gt;0,N(I10)&gt;0),I10-F10-IF(N(G10)&gt;0,0.5,0)-IF(N(H10)&gt;0,0.5,0),0)</f>
        <v/>
      </c>
      <c r="K10" s="5" t="n"/>
      <c r="L10" s="7">
        <f>MIN(J10,8.0)</f>
        <v/>
      </c>
      <c r="M10" s="7">
        <f>MAX(0,MIN(J10,12)-8.0)</f>
        <v/>
      </c>
      <c r="N10" s="7">
        <f>MAX(0,J10-12)</f>
        <v/>
      </c>
      <c r="O10" s="5" t="n"/>
      <c r="P10" s="6">
        <f>E10*(L10+M10*1.5+N10*2+O10*3+N(K10))</f>
        <v/>
      </c>
      <c r="Q10" s="6" t="n">
        <v>755.4</v>
      </c>
      <c r="R10" s="6">
        <f>Q10-P10</f>
        <v/>
      </c>
    </row>
    <row r="11">
      <c r="A11" s="5" t="inlineStr">
        <is>
          <t>1402</t>
        </is>
      </c>
      <c r="B11" s="5" t="inlineStr">
        <is>
          <t>Jaynee Lynee Kinchen</t>
        </is>
      </c>
      <c r="C11" s="5" t="inlineStr">
        <is>
          <t>"SAMANTHA"(Minor)</t>
        </is>
      </c>
      <c r="D11" s="5" t="inlineStr"/>
      <c r="E11" s="6" t="n">
        <v>755.4</v>
      </c>
      <c r="F11" s="5" t="n"/>
      <c r="G11" s="5" t="n"/>
      <c r="H11" s="5" t="n"/>
      <c r="I11" s="5" t="n"/>
      <c r="J11" s="7">
        <f>IF(AND(N(F11)&gt;0,N(I11)&gt;0),I11-F11-IF(N(G11)&gt;0,0.5,0)-IF(N(H11)&gt;0,0.5,0),0)</f>
        <v/>
      </c>
      <c r="K11" s="5" t="n"/>
      <c r="L11" s="7">
        <f>MIN(J11,8.0)</f>
        <v/>
      </c>
      <c r="M11" s="7">
        <f>MAX(0,MIN(J11,12)-8.0)</f>
        <v/>
      </c>
      <c r="N11" s="7">
        <f>MAX(0,J11-12)</f>
        <v/>
      </c>
      <c r="O11" s="5" t="n"/>
      <c r="P11" s="6">
        <f>E11*(L11+M11*1.5+N11*2+O11*3+N(K11))</f>
        <v/>
      </c>
      <c r="Q11" s="6" t="n">
        <v>755.4</v>
      </c>
      <c r="R11" s="6">
        <f>Q11-P11</f>
        <v/>
      </c>
    </row>
    <row r="12">
      <c r="P12" s="2" t="inlineStr">
        <is>
          <t>LEAD#2&amp;# LABOR</t>
        </is>
      </c>
      <c r="R12" s="8">
        <f>SUM(R10:R11)</f>
        <v/>
      </c>
    </row>
    <row r="14">
      <c r="B14" s="2" t="inlineStr">
        <is>
          <t>OTHERLEADCAST</t>
        </is>
      </c>
    </row>
    <row r="15">
      <c r="A15" s="5" t="inlineStr">
        <is>
          <t>1403</t>
        </is>
      </c>
      <c r="B15" s="5" t="inlineStr">
        <is>
          <t>Raymond Cruz</t>
        </is>
      </c>
      <c r="C15" s="5" t="inlineStr">
        <is>
          <t>"RAFAELOLVERA"</t>
        </is>
      </c>
      <c r="D15" s="5" t="inlineStr"/>
      <c r="E15" s="6" t="n">
        <v>1211.8</v>
      </c>
      <c r="F15" s="5" t="n"/>
      <c r="G15" s="5" t="n"/>
      <c r="H15" s="5" t="n"/>
      <c r="I15" s="5" t="n"/>
      <c r="J15" s="7">
        <f>IF(AND(N(F15)&gt;0,N(I15)&gt;0),I15-F15-IF(N(G15)&gt;0,0.5,0)-IF(N(H15)&gt;0,0.5,0),0)</f>
        <v/>
      </c>
      <c r="K15" s="5" t="n"/>
      <c r="L15" s="7">
        <f>MIN(J15,8.0)</f>
        <v/>
      </c>
      <c r="M15" s="7">
        <f>MAX(0,MIN(J15,12)-8.0)</f>
        <v/>
      </c>
      <c r="N15" s="7">
        <f>MAX(0,J15-12)</f>
        <v/>
      </c>
      <c r="O15" s="5" t="n"/>
      <c r="P15" s="6">
        <f>E15*(L15+M15*1.5+N15*2+O15*3+N(K15))</f>
        <v/>
      </c>
      <c r="Q15" s="6" t="n">
        <v>1211.8</v>
      </c>
      <c r="R15" s="6">
        <f>Q15-P15</f>
        <v/>
      </c>
    </row>
    <row r="16">
      <c r="A16" s="5" t="inlineStr">
        <is>
          <t>1403</t>
        </is>
      </c>
      <c r="B16" s="5" t="inlineStr">
        <is>
          <t>Marisol Ramirez</t>
        </is>
      </c>
      <c r="C16" s="5" t="inlineStr">
        <is>
          <t>"LALLORONA"</t>
        </is>
      </c>
      <c r="D16" s="5" t="inlineStr"/>
      <c r="E16" s="6" t="n">
        <v>1211.8</v>
      </c>
      <c r="F16" s="5" t="n"/>
      <c r="G16" s="5" t="n"/>
      <c r="H16" s="5" t="n"/>
      <c r="I16" s="5" t="n"/>
      <c r="J16" s="7">
        <f>IF(AND(N(F16)&gt;0,N(I16)&gt;0),I16-F16-IF(N(G16)&gt;0,0.5,0)-IF(N(H16)&gt;0,0.5,0),0)</f>
        <v/>
      </c>
      <c r="K16" s="5" t="n"/>
      <c r="L16" s="7">
        <f>MIN(J16,8.0)</f>
        <v/>
      </c>
      <c r="M16" s="7">
        <f>MAX(0,MIN(J16,12)-8.0)</f>
        <v/>
      </c>
      <c r="N16" s="7">
        <f>MAX(0,J16-12)</f>
        <v/>
      </c>
      <c r="O16" s="5" t="n"/>
      <c r="P16" s="6">
        <f>E16*(L16+M16*1.5+N16*2+O16*3+N(K16))</f>
        <v/>
      </c>
      <c r="Q16" s="6" t="n">
        <v>1211.8</v>
      </c>
      <c r="R16" s="6">
        <f>Q16-P16</f>
        <v/>
      </c>
    </row>
    <row r="17">
      <c r="A17" s="5" t="inlineStr">
        <is>
          <t>1403</t>
        </is>
      </c>
      <c r="B17" s="5" t="inlineStr">
        <is>
          <t>Patrica Velasquez</t>
        </is>
      </c>
      <c r="C17" s="5" t="inlineStr">
        <is>
          <t>"PATRICIA"</t>
        </is>
      </c>
      <c r="D17" s="5" t="inlineStr"/>
      <c r="E17" s="6" t="n">
        <v>1972</v>
      </c>
      <c r="F17" s="5" t="n"/>
      <c r="G17" s="5" t="n"/>
      <c r="H17" s="5" t="n"/>
      <c r="I17" s="5" t="n"/>
      <c r="J17" s="7">
        <f>IF(AND(N(F17)&gt;0,N(I17)&gt;0),I17-F17-IF(N(G17)&gt;0,0.5,0)-IF(N(H17)&gt;0,0.5,0),0)</f>
        <v/>
      </c>
      <c r="K17" s="5" t="n"/>
      <c r="L17" s="7">
        <f>MIN(J17,8.0)</f>
        <v/>
      </c>
      <c r="M17" s="7">
        <f>MAX(0,MIN(J17,12)-8.0)</f>
        <v/>
      </c>
      <c r="N17" s="7">
        <f>MAX(0,J17-12)</f>
        <v/>
      </c>
      <c r="O17" s="5" t="n"/>
      <c r="P17" s="6">
        <f>E17*(L17+M17*1.5+N17*2+O17*3+N(K17))</f>
        <v/>
      </c>
      <c r="Q17" s="6" t="n">
        <v>1972</v>
      </c>
      <c r="R17" s="6">
        <f>Q17-P17</f>
        <v/>
      </c>
    </row>
    <row r="18">
      <c r="P18" s="2" t="inlineStr">
        <is>
          <t>OTHERLEADCAST LABOR</t>
        </is>
      </c>
      <c r="R18" s="8">
        <f>SUM(R15:R17)</f>
        <v/>
      </c>
    </row>
    <row r="20">
      <c r="B20" s="2" t="inlineStr">
        <is>
          <t>SUPPORTINGCAST</t>
        </is>
      </c>
    </row>
    <row r="21">
      <c r="A21" s="5" t="inlineStr">
        <is>
          <t>1404</t>
        </is>
      </c>
      <c r="B21" s="5" t="inlineStr">
        <is>
          <t>Sean Patrick Thomas</t>
        </is>
      </c>
      <c r="C21" s="5" t="inlineStr">
        <is>
          <t>DETCOOPER</t>
        </is>
      </c>
      <c r="D21" s="5" t="inlineStr"/>
      <c r="E21" s="6" t="n">
        <v>1211.8</v>
      </c>
      <c r="F21" s="5" t="n"/>
      <c r="G21" s="5" t="n"/>
      <c r="H21" s="5" t="n"/>
      <c r="I21" s="5" t="n"/>
      <c r="J21" s="7">
        <f>IF(AND(N(F21)&gt;0,N(I21)&gt;0),I21-F21-IF(N(G21)&gt;0,0.5,0)-IF(N(H21)&gt;0,0.5,0),0)</f>
        <v/>
      </c>
      <c r="K21" s="5" t="n"/>
      <c r="L21" s="7">
        <f>MIN(J21,8.0)</f>
        <v/>
      </c>
      <c r="M21" s="7">
        <f>MAX(0,MIN(J21,12)-8.0)</f>
        <v/>
      </c>
      <c r="N21" s="7">
        <f>MAX(0,J21-12)</f>
        <v/>
      </c>
      <c r="O21" s="5" t="n"/>
      <c r="P21" s="6">
        <f>E21*(L21+M21*1.5+N21*2+O21*3+N(K21))</f>
        <v/>
      </c>
      <c r="Q21" s="6" t="n">
        <v>1211.8</v>
      </c>
      <c r="R21" s="6">
        <f>Q21-P21</f>
        <v/>
      </c>
    </row>
    <row r="22">
      <c r="A22" s="5" t="inlineStr">
        <is>
          <t>1404</t>
        </is>
      </c>
      <c r="B22" s="5" t="inlineStr">
        <is>
          <t>Tony Amendola</t>
        </is>
      </c>
      <c r="C22" s="5" t="inlineStr">
        <is>
          <t>"FATHERPEREZ"</t>
        </is>
      </c>
      <c r="D22" s="5" t="inlineStr"/>
      <c r="E22" s="6" t="n">
        <v>1972</v>
      </c>
      <c r="F22" s="5" t="n"/>
      <c r="G22" s="5" t="n"/>
      <c r="H22" s="5" t="n"/>
      <c r="I22" s="5" t="n"/>
      <c r="J22" s="7">
        <f>IF(AND(N(F22)&gt;0,N(I22)&gt;0),I22-F22-IF(N(G22)&gt;0,0.5,0)-IF(N(H22)&gt;0,0.5,0),0)</f>
        <v/>
      </c>
      <c r="K22" s="5" t="n"/>
      <c r="L22" s="7">
        <f>MIN(J22,8.0)</f>
        <v/>
      </c>
      <c r="M22" s="7">
        <f>MAX(0,MIN(J22,12)-8.0)</f>
        <v/>
      </c>
      <c r="N22" s="7">
        <f>MAX(0,J22-12)</f>
        <v/>
      </c>
      <c r="O22" s="5" t="n"/>
      <c r="P22" s="6">
        <f>E22*(L22+M22*1.5+N22*2+O22*3+N(K22))</f>
        <v/>
      </c>
      <c r="Q22" s="6" t="n">
        <v>1972</v>
      </c>
      <c r="R22" s="6">
        <f>Q22-P22</f>
        <v/>
      </c>
    </row>
    <row r="23">
      <c r="P23" s="2" t="inlineStr">
        <is>
          <t>SUPPORTINGCAST LABOR</t>
        </is>
      </c>
      <c r="R23" s="8">
        <f>SUM(R21:R22)</f>
        <v/>
      </c>
    </row>
    <row r="25">
      <c r="B25" s="2" t="inlineStr">
        <is>
          <t>DAYPLAYERS</t>
        </is>
      </c>
    </row>
    <row r="26">
      <c r="A26" s="5" t="inlineStr">
        <is>
          <t>1405</t>
        </is>
      </c>
      <c r="B26" s="5" t="inlineStr">
        <is>
          <t>Kristy Keng(Drop/Pickup)</t>
        </is>
      </c>
      <c r="C26" s="5" t="inlineStr">
        <is>
          <t>"DONNA"</t>
        </is>
      </c>
      <c r="D26" s="5" t="inlineStr"/>
      <c r="E26" s="6" t="n">
        <v>1972</v>
      </c>
      <c r="F26" s="5" t="n"/>
      <c r="G26" s="5" t="n"/>
      <c r="H26" s="5" t="n"/>
      <c r="I26" s="5" t="n"/>
      <c r="J26" s="7">
        <f>IF(AND(N(F26)&gt;0,N(I26)&gt;0),I26-F26-IF(N(G26)&gt;0,0.5,0)-IF(N(H26)&gt;0,0.5,0),0)</f>
        <v/>
      </c>
      <c r="K26" s="5" t="n"/>
      <c r="L26" s="7">
        <f>MIN(J26,8.0)</f>
        <v/>
      </c>
      <c r="M26" s="7">
        <f>MAX(0,MIN(J26,12)-8.0)</f>
        <v/>
      </c>
      <c r="N26" s="7">
        <f>MAX(0,J26-12)</f>
        <v/>
      </c>
      <c r="O26" s="5" t="n"/>
      <c r="P26" s="6">
        <f>E26*(L26+M26*1.5+N26*2+O26*3+N(K26))</f>
        <v/>
      </c>
      <c r="Q26" s="6" t="n">
        <v>1972</v>
      </c>
      <c r="R26" s="6">
        <f>Q26-P26</f>
        <v/>
      </c>
    </row>
    <row r="27">
      <c r="A27" s="5" t="inlineStr">
        <is>
          <t>1405</t>
        </is>
      </c>
      <c r="B27" s="5" t="inlineStr">
        <is>
          <t>Oliver Alexander</t>
        </is>
      </c>
      <c r="C27" s="5" t="inlineStr">
        <is>
          <t>"CARLOS"(Minor)</t>
        </is>
      </c>
      <c r="D27" s="5" t="inlineStr"/>
      <c r="E27" s="6" t="n">
        <v>1249</v>
      </c>
      <c r="F27" s="5" t="n"/>
      <c r="G27" s="5" t="n"/>
      <c r="H27" s="5" t="n"/>
      <c r="I27" s="5" t="n"/>
      <c r="J27" s="7">
        <f>IF(AND(N(F27)&gt;0,N(I27)&gt;0),I27-F27-IF(N(G27)&gt;0,0.5,0)-IF(N(H27)&gt;0,0.5,0),0)</f>
        <v/>
      </c>
      <c r="K27" s="5" t="n"/>
      <c r="L27" s="7">
        <f>MIN(J27,8.0)</f>
        <v/>
      </c>
      <c r="M27" s="7">
        <f>MAX(0,MIN(J27,12)-8.0)</f>
        <v/>
      </c>
      <c r="N27" s="7">
        <f>MAX(0,J27-12)</f>
        <v/>
      </c>
      <c r="O27" s="5" t="n"/>
      <c r="P27" s="6">
        <f>E27*(L27+M27*1.5+N27*2+O27*3+N(K27))</f>
        <v/>
      </c>
      <c r="Q27" s="6" t="n">
        <v>1249</v>
      </c>
      <c r="R27" s="6">
        <f>Q27-P27</f>
        <v/>
      </c>
    </row>
    <row r="28">
      <c r="A28" s="5" t="inlineStr">
        <is>
          <t>1405</t>
        </is>
      </c>
      <c r="B28" s="5" t="inlineStr">
        <is>
          <t>Adam Lewandowski</t>
        </is>
      </c>
      <c r="C28" s="5" t="inlineStr">
        <is>
          <t>"TOMAS"(Minor)</t>
        </is>
      </c>
      <c r="D28" s="5" t="inlineStr"/>
      <c r="E28" s="6" t="n">
        <v>1249</v>
      </c>
      <c r="F28" s="5" t="n"/>
      <c r="G28" s="5" t="n"/>
      <c r="H28" s="5" t="n"/>
      <c r="I28" s="5" t="n"/>
      <c r="J28" s="7">
        <f>IF(AND(N(F28)&gt;0,N(I28)&gt;0),I28-F28-IF(N(G28)&gt;0,0.5,0)-IF(N(H28)&gt;0,0.5,0),0)</f>
        <v/>
      </c>
      <c r="K28" s="5" t="n"/>
      <c r="L28" s="7">
        <f>MIN(J28,8.0)</f>
        <v/>
      </c>
      <c r="M28" s="7">
        <f>MAX(0,MIN(J28,12)-8.0)</f>
        <v/>
      </c>
      <c r="N28" s="7">
        <f>MAX(0,J28-12)</f>
        <v/>
      </c>
      <c r="O28" s="5" t="n"/>
      <c r="P28" s="6">
        <f>E28*(L28+M28*1.5+N28*2+O28*3+N(K28))</f>
        <v/>
      </c>
      <c r="Q28" s="6" t="n">
        <v>1249</v>
      </c>
      <c r="R28" s="6">
        <f>Q28-P28</f>
        <v/>
      </c>
    </row>
    <row r="29">
      <c r="A29" s="5" t="inlineStr">
        <is>
          <t>1405</t>
        </is>
      </c>
      <c r="B29" s="5" t="inlineStr">
        <is>
          <t>Paul Rodriquez Jr.</t>
        </is>
      </c>
      <c r="C29" s="5" t="inlineStr">
        <is>
          <t>"OFFICERCLARO"</t>
        </is>
      </c>
      <c r="D29" s="5" t="inlineStr"/>
      <c r="E29" s="6" t="n">
        <v>1972</v>
      </c>
      <c r="F29" s="5" t="n"/>
      <c r="G29" s="5" t="n"/>
      <c r="H29" s="5" t="n"/>
      <c r="I29" s="5" t="n"/>
      <c r="J29" s="7">
        <f>IF(AND(N(F29)&gt;0,N(I29)&gt;0),I29-F29-IF(N(G29)&gt;0,0.5,0)-IF(N(H29)&gt;0,0.5,0),0)</f>
        <v/>
      </c>
      <c r="K29" s="5" t="n"/>
      <c r="L29" s="7">
        <f>MIN(J29,8.0)</f>
        <v/>
      </c>
      <c r="M29" s="7">
        <f>MAX(0,MIN(J29,12)-8.0)</f>
        <v/>
      </c>
      <c r="N29" s="7">
        <f>MAX(0,J29-12)</f>
        <v/>
      </c>
      <c r="O29" s="5" t="n"/>
      <c r="P29" s="6">
        <f>E29*(L29+M29*1.5+N29*2+O29*3+N(K29))</f>
        <v/>
      </c>
      <c r="Q29" s="6" t="n">
        <v>1972</v>
      </c>
      <c r="R29" s="6">
        <f>Q29-P29</f>
        <v/>
      </c>
    </row>
    <row r="30">
      <c r="A30" s="5" t="inlineStr">
        <is>
          <t>1405</t>
        </is>
      </c>
      <c r="B30" s="5" t="inlineStr">
        <is>
          <t>Sophia Santi</t>
        </is>
      </c>
      <c r="C30" s="5" t="inlineStr">
        <is>
          <t>"FEMALECUSTOMER"</t>
        </is>
      </c>
      <c r="D30" s="5" t="inlineStr"/>
      <c r="E30" s="6" t="n">
        <v>1972</v>
      </c>
      <c r="F30" s="5" t="n"/>
      <c r="G30" s="5" t="n"/>
      <c r="H30" s="5" t="n"/>
      <c r="I30" s="5" t="n"/>
      <c r="J30" s="7">
        <f>IF(AND(N(F30)&gt;0,N(I30)&gt;0),I30-F30-IF(N(G30)&gt;0,0.5,0)-IF(N(H30)&gt;0,0.5,0),0)</f>
        <v/>
      </c>
      <c r="K30" s="5" t="n"/>
      <c r="L30" s="7">
        <f>MIN(J30,8.0)</f>
        <v/>
      </c>
      <c r="M30" s="7">
        <f>MAX(0,MIN(J30,12)-8.0)</f>
        <v/>
      </c>
      <c r="N30" s="7">
        <f>MAX(0,J30-12)</f>
        <v/>
      </c>
      <c r="O30" s="5" t="n"/>
      <c r="P30" s="6">
        <f>E30*(L30+M30*1.5+N30*2+O30*3+N(K30))</f>
        <v/>
      </c>
      <c r="Q30" s="6" t="n">
        <v>1972</v>
      </c>
      <c r="R30" s="6">
        <f>Q30-P30</f>
        <v/>
      </c>
    </row>
    <row r="31">
      <c r="A31" s="5" t="inlineStr">
        <is>
          <t>1405</t>
        </is>
      </c>
      <c r="B31" s="5" t="inlineStr">
        <is>
          <t>John Marshall Jones</t>
        </is>
      </c>
      <c r="C31" s="5" t="inlineStr">
        <is>
          <t>"MRHANKINS"</t>
        </is>
      </c>
      <c r="D31" s="5" t="inlineStr"/>
      <c r="E31" s="6" t="n">
        <v>1972</v>
      </c>
      <c r="F31" s="5" t="n"/>
      <c r="G31" s="5" t="n"/>
      <c r="H31" s="5" t="n"/>
      <c r="I31" s="5" t="n"/>
      <c r="J31" s="7">
        <f>IF(AND(N(F31)&gt;0,N(I31)&gt;0),I31-F31-IF(N(G31)&gt;0,0.5,0)-IF(N(H31)&gt;0,0.5,0),0)</f>
        <v/>
      </c>
      <c r="K31" s="5" t="n"/>
      <c r="L31" s="7">
        <f>MIN(J31,8.0)</f>
        <v/>
      </c>
      <c r="M31" s="7">
        <f>MAX(0,MIN(J31,12)-8.0)</f>
        <v/>
      </c>
      <c r="N31" s="7">
        <f>MAX(0,J31-12)</f>
        <v/>
      </c>
      <c r="O31" s="5" t="n"/>
      <c r="P31" s="6">
        <f>E31*(L31+M31*1.5+N31*2+O31*3+N(K31))</f>
        <v/>
      </c>
      <c r="Q31" s="6" t="n">
        <v>1972</v>
      </c>
      <c r="R31" s="6">
        <f>Q31-P31</f>
        <v/>
      </c>
    </row>
    <row r="32">
      <c r="A32" s="5" t="inlineStr">
        <is>
          <t>1405</t>
        </is>
      </c>
      <c r="B32" s="5" t="inlineStr">
        <is>
          <t>Madeleine Mcgraw</t>
        </is>
      </c>
      <c r="C32" s="5" t="inlineStr">
        <is>
          <t>"APRIL"(Minor)</t>
        </is>
      </c>
      <c r="D32" s="5" t="inlineStr"/>
      <c r="E32" s="6" t="n">
        <v>1249</v>
      </c>
      <c r="F32" s="5" t="n"/>
      <c r="G32" s="5" t="n"/>
      <c r="H32" s="5" t="n"/>
      <c r="I32" s="5" t="n"/>
      <c r="J32" s="7">
        <f>IF(AND(N(F32)&gt;0,N(I32)&gt;0),I32-F32-IF(N(G32)&gt;0,0.5,0)-IF(N(H32)&gt;0,0.5,0),0)</f>
        <v/>
      </c>
      <c r="K32" s="5" t="n"/>
      <c r="L32" s="7">
        <f>MIN(J32,8.0)</f>
        <v/>
      </c>
      <c r="M32" s="7">
        <f>MAX(0,MIN(J32,12)-8.0)</f>
        <v/>
      </c>
      <c r="N32" s="7">
        <f>MAX(0,J32-12)</f>
        <v/>
      </c>
      <c r="O32" s="5" t="n"/>
      <c r="P32" s="6">
        <f>E32*(L32+M32*1.5+N32*2+O32*3+N(K32))</f>
        <v/>
      </c>
      <c r="Q32" s="6" t="n">
        <v>1249</v>
      </c>
      <c r="R32" s="6">
        <f>Q32-P32</f>
        <v/>
      </c>
    </row>
    <row r="33">
      <c r="P33" s="2" t="inlineStr">
        <is>
          <t>DAYPLAYERS LABOR</t>
        </is>
      </c>
      <c r="R33" s="8">
        <f>SUM(R26:R32)</f>
        <v/>
      </c>
    </row>
    <row r="35">
      <c r="B35" s="2" t="inlineStr">
        <is>
          <t>STUNTCOORD</t>
        </is>
      </c>
    </row>
    <row r="36">
      <c r="A36" s="5" t="inlineStr">
        <is>
          <t>1406</t>
        </is>
      </c>
      <c r="B36" s="5" t="inlineStr">
        <is>
          <t>Rob King</t>
        </is>
      </c>
      <c r="C36" s="5" t="inlineStr">
        <is>
          <t>STUNTCOORDINATOR</t>
        </is>
      </c>
      <c r="D36" s="5" t="inlineStr"/>
      <c r="E36" s="6" t="n">
        <v>1173</v>
      </c>
      <c r="F36" s="5" t="n"/>
      <c r="G36" s="5" t="n"/>
      <c r="H36" s="5" t="n"/>
      <c r="I36" s="5" t="n"/>
      <c r="J36" s="7">
        <f>IF(AND(N(F36)&gt;0,N(I36)&gt;0),I36-F36-IF(N(G36)&gt;0,0.5,0)-IF(N(H36)&gt;0,0.5,0),0)</f>
        <v/>
      </c>
      <c r="K36" s="5" t="n"/>
      <c r="L36" s="7">
        <f>MIN(J36,8.0)</f>
        <v/>
      </c>
      <c r="M36" s="7">
        <f>MAX(0,MIN(J36,12)-8.0)</f>
        <v/>
      </c>
      <c r="N36" s="7">
        <f>MAX(0,J36-12)</f>
        <v/>
      </c>
      <c r="O36" s="5" t="n"/>
      <c r="P36" s="6">
        <f>E36*(L36+M36*1.5+N36*2+O36*3+N(K36))</f>
        <v/>
      </c>
      <c r="Q36" s="6" t="n">
        <v>1173</v>
      </c>
      <c r="R36" s="6">
        <f>Q36-P36</f>
        <v/>
      </c>
    </row>
    <row r="37">
      <c r="P37" s="2" t="inlineStr">
        <is>
          <t>STUNTCOORD LABOR</t>
        </is>
      </c>
      <c r="R37" s="8">
        <f>SUM(R36:R36)</f>
        <v/>
      </c>
    </row>
    <row r="39">
      <c r="B39" s="2" t="inlineStr">
        <is>
          <t>TEACHER/WELFAREWORKER</t>
        </is>
      </c>
    </row>
    <row r="40">
      <c r="A40" s="5" t="inlineStr">
        <is>
          <t>1412</t>
        </is>
      </c>
      <c r="B40" s="5" t="inlineStr"/>
      <c r="C40" s="5" t="inlineStr">
        <is>
          <t>WELFAREWORKER</t>
        </is>
      </c>
      <c r="D40" s="5" t="inlineStr">
        <is>
          <t>Local884</t>
        </is>
      </c>
      <c r="E40" s="6" t="n">
        <v>25.5</v>
      </c>
      <c r="F40" s="5" t="n"/>
      <c r="G40" s="5" t="n"/>
      <c r="H40" s="5" t="n"/>
      <c r="I40" s="5" t="n"/>
      <c r="J40" s="7">
        <f>IF(AND(N(F40)&gt;0,N(I40)&gt;0),I40-F40-IF(N(G40)&gt;0,0.5,0)-IF(N(H40)&gt;0,0.5,0),0)</f>
        <v/>
      </c>
      <c r="K40" s="5" t="n"/>
      <c r="L40" s="7">
        <f>MIN(J40,8.0)</f>
        <v/>
      </c>
      <c r="M40" s="7">
        <f>MAX(0,MIN(J40,12)-8.0)</f>
        <v/>
      </c>
      <c r="N40" s="7">
        <f>MAX(0,J40-12)</f>
        <v/>
      </c>
      <c r="O40" s="5" t="n"/>
      <c r="P40" s="6">
        <f>E40*(L40+M40*1.5+N40*2+O40*3+N(K40))</f>
        <v/>
      </c>
      <c r="Q40" s="6" t="n">
        <v>280.5</v>
      </c>
      <c r="R40" s="6">
        <f>Q40-P40</f>
        <v/>
      </c>
    </row>
    <row r="41">
      <c r="A41" s="5" t="inlineStr">
        <is>
          <t>1412</t>
        </is>
      </c>
      <c r="B41" s="5" t="inlineStr"/>
      <c r="C41" s="5" t="inlineStr">
        <is>
          <t>ADDLWELFAREWORKER</t>
        </is>
      </c>
      <c r="D41" s="5" t="inlineStr">
        <is>
          <t>Local884</t>
        </is>
      </c>
      <c r="E41" s="6" t="n">
        <v>25.5</v>
      </c>
      <c r="F41" s="5" t="n"/>
      <c r="G41" s="5" t="n"/>
      <c r="H41" s="5" t="n"/>
      <c r="I41" s="5" t="n"/>
      <c r="J41" s="7">
        <f>IF(AND(N(F41)&gt;0,N(I41)&gt;0),I41-F41-IF(N(G41)&gt;0,0.5,0)-IF(N(H41)&gt;0,0.5,0),0)</f>
        <v/>
      </c>
      <c r="K41" s="5" t="n"/>
      <c r="L41" s="7">
        <f>MIN(J41,8.0)</f>
        <v/>
      </c>
      <c r="M41" s="7">
        <f>MAX(0,MIN(J41,12)-8.0)</f>
        <v/>
      </c>
      <c r="N41" s="7">
        <f>MAX(0,J41-12)</f>
        <v/>
      </c>
      <c r="O41" s="5" t="n"/>
      <c r="P41" s="6">
        <f>E41*(L41+M41*1.5+N41*2+O41*3+N(K41))</f>
        <v/>
      </c>
      <c r="Q41" s="6" t="n">
        <v>280.5</v>
      </c>
      <c r="R41" s="6">
        <f>Q41-P41</f>
        <v/>
      </c>
    </row>
    <row r="42">
      <c r="P42" s="2" t="inlineStr">
        <is>
          <t>TEACHER/WELFAREWORKER LABOR</t>
        </is>
      </c>
      <c r="R42" s="8">
        <f>SUM(R40:R41)</f>
        <v/>
      </c>
    </row>
    <row r="44">
      <c r="B44" s="2" t="inlineStr">
        <is>
          <t>CASTINGDIRECTORS</t>
        </is>
      </c>
    </row>
    <row r="45">
      <c r="A45" s="5" t="inlineStr">
        <is>
          <t>1413</t>
        </is>
      </c>
      <c r="B45" s="5" t="inlineStr">
        <is>
          <t>Rich Delia</t>
        </is>
      </c>
      <c r="C45" s="5" t="inlineStr">
        <is>
          <t>CASTINGDIRECTOR</t>
        </is>
      </c>
      <c r="D45" s="5" t="inlineStr"/>
      <c r="E45" s="6" t="n">
        <v>600</v>
      </c>
      <c r="F45" s="5" t="n"/>
      <c r="G45" s="5" t="n"/>
      <c r="H45" s="5" t="n"/>
      <c r="I45" s="5" t="n"/>
      <c r="J45" s="7">
        <f>IF(AND(N(F45)&gt;0,N(I45)&gt;0),I45-F45-IF(N(G45)&gt;0,0.5,0)-IF(N(H45)&gt;0,0.5,0),0)</f>
        <v/>
      </c>
      <c r="K45" s="5" t="n"/>
      <c r="L45" s="7">
        <f>MIN(J45,8.0)</f>
        <v/>
      </c>
      <c r="M45" s="7">
        <f>MAX(0,MIN(J45,12)-8.0)</f>
        <v/>
      </c>
      <c r="N45" s="7">
        <f>MAX(0,J45-12)</f>
        <v/>
      </c>
      <c r="O45" s="5" t="n"/>
      <c r="P45" s="6">
        <f>E45*(L45+M45*1.5+N45*2+O45*3+N(K45))</f>
        <v/>
      </c>
      <c r="Q45" s="5" t="n"/>
      <c r="R45" s="6">
        <f>Q45-P45</f>
        <v/>
      </c>
    </row>
    <row r="46">
      <c r="P46" s="2" t="inlineStr">
        <is>
          <t>CASTINGDIRECTORS LABOR</t>
        </is>
      </c>
      <c r="R46" s="8">
        <f>SUM(R45:R45)</f>
        <v/>
      </c>
    </row>
    <row r="48">
      <c r="B48" s="2" t="inlineStr">
        <is>
          <t>CASTINGASSOCIATES/ASSISTANTS</t>
        </is>
      </c>
    </row>
    <row r="49">
      <c r="A49" s="5" t="inlineStr">
        <is>
          <t>1414</t>
        </is>
      </c>
      <c r="B49" s="5" t="inlineStr">
        <is>
          <t>Adam Richards</t>
        </is>
      </c>
      <c r="C49" s="5" t="inlineStr">
        <is>
          <t>CASTINGASSOCIATE</t>
        </is>
      </c>
      <c r="D49" s="5" t="inlineStr"/>
      <c r="E49" s="6" t="n">
        <v>200</v>
      </c>
      <c r="F49" s="5" t="n"/>
      <c r="G49" s="5" t="n"/>
      <c r="H49" s="5" t="n"/>
      <c r="I49" s="5" t="n"/>
      <c r="J49" s="7">
        <f>IF(AND(N(F49)&gt;0,N(I49)&gt;0),I49-F49-IF(N(G49)&gt;0,0.5,0)-IF(N(H49)&gt;0,0.5,0),0)</f>
        <v/>
      </c>
      <c r="K49" s="5" t="n"/>
      <c r="L49" s="7">
        <f>MIN(J49,8.0)</f>
        <v/>
      </c>
      <c r="M49" s="7">
        <f>MAX(0,MIN(J49,12)-8.0)</f>
        <v/>
      </c>
      <c r="N49" s="7">
        <f>MAX(0,J49-12)</f>
        <v/>
      </c>
      <c r="O49" s="5" t="n"/>
      <c r="P49" s="6">
        <f>E49*(L49+M49*1.5+N49*2+O49*3+N(K49))</f>
        <v/>
      </c>
      <c r="Q49" s="5" t="n"/>
      <c r="R49" s="6">
        <f>Q49-P49</f>
        <v/>
      </c>
    </row>
    <row r="50">
      <c r="P50" s="2" t="inlineStr">
        <is>
          <t>CASTINGASSOCIATES/ASSISTANTS LABOR</t>
        </is>
      </c>
      <c r="R50" s="8">
        <f>SUM(R49:R49)</f>
        <v/>
      </c>
    </row>
    <row r="52">
      <c r="B52" s="2" t="inlineStr">
        <is>
          <t>CASTDRIVERS/VEHICLES</t>
        </is>
      </c>
    </row>
    <row r="53">
      <c r="A53" s="5" t="inlineStr">
        <is>
          <t>1455</t>
        </is>
      </c>
      <c r="B53" s="5" t="inlineStr"/>
      <c r="C53" s="5" t="inlineStr">
        <is>
          <t>CAST 3-RMDRIVER</t>
        </is>
      </c>
      <c r="D53" s="5" t="inlineStr">
        <is>
          <t>Local399</t>
        </is>
      </c>
      <c r="E53" s="6" t="n">
        <v>32.36</v>
      </c>
      <c r="F53" s="5" t="n"/>
      <c r="G53" s="5" t="n"/>
      <c r="H53" s="5" t="n"/>
      <c r="I53" s="5" t="n"/>
      <c r="J53" s="7">
        <f>IF(AND(N(F53)&gt;0,N(I53)&gt;0),I53-F53-IF(N(G53)&gt;0,0.5,0)-IF(N(H53)&gt;0,0.5,0),0)</f>
        <v/>
      </c>
      <c r="K53" s="5" t="n"/>
      <c r="L53" s="7">
        <f>MIN(J53,8.0)</f>
        <v/>
      </c>
      <c r="M53" s="7">
        <f>MAX(0,MIN(J53,12)-8.0)</f>
        <v/>
      </c>
      <c r="N53" s="7">
        <f>MAX(0,J53-12)</f>
        <v/>
      </c>
      <c r="O53" s="5" t="n"/>
      <c r="P53" s="6">
        <f>E53*(L53+M53*1.5+N53*2+O53*3+N(K53))</f>
        <v/>
      </c>
      <c r="Q53" s="6" t="n">
        <v>501.58</v>
      </c>
      <c r="R53" s="6">
        <f>Q53-P53</f>
        <v/>
      </c>
    </row>
    <row r="54">
      <c r="A54" s="5" t="inlineStr">
        <is>
          <t>1455</t>
        </is>
      </c>
      <c r="B54" s="5" t="inlineStr"/>
      <c r="C54" s="5" t="inlineStr">
        <is>
          <t>CASTMINIVANDRIVER</t>
        </is>
      </c>
      <c r="D54" s="5" t="inlineStr">
        <is>
          <t>Local399</t>
        </is>
      </c>
      <c r="E54" s="6" t="n">
        <v>32.36</v>
      </c>
      <c r="F54" s="5" t="n"/>
      <c r="G54" s="5" t="n"/>
      <c r="H54" s="5" t="n"/>
      <c r="I54" s="5" t="n"/>
      <c r="J54" s="7">
        <f>IF(AND(N(F54)&gt;0,N(I54)&gt;0),I54-F54-IF(N(G54)&gt;0,0.5,0)-IF(N(H54)&gt;0,0.5,0),0)</f>
        <v/>
      </c>
      <c r="K54" s="5" t="n"/>
      <c r="L54" s="7">
        <f>MIN(J54,8.0)</f>
        <v/>
      </c>
      <c r="M54" s="7">
        <f>MAX(0,MIN(J54,12)-8.0)</f>
        <v/>
      </c>
      <c r="N54" s="7">
        <f>MAX(0,J54-12)</f>
        <v/>
      </c>
      <c r="O54" s="5" t="n"/>
      <c r="P54" s="6">
        <f>E54*(L54+M54*1.5+N54*2+O54*3+N(K54))</f>
        <v/>
      </c>
      <c r="Q54" s="6" t="n">
        <v>501.58</v>
      </c>
      <c r="R54" s="6">
        <f>Q54-P54</f>
        <v/>
      </c>
    </row>
    <row r="55">
      <c r="P55" s="2" t="inlineStr">
        <is>
          <t>CASTDRIVERS/VEHICLES LABOR</t>
        </is>
      </c>
      <c r="R55" s="8">
        <f>SUM(R53:R54)</f>
        <v/>
      </c>
    </row>
    <row r="57">
      <c r="B57" s="2" t="inlineStr">
        <is>
          <t>PRODUCTIONMANAGER</t>
        </is>
      </c>
    </row>
    <row r="58">
      <c r="A58" s="5" t="inlineStr">
        <is>
          <t>2001</t>
        </is>
      </c>
      <c r="B58" s="5" t="inlineStr">
        <is>
          <t>Carrie Morrow</t>
        </is>
      </c>
      <c r="C58" s="5" t="inlineStr">
        <is>
          <t>UPM</t>
        </is>
      </c>
      <c r="D58" s="5" t="inlineStr">
        <is>
          <t>DGA</t>
        </is>
      </c>
      <c r="E58" s="6" t="n">
        <v>1063.6</v>
      </c>
      <c r="F58" s="5" t="n"/>
      <c r="G58" s="5" t="n"/>
      <c r="H58" s="5" t="n"/>
      <c r="I58" s="5" t="n"/>
      <c r="J58" s="7">
        <f>IF(AND(N(F58)&gt;0,N(I58)&gt;0),I58-F58-IF(N(G58)&gt;0,0.5,0)-IF(N(H58)&gt;0,0.5,0),0)</f>
        <v/>
      </c>
      <c r="K58" s="5" t="n"/>
      <c r="L58" s="7">
        <f>MIN(J58,8.0)</f>
        <v/>
      </c>
      <c r="M58" s="7">
        <f>MAX(0,MIN(J58,12)-8.0)</f>
        <v/>
      </c>
      <c r="N58" s="7">
        <f>MAX(0,J58-12)</f>
        <v/>
      </c>
      <c r="O58" s="5" t="n"/>
      <c r="P58" s="6">
        <f>E58*(L58+M58*1.5+N58*2+O58*3+N(K58))</f>
        <v/>
      </c>
      <c r="Q58" s="6" t="n">
        <v>1063.6</v>
      </c>
      <c r="R58" s="6">
        <f>Q58-P58</f>
        <v/>
      </c>
    </row>
    <row r="59">
      <c r="P59" s="2" t="inlineStr">
        <is>
          <t>PRODUCTIONMANAGER LABOR</t>
        </is>
      </c>
      <c r="R59" s="8">
        <f>SUM(R58:R58)</f>
        <v/>
      </c>
    </row>
    <row r="61">
      <c r="B61" s="2" t="inlineStr">
        <is>
          <t>1STASSTDIRECTOR</t>
        </is>
      </c>
    </row>
    <row r="62">
      <c r="A62" s="5" t="inlineStr">
        <is>
          <t>2002</t>
        </is>
      </c>
      <c r="B62" s="5" t="inlineStr">
        <is>
          <t>James Moran</t>
        </is>
      </c>
      <c r="C62" s="5" t="inlineStr">
        <is>
          <t>1STASSTDIRECTOR</t>
        </is>
      </c>
      <c r="D62" s="5" t="inlineStr">
        <is>
          <t>DGA</t>
        </is>
      </c>
      <c r="E62" s="6" t="n">
        <v>985.6</v>
      </c>
      <c r="F62" s="5" t="n"/>
      <c r="G62" s="5" t="n"/>
      <c r="H62" s="5" t="n"/>
      <c r="I62" s="5" t="n"/>
      <c r="J62" s="7">
        <f>IF(AND(N(F62)&gt;0,N(I62)&gt;0),I62-F62-IF(N(G62)&gt;0,0.5,0)-IF(N(H62)&gt;0,0.5,0),0)</f>
        <v/>
      </c>
      <c r="K62" s="5" t="n"/>
      <c r="L62" s="7">
        <f>MIN(J62,8.0)</f>
        <v/>
      </c>
      <c r="M62" s="7">
        <f>MAX(0,MIN(J62,12)-8.0)</f>
        <v/>
      </c>
      <c r="N62" s="7">
        <f>MAX(0,J62-12)</f>
        <v/>
      </c>
      <c r="O62" s="5" t="n"/>
      <c r="P62" s="6">
        <f>E62*(L62+M62*1.5+N62*2+O62*3+N(K62))</f>
        <v/>
      </c>
      <c r="Q62" s="6" t="n">
        <v>985.6</v>
      </c>
      <c r="R62" s="6">
        <f>Q62-P62</f>
        <v/>
      </c>
    </row>
    <row r="63">
      <c r="P63" s="2" t="inlineStr">
        <is>
          <t>1STASSTDIRECTOR LABOR</t>
        </is>
      </c>
      <c r="R63" s="8">
        <f>SUM(R62:R62)</f>
        <v/>
      </c>
    </row>
    <row r="65">
      <c r="B65" s="2" t="inlineStr">
        <is>
          <t>2NDASSTDIRECTORS</t>
        </is>
      </c>
    </row>
    <row r="66">
      <c r="A66" s="5" t="inlineStr">
        <is>
          <t>2003</t>
        </is>
      </c>
      <c r="B66" s="5" t="inlineStr">
        <is>
          <t>Mark Newland</t>
        </is>
      </c>
      <c r="C66" s="5" t="inlineStr">
        <is>
          <t>KEY 2NDA. D.</t>
        </is>
      </c>
      <c r="D66" s="5" t="inlineStr">
        <is>
          <t>DGA</t>
        </is>
      </c>
      <c r="E66" s="6" t="n">
        <v>674.6</v>
      </c>
      <c r="F66" s="5" t="n"/>
      <c r="G66" s="5" t="n"/>
      <c r="H66" s="5" t="n"/>
      <c r="I66" s="5" t="n"/>
      <c r="J66" s="7">
        <f>IF(AND(N(F66)&gt;0,N(I66)&gt;0),I66-F66-IF(N(G66)&gt;0,0.5,0)-IF(N(H66)&gt;0,0.5,0),0)</f>
        <v/>
      </c>
      <c r="K66" s="5" t="n"/>
      <c r="L66" s="7">
        <f>MIN(J66,8.0)</f>
        <v/>
      </c>
      <c r="M66" s="7">
        <f>MAX(0,MIN(J66,12)-8.0)</f>
        <v/>
      </c>
      <c r="N66" s="7">
        <f>MAX(0,J66-12)</f>
        <v/>
      </c>
      <c r="O66" s="5" t="n"/>
      <c r="P66" s="6">
        <f>E66*(L66+M66*1.5+N66*2+O66*3+N(K66))</f>
        <v/>
      </c>
      <c r="Q66" s="6" t="n">
        <v>674.6</v>
      </c>
      <c r="R66" s="6">
        <f>Q66-P66</f>
        <v/>
      </c>
    </row>
    <row r="67">
      <c r="A67" s="5" t="inlineStr">
        <is>
          <t>2003</t>
        </is>
      </c>
      <c r="B67" s="5" t="inlineStr"/>
      <c r="C67" s="5" t="inlineStr">
        <is>
          <t>2ND 2NDA. D.</t>
        </is>
      </c>
      <c r="D67" s="5" t="inlineStr">
        <is>
          <t>DGA</t>
        </is>
      </c>
      <c r="E67" s="6" t="n">
        <v>526</v>
      </c>
      <c r="F67" s="5" t="n"/>
      <c r="G67" s="5" t="n"/>
      <c r="H67" s="5" t="n"/>
      <c r="I67" s="5" t="n"/>
      <c r="J67" s="7">
        <f>IF(AND(N(F67)&gt;0,N(I67)&gt;0),I67-F67-IF(N(G67)&gt;0,0.5,0)-IF(N(H67)&gt;0,0.5,0),0)</f>
        <v/>
      </c>
      <c r="K67" s="5" t="n"/>
      <c r="L67" s="7">
        <f>MIN(J67,8.0)</f>
        <v/>
      </c>
      <c r="M67" s="7">
        <f>MAX(0,MIN(J67,12)-8.0)</f>
        <v/>
      </c>
      <c r="N67" s="7">
        <f>MAX(0,J67-12)</f>
        <v/>
      </c>
      <c r="O67" s="5" t="n"/>
      <c r="P67" s="6">
        <f>E67*(L67+M67*1.5+N67*2+O67*3+N(K67))</f>
        <v/>
      </c>
      <c r="Q67" s="6" t="n">
        <v>526</v>
      </c>
      <c r="R67" s="6">
        <f>Q67-P67</f>
        <v/>
      </c>
    </row>
    <row r="68">
      <c r="P68" s="2" t="inlineStr">
        <is>
          <t>2NDASSTDIRECTORS LABOR</t>
        </is>
      </c>
      <c r="R68" s="8">
        <f>SUM(R66:R67)</f>
        <v/>
      </c>
    </row>
    <row r="70">
      <c r="B70" s="2" t="inlineStr">
        <is>
          <t>SCRIPTSUPERVISOR</t>
        </is>
      </c>
    </row>
    <row r="71">
      <c r="A71" s="5" t="inlineStr">
        <is>
          <t>2005</t>
        </is>
      </c>
      <c r="B71" s="5" t="inlineStr">
        <is>
          <t>Renata Amador</t>
        </is>
      </c>
      <c r="C71" s="5" t="inlineStr">
        <is>
          <t>SCRIPTSUPERVISOR</t>
        </is>
      </c>
      <c r="D71" s="5" t="inlineStr">
        <is>
          <t>Local871</t>
        </is>
      </c>
      <c r="E71" s="6" t="n">
        <v>25.5</v>
      </c>
      <c r="F71" s="5" t="n"/>
      <c r="G71" s="5" t="n"/>
      <c r="H71" s="5" t="n"/>
      <c r="I71" s="5" t="n"/>
      <c r="J71" s="7">
        <f>IF(AND(N(F71)&gt;0,N(I71)&gt;0),I71-F71-IF(N(G71)&gt;0,0.5,0)-IF(N(H71)&gt;0,0.5,0),0)</f>
        <v/>
      </c>
      <c r="K71" s="5" t="n"/>
      <c r="L71" s="7">
        <f>MIN(J71,10.0)</f>
        <v/>
      </c>
      <c r="M71" s="7">
        <f>MAX(0,MIN(J71,12)-10.0)</f>
        <v/>
      </c>
      <c r="N71" s="7">
        <f>MAX(0,J71-12)</f>
        <v/>
      </c>
      <c r="O71" s="5" t="n"/>
      <c r="P71" s="6">
        <f>E71*(L71+M71*1.5+N71*2+O71*3+N(K71))</f>
        <v/>
      </c>
      <c r="Q71" s="6" t="n">
        <v>439.87</v>
      </c>
      <c r="R71" s="6">
        <f>Q71-P71</f>
        <v/>
      </c>
    </row>
    <row r="72">
      <c r="P72" s="2" t="inlineStr">
        <is>
          <t>SCRIPTSUPERVISOR LABOR</t>
        </is>
      </c>
      <c r="R72" s="8">
        <f>SUM(R71:R71)</f>
        <v/>
      </c>
    </row>
    <row r="74">
      <c r="B74" s="2" t="inlineStr">
        <is>
          <t>LOCATIONMANAGERS</t>
        </is>
      </c>
    </row>
    <row r="75">
      <c r="A75" s="5" t="inlineStr">
        <is>
          <t>2007</t>
        </is>
      </c>
      <c r="B75" s="5" t="inlineStr">
        <is>
          <t>Stacey Brashear-Rodriquez</t>
        </is>
      </c>
      <c r="C75" s="5" t="inlineStr">
        <is>
          <t>LOCATIONMANAGER</t>
        </is>
      </c>
      <c r="D75" s="5" t="inlineStr">
        <is>
          <t>Local399</t>
        </is>
      </c>
      <c r="E75" s="6" t="n">
        <v>557.6</v>
      </c>
      <c r="F75" s="5" t="n"/>
      <c r="G75" s="5" t="n"/>
      <c r="H75" s="5" t="n"/>
      <c r="I75" s="5" t="n"/>
      <c r="J75" s="7">
        <f>IF(AND(N(F75)&gt;0,N(I75)&gt;0),I75-F75-IF(N(G75)&gt;0,0.5,0)-IF(N(H75)&gt;0,0.5,0),0)</f>
        <v/>
      </c>
      <c r="K75" s="5" t="n"/>
      <c r="L75" s="7">
        <f>MIN(J75,8.0)</f>
        <v/>
      </c>
      <c r="M75" s="7">
        <f>MAX(0,MIN(J75,12)-8.0)</f>
        <v/>
      </c>
      <c r="N75" s="7">
        <f>MAX(0,J75-12)</f>
        <v/>
      </c>
      <c r="O75" s="5" t="n"/>
      <c r="P75" s="6">
        <f>E75*(L75+M75*1.5+N75*2+O75*3+N(K75))</f>
        <v/>
      </c>
      <c r="Q75" s="6" t="n">
        <v>557.6</v>
      </c>
      <c r="R75" s="6">
        <f>Q75-P75</f>
        <v/>
      </c>
    </row>
    <row r="76">
      <c r="P76" s="2" t="inlineStr">
        <is>
          <t>LOCATIONMANAGERS LABOR</t>
        </is>
      </c>
      <c r="R76" s="8">
        <f>SUM(R75:R75)</f>
        <v/>
      </c>
    </row>
    <row r="78">
      <c r="B78" s="2" t="inlineStr">
        <is>
          <t>ASSISTANTLOCATIONMANAGERS</t>
        </is>
      </c>
    </row>
    <row r="79">
      <c r="A79" s="5" t="inlineStr">
        <is>
          <t>2008</t>
        </is>
      </c>
      <c r="B79" s="5" t="inlineStr">
        <is>
          <t>Rich Heichel</t>
        </is>
      </c>
      <c r="C79" s="5" t="inlineStr">
        <is>
          <t>KEYASSTLOCATIONMGR#1</t>
        </is>
      </c>
      <c r="D79" s="5" t="inlineStr">
        <is>
          <t>Local399</t>
        </is>
      </c>
      <c r="E79" s="6" t="n">
        <v>334.2</v>
      </c>
      <c r="F79" s="5" t="n"/>
      <c r="G79" s="5" t="n"/>
      <c r="H79" s="5" t="n"/>
      <c r="I79" s="5" t="n"/>
      <c r="J79" s="7">
        <f>IF(AND(N(F79)&gt;0,N(I79)&gt;0),I79-F79-IF(N(G79)&gt;0,0.5,0)-IF(N(H79)&gt;0,0.5,0),0)</f>
        <v/>
      </c>
      <c r="K79" s="5" t="n"/>
      <c r="L79" s="7">
        <f>MIN(J79,8.0)</f>
        <v/>
      </c>
      <c r="M79" s="7">
        <f>MAX(0,MIN(J79,12)-8.0)</f>
        <v/>
      </c>
      <c r="N79" s="7">
        <f>MAX(0,J79-12)</f>
        <v/>
      </c>
      <c r="O79" s="5" t="n"/>
      <c r="P79" s="6">
        <f>E79*(L79+M79*1.5+N79*2+O79*3+N(K79))</f>
        <v/>
      </c>
      <c r="Q79" s="6" t="n">
        <v>334.2</v>
      </c>
      <c r="R79" s="6">
        <f>Q79-P79</f>
        <v/>
      </c>
    </row>
    <row r="80">
      <c r="A80" s="5" t="inlineStr">
        <is>
          <t>2008</t>
        </is>
      </c>
      <c r="B80" s="5" t="inlineStr">
        <is>
          <t>Jason Mc Cauley</t>
        </is>
      </c>
      <c r="C80" s="5" t="inlineStr">
        <is>
          <t>LOCATIONASST</t>
        </is>
      </c>
      <c r="D80" s="5" t="inlineStr">
        <is>
          <t>Local399</t>
        </is>
      </c>
      <c r="E80" s="6" t="n">
        <v>229</v>
      </c>
      <c r="F80" s="5" t="n"/>
      <c r="G80" s="5" t="n"/>
      <c r="H80" s="5" t="n"/>
      <c r="I80" s="5" t="n"/>
      <c r="J80" s="7">
        <f>IF(AND(N(F80)&gt;0,N(I80)&gt;0),I80-F80-IF(N(G80)&gt;0,0.5,0)-IF(N(H80)&gt;0,0.5,0),0)</f>
        <v/>
      </c>
      <c r="K80" s="5" t="n"/>
      <c r="L80" s="7">
        <f>MIN(J80,8.0)</f>
        <v/>
      </c>
      <c r="M80" s="7">
        <f>MAX(0,MIN(J80,12)-8.0)</f>
        <v/>
      </c>
      <c r="N80" s="7">
        <f>MAX(0,J80-12)</f>
        <v/>
      </c>
      <c r="O80" s="5" t="n"/>
      <c r="P80" s="6">
        <f>E80*(L80+M80*1.5+N80*2+O80*3+N(K80))</f>
        <v/>
      </c>
      <c r="Q80" s="6" t="n">
        <v>229</v>
      </c>
      <c r="R80" s="6">
        <f>Q80-P80</f>
        <v/>
      </c>
    </row>
    <row r="81">
      <c r="P81" s="2" t="inlineStr">
        <is>
          <t>ASSISTANTLOCATIONMANAGERS LABOR</t>
        </is>
      </c>
      <c r="R81" s="8">
        <f>SUM(R79:R80)</f>
        <v/>
      </c>
    </row>
    <row r="83">
      <c r="B83" s="2" t="inlineStr">
        <is>
          <t>PRODUCTIONCOORDINATOR</t>
        </is>
      </c>
    </row>
    <row r="84">
      <c r="A84" s="5" t="inlineStr">
        <is>
          <t>2009</t>
        </is>
      </c>
      <c r="B84" s="5" t="inlineStr">
        <is>
          <t>Ali Griffith</t>
        </is>
      </c>
      <c r="C84" s="5" t="inlineStr">
        <is>
          <t>PRODUCTIONOFCCOORD</t>
        </is>
      </c>
      <c r="D84" s="5" t="inlineStr"/>
      <c r="E84" s="6" t="n">
        <v>360</v>
      </c>
      <c r="F84" s="5" t="n"/>
      <c r="G84" s="5" t="n"/>
      <c r="H84" s="5" t="n"/>
      <c r="I84" s="5" t="n"/>
      <c r="J84" s="7">
        <f>IF(AND(N(F84)&gt;0,N(I84)&gt;0),I84-F84-IF(N(G84)&gt;0,0.5,0)-IF(N(H84)&gt;0,0.5,0),0)</f>
        <v/>
      </c>
      <c r="K84" s="5" t="n"/>
      <c r="L84" s="7">
        <f>MIN(J84,8.0)</f>
        <v/>
      </c>
      <c r="M84" s="7">
        <f>MAX(0,MIN(J84,12)-8.0)</f>
        <v/>
      </c>
      <c r="N84" s="7">
        <f>MAX(0,J84-12)</f>
        <v/>
      </c>
      <c r="O84" s="5" t="n"/>
      <c r="P84" s="6">
        <f>E84*(L84+M84*1.5+N84*2+O84*3+N(K84))</f>
        <v/>
      </c>
      <c r="Q84" s="6" t="n">
        <v>360</v>
      </c>
      <c r="R84" s="6">
        <f>Q84-P84</f>
        <v/>
      </c>
    </row>
    <row r="85">
      <c r="P85" s="2" t="inlineStr">
        <is>
          <t>PRODUCTIONCOORDINATOR LABOR</t>
        </is>
      </c>
      <c r="R85" s="8">
        <f>SUM(R84:R84)</f>
        <v/>
      </c>
    </row>
    <row r="87">
      <c r="B87" s="2" t="inlineStr">
        <is>
          <t>ASSTPRODUCTIONCOORDINATOR</t>
        </is>
      </c>
    </row>
    <row r="88">
      <c r="A88" s="5" t="inlineStr">
        <is>
          <t>2010</t>
        </is>
      </c>
      <c r="B88" s="5" t="inlineStr">
        <is>
          <t>Holly Dellocono</t>
        </is>
      </c>
      <c r="C88" s="5" t="inlineStr">
        <is>
          <t>APOC</t>
        </is>
      </c>
      <c r="D88" s="5" t="inlineStr">
        <is>
          <t>Local871</t>
        </is>
      </c>
      <c r="E88" s="6" t="n">
        <v>20.57</v>
      </c>
      <c r="F88" s="5" t="n"/>
      <c r="G88" s="5" t="n"/>
      <c r="H88" s="5" t="n"/>
      <c r="I88" s="5" t="n"/>
      <c r="J88" s="7">
        <f>IF(AND(N(F88)&gt;0,N(I88)&gt;0),I88-F88-IF(N(G88)&gt;0,0.5,0)-IF(N(H88)&gt;0,0.5,0),0)</f>
        <v/>
      </c>
      <c r="K88" s="5" t="n"/>
      <c r="L88" s="7">
        <f>MIN(J88,10.0)</f>
        <v/>
      </c>
      <c r="M88" s="7">
        <f>MAX(0,MIN(J88,12)-10.0)</f>
        <v/>
      </c>
      <c r="N88" s="7">
        <f>MAX(0,J88-12)</f>
        <v/>
      </c>
      <c r="O88" s="5" t="n"/>
      <c r="P88" s="6">
        <f>E88*(L88+M88*1.5+N88*2+O88*3+N(K88))</f>
        <v/>
      </c>
      <c r="Q88" s="6" t="n">
        <v>287.98</v>
      </c>
      <c r="R88" s="6">
        <f>Q88-P88</f>
        <v/>
      </c>
    </row>
    <row r="89">
      <c r="P89" s="2" t="inlineStr">
        <is>
          <t>ASSTPRODUCTIONCOORDINATOR LABOR</t>
        </is>
      </c>
      <c r="R89" s="8">
        <f>SUM(R88:R88)</f>
        <v/>
      </c>
    </row>
    <row r="91">
      <c r="B91" s="2" t="inlineStr">
        <is>
          <t>OFFICESTAFFASSISTANTS</t>
        </is>
      </c>
    </row>
    <row r="92">
      <c r="A92" s="5" t="inlineStr">
        <is>
          <t>2011</t>
        </is>
      </c>
      <c r="B92" s="5" t="inlineStr">
        <is>
          <t>John Humber</t>
        </is>
      </c>
      <c r="C92" s="5" t="inlineStr">
        <is>
          <t>OFFICEPA#1</t>
        </is>
      </c>
      <c r="D92" s="5" t="inlineStr"/>
      <c r="E92" s="6" t="n">
        <v>22.5</v>
      </c>
      <c r="F92" s="5" t="n"/>
      <c r="G92" s="5" t="n"/>
      <c r="H92" s="5" t="n"/>
      <c r="I92" s="5" t="n"/>
      <c r="J92" s="7">
        <f>IF(AND(N(F92)&gt;0,N(I92)&gt;0),I92-F92-IF(N(G92)&gt;0,0.5,0)-IF(N(H92)&gt;0,0.5,0),0)</f>
        <v/>
      </c>
      <c r="K92" s="5" t="n"/>
      <c r="L92" s="7">
        <f>MIN(J92,8.0)</f>
        <v/>
      </c>
      <c r="M92" s="7">
        <f>MAX(0,MIN(J92,12)-8.0)</f>
        <v/>
      </c>
      <c r="N92" s="7">
        <f>MAX(0,J92-12)</f>
        <v/>
      </c>
      <c r="O92" s="5" t="n"/>
      <c r="P92" s="6">
        <f>E92*(L92+M92*1.5+N92*2+O92*3+N(K92))</f>
        <v/>
      </c>
      <c r="Q92" s="6" t="n">
        <v>168</v>
      </c>
      <c r="R92" s="6">
        <f>Q92-P92</f>
        <v/>
      </c>
    </row>
    <row r="93">
      <c r="A93" s="5" t="inlineStr">
        <is>
          <t>2011</t>
        </is>
      </c>
      <c r="B93" s="5" t="inlineStr">
        <is>
          <t>Sarah Semenas</t>
        </is>
      </c>
      <c r="C93" s="5" t="inlineStr">
        <is>
          <t>OFFICEPA#2</t>
        </is>
      </c>
      <c r="D93" s="5" t="inlineStr"/>
      <c r="E93" s="6" t="n">
        <v>22.5</v>
      </c>
      <c r="F93" s="5" t="n"/>
      <c r="G93" s="5" t="n"/>
      <c r="H93" s="5" t="n"/>
      <c r="I93" s="5" t="n"/>
      <c r="J93" s="7">
        <f>IF(AND(N(F93)&gt;0,N(I93)&gt;0),I93-F93-IF(N(G93)&gt;0,0.5,0)-IF(N(H93)&gt;0,0.5,0),0)</f>
        <v/>
      </c>
      <c r="K93" s="5" t="n"/>
      <c r="L93" s="7">
        <f>MIN(J93,8.0)</f>
        <v/>
      </c>
      <c r="M93" s="7">
        <f>MAX(0,MIN(J93,12)-8.0)</f>
        <v/>
      </c>
      <c r="N93" s="7">
        <f>MAX(0,J93-12)</f>
        <v/>
      </c>
      <c r="O93" s="5" t="n"/>
      <c r="P93" s="6">
        <f>E93*(L93+M93*1.5+N93*2+O93*3+N(K93))</f>
        <v/>
      </c>
      <c r="Q93" s="6" t="n">
        <v>168</v>
      </c>
      <c r="R93" s="6">
        <f>Q93-P93</f>
        <v/>
      </c>
    </row>
    <row r="94">
      <c r="P94" s="2" t="inlineStr">
        <is>
          <t>OFFICESTAFFASSISTANTS LABOR</t>
        </is>
      </c>
      <c r="R94" s="8">
        <f>SUM(R92:R93)</f>
        <v/>
      </c>
    </row>
    <row r="96">
      <c r="B96" s="2" t="inlineStr">
        <is>
          <t>SETSTAFFASSISTANTS</t>
        </is>
      </c>
    </row>
    <row r="97">
      <c r="A97" s="5" t="inlineStr">
        <is>
          <t>2012</t>
        </is>
      </c>
      <c r="B97" s="5" t="inlineStr">
        <is>
          <t>Paula Henry</t>
        </is>
      </c>
      <c r="C97" s="5" t="inlineStr">
        <is>
          <t>KEYSETPA</t>
        </is>
      </c>
      <c r="D97" s="5" t="inlineStr"/>
      <c r="E97" s="6" t="n">
        <v>12</v>
      </c>
      <c r="F97" s="5" t="n"/>
      <c r="G97" s="5" t="n"/>
      <c r="H97" s="5" t="n"/>
      <c r="I97" s="5" t="n"/>
      <c r="J97" s="7">
        <f>IF(AND(N(F97)&gt;0,N(I97)&gt;0),I97-F97-IF(N(G97)&gt;0,0.5,0)-IF(N(H97)&gt;0,0.5,0),0)</f>
        <v/>
      </c>
      <c r="K97" s="5" t="n"/>
      <c r="L97" s="7">
        <f>MIN(J97,8.0)</f>
        <v/>
      </c>
      <c r="M97" s="7">
        <f>MAX(0,MIN(J97,12)-8.0)</f>
        <v/>
      </c>
      <c r="N97" s="7">
        <f>MAX(0,J97-12)</f>
        <v/>
      </c>
      <c r="O97" s="5" t="n"/>
      <c r="P97" s="6">
        <f>E97*(L97+M97*1.5+N97*2+O97*3+N(K97))</f>
        <v/>
      </c>
      <c r="Q97" s="6" t="n">
        <v>216</v>
      </c>
      <c r="R97" s="6">
        <f>Q97-P97</f>
        <v/>
      </c>
    </row>
    <row r="98">
      <c r="A98" s="5" t="inlineStr">
        <is>
          <t>2012</t>
        </is>
      </c>
      <c r="B98" s="5" t="inlineStr"/>
      <c r="C98" s="5" t="inlineStr">
        <is>
          <t>SETPA#2</t>
        </is>
      </c>
      <c r="D98" s="5" t="inlineStr"/>
      <c r="E98" s="6" t="n">
        <v>12</v>
      </c>
      <c r="F98" s="5" t="n"/>
      <c r="G98" s="5" t="n"/>
      <c r="H98" s="5" t="n"/>
      <c r="I98" s="5" t="n"/>
      <c r="J98" s="7">
        <f>IF(AND(N(F98)&gt;0,N(I98)&gt;0),I98-F98-IF(N(G98)&gt;0,0.5,0)-IF(N(H98)&gt;0,0.5,0),0)</f>
        <v/>
      </c>
      <c r="K98" s="5" t="n"/>
      <c r="L98" s="7">
        <f>MIN(J98,8.0)</f>
        <v/>
      </c>
      <c r="M98" s="7">
        <f>MAX(0,MIN(J98,12)-8.0)</f>
        <v/>
      </c>
      <c r="N98" s="7">
        <f>MAX(0,J98-12)</f>
        <v/>
      </c>
      <c r="O98" s="5" t="n"/>
      <c r="P98" s="6">
        <f>E98*(L98+M98*1.5+N98*2+O98*3+N(K98))</f>
        <v/>
      </c>
      <c r="Q98" s="6" t="n">
        <v>216</v>
      </c>
      <c r="R98" s="6">
        <f>Q98-P98</f>
        <v/>
      </c>
    </row>
    <row r="99">
      <c r="A99" s="5" t="inlineStr">
        <is>
          <t>2012</t>
        </is>
      </c>
      <c r="B99" s="5" t="inlineStr"/>
      <c r="C99" s="5" t="inlineStr">
        <is>
          <t>SETPA#3</t>
        </is>
      </c>
      <c r="D99" s="5" t="inlineStr"/>
      <c r="E99" s="6" t="n">
        <v>12</v>
      </c>
      <c r="F99" s="5" t="n"/>
      <c r="G99" s="5" t="n"/>
      <c r="H99" s="5" t="n"/>
      <c r="I99" s="5" t="n"/>
      <c r="J99" s="7">
        <f>IF(AND(N(F99)&gt;0,N(I99)&gt;0),I99-F99-IF(N(G99)&gt;0,0.5,0)-IF(N(H99)&gt;0,0.5,0),0)</f>
        <v/>
      </c>
      <c r="K99" s="5" t="n"/>
      <c r="L99" s="7">
        <f>MIN(J99,8.0)</f>
        <v/>
      </c>
      <c r="M99" s="7">
        <f>MAX(0,MIN(J99,12)-8.0)</f>
        <v/>
      </c>
      <c r="N99" s="7">
        <f>MAX(0,J99-12)</f>
        <v/>
      </c>
      <c r="O99" s="5" t="n"/>
      <c r="P99" s="6">
        <f>E99*(L99+M99*1.5+N99*2+O99*3+N(K99))</f>
        <v/>
      </c>
      <c r="Q99" s="6" t="n">
        <v>216</v>
      </c>
      <c r="R99" s="6">
        <f>Q99-P99</f>
        <v/>
      </c>
    </row>
    <row r="100">
      <c r="A100" s="5" t="inlineStr">
        <is>
          <t>2012</t>
        </is>
      </c>
      <c r="B100" s="5" t="inlineStr"/>
      <c r="C100" s="5" t="inlineStr">
        <is>
          <t>SETPA#4</t>
        </is>
      </c>
      <c r="D100" s="5" t="inlineStr"/>
      <c r="E100" s="6" t="n">
        <v>12</v>
      </c>
      <c r="F100" s="5" t="n"/>
      <c r="G100" s="5" t="n"/>
      <c r="H100" s="5" t="n"/>
      <c r="I100" s="5" t="n"/>
      <c r="J100" s="7">
        <f>IF(AND(N(F100)&gt;0,N(I100)&gt;0),I100-F100-IF(N(G100)&gt;0,0.5,0)-IF(N(H100)&gt;0,0.5,0),0)</f>
        <v/>
      </c>
      <c r="K100" s="5" t="n"/>
      <c r="L100" s="7">
        <f>MIN(J100,8.0)</f>
        <v/>
      </c>
      <c r="M100" s="7">
        <f>MAX(0,MIN(J100,12)-8.0)</f>
        <v/>
      </c>
      <c r="N100" s="7">
        <f>MAX(0,J100-12)</f>
        <v/>
      </c>
      <c r="O100" s="5" t="n"/>
      <c r="P100" s="6">
        <f>E100*(L100+M100*1.5+N100*2+O100*3+N(K100))</f>
        <v/>
      </c>
      <c r="Q100" s="6" t="n">
        <v>216</v>
      </c>
      <c r="R100" s="6">
        <f>Q100-P100</f>
        <v/>
      </c>
    </row>
    <row r="101">
      <c r="P101" s="2" t="inlineStr">
        <is>
          <t>SETSTAFFASSISTANTS LABOR</t>
        </is>
      </c>
      <c r="R101" s="8">
        <f>SUM(R97:R100)</f>
        <v/>
      </c>
    </row>
    <row r="103">
      <c r="B103" s="2" t="inlineStr">
        <is>
          <t>PRODUCTIONACCOUNTANT</t>
        </is>
      </c>
    </row>
    <row r="104">
      <c r="A104" s="5" t="inlineStr">
        <is>
          <t>2013</t>
        </is>
      </c>
      <c r="B104" s="5" t="inlineStr">
        <is>
          <t>Joel Tokarsky</t>
        </is>
      </c>
      <c r="C104" s="5" t="inlineStr">
        <is>
          <t>PRODUCTIONACCOUNTANT</t>
        </is>
      </c>
      <c r="D104" s="5" t="inlineStr">
        <is>
          <t>Local871</t>
        </is>
      </c>
      <c r="E104" s="6" t="n">
        <v>740</v>
      </c>
      <c r="F104" s="5" t="n"/>
      <c r="G104" s="5" t="n"/>
      <c r="H104" s="5" t="n"/>
      <c r="I104" s="5" t="n"/>
      <c r="J104" s="7">
        <f>IF(AND(N(F104)&gt;0,N(I104)&gt;0),I104-F104-IF(N(G104)&gt;0,0.5,0)-IF(N(H104)&gt;0,0.5,0),0)</f>
        <v/>
      </c>
      <c r="K104" s="5" t="n"/>
      <c r="L104" s="7">
        <f>MIN(J104,10.0)</f>
        <v/>
      </c>
      <c r="M104" s="7">
        <f>MAX(0,MIN(J104,12)-10.0)</f>
        <v/>
      </c>
      <c r="N104" s="7">
        <f>MAX(0,J104-12)</f>
        <v/>
      </c>
      <c r="O104" s="5" t="n"/>
      <c r="P104" s="6">
        <f>E104*(L104+M104*1.5+N104*2+O104*3+N(K104))</f>
        <v/>
      </c>
      <c r="Q104" s="6" t="n">
        <v>740</v>
      </c>
      <c r="R104" s="6">
        <f>Q104-P104</f>
        <v/>
      </c>
    </row>
    <row r="105">
      <c r="P105" s="2" t="inlineStr">
        <is>
          <t>PRODUCTIONACCOUNTANT LABOR</t>
        </is>
      </c>
      <c r="R105" s="8">
        <f>SUM(R104:R104)</f>
        <v/>
      </c>
    </row>
    <row r="107">
      <c r="B107" s="2" t="inlineStr">
        <is>
          <t>ASSTPRODUCTIONACCOUNTANTS</t>
        </is>
      </c>
    </row>
    <row r="108">
      <c r="A108" s="5" t="inlineStr">
        <is>
          <t>2014</t>
        </is>
      </c>
      <c r="B108" s="5" t="inlineStr">
        <is>
          <t>Co-Co Aiello</t>
        </is>
      </c>
      <c r="C108" s="5" t="inlineStr">
        <is>
          <t>1STASSTACCT</t>
        </is>
      </c>
      <c r="D108" s="5" t="inlineStr">
        <is>
          <t>Local871</t>
        </is>
      </c>
      <c r="E108" s="6" t="n">
        <v>480</v>
      </c>
      <c r="F108" s="5" t="n"/>
      <c r="G108" s="5" t="n"/>
      <c r="H108" s="5" t="n"/>
      <c r="I108" s="5" t="n"/>
      <c r="J108" s="7">
        <f>IF(AND(N(F108)&gt;0,N(I108)&gt;0),I108-F108-IF(N(G108)&gt;0,0.5,0)-IF(N(H108)&gt;0,0.5,0),0)</f>
        <v/>
      </c>
      <c r="K108" s="5" t="n"/>
      <c r="L108" s="7">
        <f>MIN(J108,10.0)</f>
        <v/>
      </c>
      <c r="M108" s="7">
        <f>MAX(0,MIN(J108,12)-10.0)</f>
        <v/>
      </c>
      <c r="N108" s="7">
        <f>MAX(0,J108-12)</f>
        <v/>
      </c>
      <c r="O108" s="5" t="n"/>
      <c r="P108" s="6">
        <f>E108*(L108+M108*1.5+N108*2+O108*3+N(K108))</f>
        <v/>
      </c>
      <c r="Q108" s="6" t="n">
        <v>480</v>
      </c>
      <c r="R108" s="6">
        <f>Q108-P108</f>
        <v/>
      </c>
    </row>
    <row r="109">
      <c r="A109" s="5" t="inlineStr">
        <is>
          <t>2014</t>
        </is>
      </c>
      <c r="B109" s="5" t="inlineStr">
        <is>
          <t>Steve Goldstein</t>
        </is>
      </c>
      <c r="C109" s="5" t="inlineStr">
        <is>
          <t>PAYROLLACCT</t>
        </is>
      </c>
      <c r="D109" s="5" t="inlineStr">
        <is>
          <t>Local871</t>
        </is>
      </c>
      <c r="E109" s="6" t="n">
        <v>420</v>
      </c>
      <c r="F109" s="5" t="n"/>
      <c r="G109" s="5" t="n"/>
      <c r="H109" s="5" t="n"/>
      <c r="I109" s="5" t="n"/>
      <c r="J109" s="7">
        <f>IF(AND(N(F109)&gt;0,N(I109)&gt;0),I109-F109-IF(N(G109)&gt;0,0.5,0)-IF(N(H109)&gt;0,0.5,0),0)</f>
        <v/>
      </c>
      <c r="K109" s="5" t="n"/>
      <c r="L109" s="7">
        <f>MIN(J109,10.0)</f>
        <v/>
      </c>
      <c r="M109" s="7">
        <f>MAX(0,MIN(J109,12)-10.0)</f>
        <v/>
      </c>
      <c r="N109" s="7">
        <f>MAX(0,J109-12)</f>
        <v/>
      </c>
      <c r="O109" s="5" t="n"/>
      <c r="P109" s="6">
        <f>E109*(L109+M109*1.5+N109*2+O109*3+N(K109))</f>
        <v/>
      </c>
      <c r="Q109" s="6" t="n">
        <v>420</v>
      </c>
      <c r="R109" s="6">
        <f>Q109-P109</f>
        <v/>
      </c>
    </row>
    <row r="110">
      <c r="P110" s="2" t="inlineStr">
        <is>
          <t>ASSTPRODUCTIONACCOUNTANTS LABOR</t>
        </is>
      </c>
      <c r="R110" s="8">
        <f>SUM(R108:R109)</f>
        <v/>
      </c>
    </row>
    <row r="112">
      <c r="B112" s="2" t="inlineStr">
        <is>
          <t>CONSTRUCTIONCOORDINATOR</t>
        </is>
      </c>
    </row>
    <row r="113">
      <c r="A113" s="5" t="inlineStr">
        <is>
          <t>2302</t>
        </is>
      </c>
      <c r="B113" s="5" t="inlineStr">
        <is>
          <t>Drew Rebelin</t>
        </is>
      </c>
      <c r="C113" s="5" t="inlineStr">
        <is>
          <t>CONSTCOORDINATOR</t>
        </is>
      </c>
      <c r="D113" s="5" t="inlineStr">
        <is>
          <t>Local44</t>
        </is>
      </c>
      <c r="E113" s="6" t="n">
        <v>400</v>
      </c>
      <c r="F113" s="5" t="n"/>
      <c r="G113" s="5" t="n"/>
      <c r="H113" s="5" t="n"/>
      <c r="I113" s="5" t="n"/>
      <c r="J113" s="7">
        <f>IF(AND(N(F113)&gt;0,N(I113)&gt;0),I113-F113-IF(N(G113)&gt;0,0.5,0)-IF(N(H113)&gt;0,0.5,0),0)</f>
        <v/>
      </c>
      <c r="K113" s="5" t="n"/>
      <c r="L113" s="7">
        <f>MIN(J113,10.0)</f>
        <v/>
      </c>
      <c r="M113" s="7">
        <f>MAX(0,MIN(J113,12)-10.0)</f>
        <v/>
      </c>
      <c r="N113" s="7">
        <f>MAX(0,J113-12)</f>
        <v/>
      </c>
      <c r="O113" s="5" t="n"/>
      <c r="P113" s="6">
        <f>E113*(L113+M113*1.5+N113*2+O113*3+N(K113))</f>
        <v/>
      </c>
      <c r="Q113" s="5" t="n"/>
      <c r="R113" s="6">
        <f>Q113-P113</f>
        <v/>
      </c>
    </row>
    <row r="114">
      <c r="P114" s="2" t="inlineStr">
        <is>
          <t>CONSTRUCTIONCOORDINATOR LABOR</t>
        </is>
      </c>
      <c r="R114" s="8">
        <f>SUM(R113:R113)</f>
        <v/>
      </c>
    </row>
    <row r="116">
      <c r="B116" s="2" t="inlineStr">
        <is>
          <t>PAINTFOREMAN</t>
        </is>
      </c>
    </row>
    <row r="117">
      <c r="A117" s="5" t="inlineStr">
        <is>
          <t>2304</t>
        </is>
      </c>
      <c r="B117" s="5" t="inlineStr">
        <is>
          <t>Kristeen Reimnitz</t>
        </is>
      </c>
      <c r="C117" s="5" t="inlineStr">
        <is>
          <t>PAINTER</t>
        </is>
      </c>
      <c r="D117" s="5" t="inlineStr">
        <is>
          <t>Local729</t>
        </is>
      </c>
      <c r="E117" s="6" t="n">
        <v>23.04</v>
      </c>
      <c r="F117" s="5" t="n"/>
      <c r="G117" s="5" t="n"/>
      <c r="H117" s="5" t="n"/>
      <c r="I117" s="5" t="n"/>
      <c r="J117" s="7">
        <f>IF(AND(N(F117)&gt;0,N(I117)&gt;0),I117-F117-IF(N(G117)&gt;0,0.5,0)-IF(N(H117)&gt;0,0.5,0),0)</f>
        <v/>
      </c>
      <c r="K117" s="5" t="n"/>
      <c r="L117" s="7">
        <f>MIN(J117,10.0)</f>
        <v/>
      </c>
      <c r="M117" s="7">
        <f>MAX(0,MIN(J117,12)-10.0)</f>
        <v/>
      </c>
      <c r="N117" s="7">
        <f>MAX(0,J117-12)</f>
        <v/>
      </c>
      <c r="O117" s="5" t="n"/>
      <c r="P117" s="6">
        <f>E117*(L117+M117*1.5+N117*2+O117*3+N(K117))</f>
        <v/>
      </c>
      <c r="Q117" s="5" t="n"/>
      <c r="R117" s="6">
        <f>Q117-P117</f>
        <v/>
      </c>
    </row>
    <row r="118">
      <c r="P118" s="2" t="inlineStr">
        <is>
          <t>PAINTFOREMAN LABOR</t>
        </is>
      </c>
      <c r="R118" s="8">
        <f>SUM(R117:R117)</f>
        <v/>
      </c>
    </row>
    <row r="120">
      <c r="B120" s="2" t="inlineStr">
        <is>
          <t>FIRSTAIDLABOR</t>
        </is>
      </c>
    </row>
    <row r="121">
      <c r="A121" s="5" t="inlineStr">
        <is>
          <t>2310</t>
        </is>
      </c>
      <c r="B121" s="5" t="inlineStr"/>
      <c r="C121" s="5" t="inlineStr">
        <is>
          <t>CONSTRUCTIONMEDIC</t>
        </is>
      </c>
      <c r="D121" s="5" t="inlineStr">
        <is>
          <t>Local80</t>
        </is>
      </c>
      <c r="E121" s="6" t="n">
        <v>23.04</v>
      </c>
      <c r="F121" s="5" t="n"/>
      <c r="G121" s="5" t="n"/>
      <c r="H121" s="5" t="n"/>
      <c r="I121" s="5" t="n"/>
      <c r="J121" s="7">
        <f>IF(AND(N(F121)&gt;0,N(I121)&gt;0),I121-F121-IF(N(G121)&gt;0,0.5,0)-IF(N(H121)&gt;0,0.5,0),0)</f>
        <v/>
      </c>
      <c r="K121" s="5" t="n"/>
      <c r="L121" s="7">
        <f>MIN(J121,10.0)</f>
        <v/>
      </c>
      <c r="M121" s="7">
        <f>MAX(0,MIN(J121,12)-10.0)</f>
        <v/>
      </c>
      <c r="N121" s="7">
        <f>MAX(0,J121-12)</f>
        <v/>
      </c>
      <c r="O121" s="5" t="n"/>
      <c r="P121" s="6">
        <f>E121*(L121+M121*1.5+N121*2+O121*3+N(K121))</f>
        <v/>
      </c>
      <c r="Q121" s="5" t="n"/>
      <c r="R121" s="6">
        <f>Q121-P121</f>
        <v/>
      </c>
    </row>
    <row r="122">
      <c r="P122" s="2" t="inlineStr">
        <is>
          <t>FIRSTAIDLABOR LABOR</t>
        </is>
      </c>
      <c r="R122" s="8">
        <f>SUM(R121:R121)</f>
        <v/>
      </c>
    </row>
    <row r="124">
      <c r="B124" s="2" t="inlineStr">
        <is>
          <t>KEYGRIP</t>
        </is>
      </c>
    </row>
    <row r="125">
      <c r="A125" s="5" t="inlineStr">
        <is>
          <t>2501</t>
        </is>
      </c>
      <c r="B125" s="5" t="inlineStr">
        <is>
          <t>Pat O'Mara</t>
        </is>
      </c>
      <c r="C125" s="5" t="inlineStr">
        <is>
          <t>KEYGRIP</t>
        </is>
      </c>
      <c r="D125" s="5" t="inlineStr">
        <is>
          <t>Local80</t>
        </is>
      </c>
      <c r="E125" s="6" t="n">
        <v>25.5</v>
      </c>
      <c r="F125" s="5" t="n"/>
      <c r="G125" s="5" t="n"/>
      <c r="H125" s="5" t="n"/>
      <c r="I125" s="5" t="n"/>
      <c r="J125" s="7">
        <f>IF(AND(N(F125)&gt;0,N(I125)&gt;0),I125-F125-IF(N(G125)&gt;0,0.5,0)-IF(N(H125)&gt;0,0.5,0),0)</f>
        <v/>
      </c>
      <c r="K125" s="5" t="n"/>
      <c r="L125" s="7">
        <f>MIN(J125,10.0)</f>
        <v/>
      </c>
      <c r="M125" s="7">
        <f>MAX(0,MIN(J125,12)-10.0)</f>
        <v/>
      </c>
      <c r="N125" s="7">
        <f>MAX(0,J125-12)</f>
        <v/>
      </c>
      <c r="O125" s="5" t="n"/>
      <c r="P125" s="6">
        <f>E125*(L125+M125*1.5+N125*2+O125*3+N(K125))</f>
        <v/>
      </c>
      <c r="Q125" s="6" t="n">
        <v>395.25</v>
      </c>
      <c r="R125" s="6">
        <f>Q125-P125</f>
        <v/>
      </c>
    </row>
    <row r="126">
      <c r="P126" s="2" t="inlineStr">
        <is>
          <t>KEYGRIP LABOR</t>
        </is>
      </c>
      <c r="R126" s="8">
        <f>SUM(R125:R125)</f>
        <v/>
      </c>
    </row>
    <row r="128">
      <c r="B128" s="2" t="inlineStr">
        <is>
          <t>BESTBOYGRIP</t>
        </is>
      </c>
    </row>
    <row r="129">
      <c r="A129" s="5" t="inlineStr">
        <is>
          <t>2502</t>
        </is>
      </c>
      <c r="B129" s="5" t="inlineStr">
        <is>
          <t>Aaron Fairley</t>
        </is>
      </c>
      <c r="C129" s="5" t="inlineStr">
        <is>
          <t>BESTBOYGRIP</t>
        </is>
      </c>
      <c r="D129" s="5" t="inlineStr">
        <is>
          <t>Local80</t>
        </is>
      </c>
      <c r="E129" s="6" t="n">
        <v>23.04</v>
      </c>
      <c r="F129" s="5" t="n"/>
      <c r="G129" s="5" t="n"/>
      <c r="H129" s="5" t="n"/>
      <c r="I129" s="5" t="n"/>
      <c r="J129" s="7">
        <f>IF(AND(N(F129)&gt;0,N(I129)&gt;0),I129-F129-IF(N(G129)&gt;0,0.5,0)-IF(N(H129)&gt;0,0.5,0),0)</f>
        <v/>
      </c>
      <c r="K129" s="5" t="n"/>
      <c r="L129" s="7">
        <f>MIN(J129,10.0)</f>
        <v/>
      </c>
      <c r="M129" s="7">
        <f>MAX(0,MIN(J129,12)-10.0)</f>
        <v/>
      </c>
      <c r="N129" s="7">
        <f>MAX(0,J129-12)</f>
        <v/>
      </c>
      <c r="O129" s="5" t="n"/>
      <c r="P129" s="6">
        <f>E129*(L129+M129*1.5+N129*2+O129*3+N(K129))</f>
        <v/>
      </c>
      <c r="Q129" s="6" t="n">
        <v>357.12</v>
      </c>
      <c r="R129" s="6">
        <f>Q129-P129</f>
        <v/>
      </c>
    </row>
    <row r="130">
      <c r="A130" s="5" t="inlineStr">
        <is>
          <t>2502</t>
        </is>
      </c>
      <c r="B130" s="5" t="inlineStr"/>
      <c r="C130" s="5" t="inlineStr">
        <is>
          <t>STUDIOBESTBOYGRIP</t>
        </is>
      </c>
      <c r="D130" s="5" t="inlineStr">
        <is>
          <t>Local80</t>
        </is>
      </c>
      <c r="E130" s="6" t="n">
        <v>43.05</v>
      </c>
      <c r="F130" s="5" t="n"/>
      <c r="G130" s="5" t="n"/>
      <c r="H130" s="5" t="n"/>
      <c r="I130" s="5" t="n"/>
      <c r="J130" s="7">
        <f>IF(AND(N(F130)&gt;0,N(I130)&gt;0),I130-F130-IF(N(G130)&gt;0,0.5,0)-IF(N(H130)&gt;0,0.5,0),0)</f>
        <v/>
      </c>
      <c r="K130" s="5" t="n"/>
      <c r="L130" s="7">
        <f>MIN(J130,10.0)</f>
        <v/>
      </c>
      <c r="M130" s="7">
        <f>MAX(0,MIN(J130,12)-10.0)</f>
        <v/>
      </c>
      <c r="N130" s="7">
        <f>MAX(0,J130-12)</f>
        <v/>
      </c>
      <c r="O130" s="5" t="n"/>
      <c r="P130" s="6">
        <f>E130*(L130+M130*1.5+N130*2+O130*3+N(K130))</f>
        <v/>
      </c>
      <c r="Q130" s="6" t="n">
        <v>667.27</v>
      </c>
      <c r="R130" s="6">
        <f>Q130-P130</f>
        <v/>
      </c>
    </row>
    <row r="131">
      <c r="P131" s="2" t="inlineStr">
        <is>
          <t>BESTBOYGRIP LABOR</t>
        </is>
      </c>
      <c r="R131" s="8">
        <f>SUM(R129:R130)</f>
        <v/>
      </c>
    </row>
    <row r="133">
      <c r="B133" s="2" t="inlineStr">
        <is>
          <t>DOLLYGRIP</t>
        </is>
      </c>
    </row>
    <row r="134">
      <c r="A134" s="5" t="inlineStr">
        <is>
          <t>2503</t>
        </is>
      </c>
      <c r="B134" s="5" t="inlineStr">
        <is>
          <t>Peter Weidenfeller</t>
        </is>
      </c>
      <c r="C134" s="5" t="inlineStr">
        <is>
          <t>"A"DOLLYGRIP</t>
        </is>
      </c>
      <c r="D134" s="5" t="inlineStr">
        <is>
          <t>Local80</t>
        </is>
      </c>
      <c r="E134" s="6" t="n">
        <v>23.04</v>
      </c>
      <c r="F134" s="5" t="n"/>
      <c r="G134" s="5" t="n"/>
      <c r="H134" s="5" t="n"/>
      <c r="I134" s="5" t="n"/>
      <c r="J134" s="7">
        <f>IF(AND(N(F134)&gt;0,N(I134)&gt;0),I134-F134-IF(N(G134)&gt;0,0.5,0)-IF(N(H134)&gt;0,0.5,0),0)</f>
        <v/>
      </c>
      <c r="K134" s="5" t="n"/>
      <c r="L134" s="7">
        <f>MIN(J134,10.0)</f>
        <v/>
      </c>
      <c r="M134" s="7">
        <f>MAX(0,MIN(J134,12)-10.0)</f>
        <v/>
      </c>
      <c r="N134" s="7">
        <f>MAX(0,J134-12)</f>
        <v/>
      </c>
      <c r="O134" s="5" t="n"/>
      <c r="P134" s="6">
        <f>E134*(L134+M134*1.5+N134*2+O134*3+N(K134))</f>
        <v/>
      </c>
      <c r="Q134" s="6" t="n">
        <v>357.12</v>
      </c>
      <c r="R134" s="6">
        <f>Q134-P134</f>
        <v/>
      </c>
    </row>
    <row r="135">
      <c r="P135" s="2" t="inlineStr">
        <is>
          <t>DOLLYGRIP LABOR</t>
        </is>
      </c>
      <c r="R135" s="8">
        <f>SUM(R134:R134)</f>
        <v/>
      </c>
    </row>
    <row r="137">
      <c r="B137" s="2" t="inlineStr">
        <is>
          <t>CRANEGRIPS</t>
        </is>
      </c>
    </row>
    <row r="138">
      <c r="A138" s="5" t="inlineStr">
        <is>
          <t>2504</t>
        </is>
      </c>
      <c r="B138" s="5" t="inlineStr"/>
      <c r="C138" s="5" t="inlineStr">
        <is>
          <t>CRANEOPERATOR</t>
        </is>
      </c>
      <c r="D138" s="5" t="inlineStr">
        <is>
          <t>Local80</t>
        </is>
      </c>
      <c r="E138" s="6" t="n">
        <v>792</v>
      </c>
      <c r="F138" s="5" t="n"/>
      <c r="G138" s="5" t="n"/>
      <c r="H138" s="5" t="n"/>
      <c r="I138" s="5" t="n"/>
      <c r="J138" s="7">
        <f>IF(AND(N(F138)&gt;0,N(I138)&gt;0),I138-F138-IF(N(G138)&gt;0,0.5,0)-IF(N(H138)&gt;0,0.5,0),0)</f>
        <v/>
      </c>
      <c r="K138" s="5" t="n"/>
      <c r="L138" s="7">
        <f>MIN(J138,10.0)</f>
        <v/>
      </c>
      <c r="M138" s="7">
        <f>MAX(0,MIN(J138,12)-10.0)</f>
        <v/>
      </c>
      <c r="N138" s="7">
        <f>MAX(0,J138-12)</f>
        <v/>
      </c>
      <c r="O138" s="5" t="n"/>
      <c r="P138" s="6">
        <f>E138*(L138+M138*1.5+N138*2+O138*3+N(K138))</f>
        <v/>
      </c>
      <c r="Q138" s="6" t="n">
        <v>924</v>
      </c>
      <c r="R138" s="6">
        <f>Q138-P138</f>
        <v/>
      </c>
    </row>
    <row r="139">
      <c r="A139" s="5" t="inlineStr">
        <is>
          <t>2504</t>
        </is>
      </c>
      <c r="B139" s="5" t="inlineStr"/>
      <c r="C139" s="5" t="inlineStr">
        <is>
          <t>CRANEASSISTANT</t>
        </is>
      </c>
      <c r="D139" s="5" t="inlineStr">
        <is>
          <t>Local80</t>
        </is>
      </c>
      <c r="E139" s="6" t="n">
        <v>660</v>
      </c>
      <c r="F139" s="5" t="n"/>
      <c r="G139" s="5" t="n"/>
      <c r="H139" s="5" t="n"/>
      <c r="I139" s="5" t="n"/>
      <c r="J139" s="7">
        <f>IF(AND(N(F139)&gt;0,N(I139)&gt;0),I139-F139-IF(N(G139)&gt;0,0.5,0)-IF(N(H139)&gt;0,0.5,0),0)</f>
        <v/>
      </c>
      <c r="K139" s="5" t="n"/>
      <c r="L139" s="7">
        <f>MIN(J139,10.0)</f>
        <v/>
      </c>
      <c r="M139" s="7">
        <f>MAX(0,MIN(J139,12)-10.0)</f>
        <v/>
      </c>
      <c r="N139" s="7">
        <f>MAX(0,J139-12)</f>
        <v/>
      </c>
      <c r="O139" s="5" t="n"/>
      <c r="P139" s="6">
        <f>E139*(L139+M139*1.5+N139*2+O139*3+N(K139))</f>
        <v/>
      </c>
      <c r="Q139" s="6" t="n">
        <v>770</v>
      </c>
      <c r="R139" s="6">
        <f>Q139-P139</f>
        <v/>
      </c>
    </row>
    <row r="140">
      <c r="P140" s="2" t="inlineStr">
        <is>
          <t>CRANEGRIPS LABOR</t>
        </is>
      </c>
      <c r="R140" s="8">
        <f>SUM(R138:R139)</f>
        <v/>
      </c>
    </row>
    <row r="142">
      <c r="B142" s="2" t="inlineStr">
        <is>
          <t>COMPANYGRIPS</t>
        </is>
      </c>
    </row>
    <row r="143">
      <c r="A143" s="5" t="inlineStr">
        <is>
          <t>2505</t>
        </is>
      </c>
      <c r="B143" s="5" t="inlineStr"/>
      <c r="C143" s="5" t="inlineStr">
        <is>
          <t>GRIP#1</t>
        </is>
      </c>
      <c r="D143" s="5" t="inlineStr">
        <is>
          <t>Local80</t>
        </is>
      </c>
      <c r="E143" s="6" t="n">
        <v>20.57</v>
      </c>
      <c r="F143" s="5" t="n"/>
      <c r="G143" s="5" t="n"/>
      <c r="H143" s="5" t="n"/>
      <c r="I143" s="5" t="n"/>
      <c r="J143" s="7">
        <f>IF(AND(N(F143)&gt;0,N(I143)&gt;0),I143-F143-IF(N(G143)&gt;0,0.5,0)-IF(N(H143)&gt;0,0.5,0),0)</f>
        <v/>
      </c>
      <c r="K143" s="5" t="n"/>
      <c r="L143" s="7">
        <f>MIN(J143,10.0)</f>
        <v/>
      </c>
      <c r="M143" s="7">
        <f>MAX(0,MIN(J143,12)-10.0)</f>
        <v/>
      </c>
      <c r="N143" s="7">
        <f>MAX(0,J143-12)</f>
        <v/>
      </c>
      <c r="O143" s="5" t="n"/>
      <c r="P143" s="6">
        <f>E143*(L143+M143*1.5+N143*2+O143*3+N(K143))</f>
        <v/>
      </c>
      <c r="Q143" s="6" t="n">
        <v>318.83</v>
      </c>
      <c r="R143" s="6">
        <f>Q143-P143</f>
        <v/>
      </c>
    </row>
    <row r="144">
      <c r="A144" s="5" t="inlineStr">
        <is>
          <t>2505</t>
        </is>
      </c>
      <c r="B144" s="5" t="inlineStr"/>
      <c r="C144" s="5" t="inlineStr">
        <is>
          <t>GRIP#2</t>
        </is>
      </c>
      <c r="D144" s="5" t="inlineStr">
        <is>
          <t>Local80</t>
        </is>
      </c>
      <c r="E144" s="6" t="n">
        <v>20.57</v>
      </c>
      <c r="F144" s="5" t="n"/>
      <c r="G144" s="5" t="n"/>
      <c r="H144" s="5" t="n"/>
      <c r="I144" s="5" t="n"/>
      <c r="J144" s="7">
        <f>IF(AND(N(F144)&gt;0,N(I144)&gt;0),I144-F144-IF(N(G144)&gt;0,0.5,0)-IF(N(H144)&gt;0,0.5,0),0)</f>
        <v/>
      </c>
      <c r="K144" s="5" t="n"/>
      <c r="L144" s="7">
        <f>MIN(J144,10.0)</f>
        <v/>
      </c>
      <c r="M144" s="7">
        <f>MAX(0,MIN(J144,12)-10.0)</f>
        <v/>
      </c>
      <c r="N144" s="7">
        <f>MAX(0,J144-12)</f>
        <v/>
      </c>
      <c r="O144" s="5" t="n"/>
      <c r="P144" s="6">
        <f>E144*(L144+M144*1.5+N144*2+O144*3+N(K144))</f>
        <v/>
      </c>
      <c r="Q144" s="6" t="n">
        <v>318.83</v>
      </c>
      <c r="R144" s="6">
        <f>Q144-P144</f>
        <v/>
      </c>
    </row>
    <row r="145">
      <c r="A145" s="5" t="inlineStr">
        <is>
          <t>2505</t>
        </is>
      </c>
      <c r="B145" s="5" t="inlineStr"/>
      <c r="C145" s="5" t="inlineStr">
        <is>
          <t>GRIP#3</t>
        </is>
      </c>
      <c r="D145" s="5" t="inlineStr">
        <is>
          <t>Local80</t>
        </is>
      </c>
      <c r="E145" s="6" t="n">
        <v>20.57</v>
      </c>
      <c r="F145" s="5" t="n"/>
      <c r="G145" s="5" t="n"/>
      <c r="H145" s="5" t="n"/>
      <c r="I145" s="5" t="n"/>
      <c r="J145" s="7">
        <f>IF(AND(N(F145)&gt;0,N(I145)&gt;0),I145-F145-IF(N(G145)&gt;0,0.5,0)-IF(N(H145)&gt;0,0.5,0),0)</f>
        <v/>
      </c>
      <c r="K145" s="5" t="n"/>
      <c r="L145" s="7">
        <f>MIN(J145,10.0)</f>
        <v/>
      </c>
      <c r="M145" s="7">
        <f>MAX(0,MIN(J145,12)-10.0)</f>
        <v/>
      </c>
      <c r="N145" s="7">
        <f>MAX(0,J145-12)</f>
        <v/>
      </c>
      <c r="O145" s="5" t="n"/>
      <c r="P145" s="6">
        <f>E145*(L145+M145*1.5+N145*2+O145*3+N(K145))</f>
        <v/>
      </c>
      <c r="Q145" s="6" t="n">
        <v>318.83</v>
      </c>
      <c r="R145" s="6">
        <f>Q145-P145</f>
        <v/>
      </c>
    </row>
    <row r="146">
      <c r="P146" s="2" t="inlineStr">
        <is>
          <t>COMPANYGRIPS LABOR</t>
        </is>
      </c>
      <c r="R146" s="8">
        <f>SUM(R143:R145)</f>
        <v/>
      </c>
    </row>
    <row r="148">
      <c r="B148" s="2" t="inlineStr">
        <is>
          <t>OTHERLABOR</t>
        </is>
      </c>
    </row>
    <row r="149">
      <c r="A149" s="5" t="inlineStr">
        <is>
          <t>2506</t>
        </is>
      </c>
      <c r="B149" s="5" t="inlineStr"/>
      <c r="C149" s="5" t="inlineStr">
        <is>
          <t>GRIPMANDAYS&amp;RIGGINGMANDAYS</t>
        </is>
      </c>
      <c r="D149" s="5" t="inlineStr">
        <is>
          <t>Local80</t>
        </is>
      </c>
      <c r="E149" s="6" t="n">
        <v>20.57</v>
      </c>
      <c r="F149" s="5" t="n"/>
      <c r="G149" s="5" t="n"/>
      <c r="H149" s="5" t="n"/>
      <c r="I149" s="5" t="n"/>
      <c r="J149" s="7">
        <f>IF(AND(N(F149)&gt;0,N(I149)&gt;0),I149-F149-IF(N(G149)&gt;0,0.5,0)-IF(N(H149)&gt;0,0.5,0),0)</f>
        <v/>
      </c>
      <c r="K149" s="5" t="n"/>
      <c r="L149" s="7">
        <f>MIN(J149,10.0)</f>
        <v/>
      </c>
      <c r="M149" s="7">
        <f>MAX(0,MIN(J149,12)-10.0)</f>
        <v/>
      </c>
      <c r="N149" s="7">
        <f>MAX(0,J149-12)</f>
        <v/>
      </c>
      <c r="O149" s="5" t="n"/>
      <c r="P149" s="6">
        <f>E149*(L149+M149*1.5+N149*2+O149*3+N(K149))</f>
        <v/>
      </c>
      <c r="Q149" s="6" t="n">
        <v>318.83</v>
      </c>
      <c r="R149" s="6">
        <f>Q149-P149</f>
        <v/>
      </c>
    </row>
    <row r="150">
      <c r="P150" s="2" t="inlineStr">
        <is>
          <t>OTHERLABOR LABOR</t>
        </is>
      </c>
      <c r="R150" s="8">
        <f>SUM(R149:R149)</f>
        <v/>
      </c>
    </row>
    <row r="152">
      <c r="B152" s="2" t="inlineStr">
        <is>
          <t>STANDBYLABOR</t>
        </is>
      </c>
    </row>
    <row r="153">
      <c r="A153" s="5" t="inlineStr">
        <is>
          <t>2510</t>
        </is>
      </c>
      <c r="B153" s="5" t="inlineStr"/>
      <c r="C153" s="5" t="inlineStr">
        <is>
          <t>LAYOUTBOARD</t>
        </is>
      </c>
      <c r="D153" s="5" t="inlineStr">
        <is>
          <t>Local729</t>
        </is>
      </c>
      <c r="E153" s="6" t="n">
        <v>25.5</v>
      </c>
      <c r="F153" s="5" t="n"/>
      <c r="G153" s="5" t="n"/>
      <c r="H153" s="5" t="n"/>
      <c r="I153" s="5" t="n"/>
      <c r="J153" s="7">
        <f>IF(AND(N(F153)&gt;0,N(I153)&gt;0),I153-F153-IF(N(G153)&gt;0,0.5,0)-IF(N(H153)&gt;0,0.5,0),0)</f>
        <v/>
      </c>
      <c r="K153" s="5" t="n"/>
      <c r="L153" s="7">
        <f>MIN(J153,10.0)</f>
        <v/>
      </c>
      <c r="M153" s="7">
        <f>MAX(0,MIN(J153,12)-10.0)</f>
        <v/>
      </c>
      <c r="N153" s="7">
        <f>MAX(0,J153-12)</f>
        <v/>
      </c>
      <c r="O153" s="5" t="n"/>
      <c r="P153" s="6">
        <f>E153*(L153+M153*1.5+N153*2+O153*3+N(K153))</f>
        <v/>
      </c>
      <c r="Q153" s="6" t="n">
        <v>395.25</v>
      </c>
      <c r="R153" s="6">
        <f>Q153-P153</f>
        <v/>
      </c>
    </row>
    <row r="154">
      <c r="P154" s="2" t="inlineStr">
        <is>
          <t>STANDBYLABOR LABOR</t>
        </is>
      </c>
      <c r="R154" s="8">
        <f>SUM(R153:R153)</f>
        <v/>
      </c>
    </row>
    <row r="156">
      <c r="B156" s="2" t="inlineStr">
        <is>
          <t>SETCRAFTSERVICELABOR</t>
        </is>
      </c>
    </row>
    <row r="157">
      <c r="A157" s="5" t="inlineStr">
        <is>
          <t>2511</t>
        </is>
      </c>
      <c r="B157" s="5" t="inlineStr">
        <is>
          <t>Maurico Solis</t>
        </is>
      </c>
      <c r="C157" s="5" t="inlineStr">
        <is>
          <t>KEYCRAFTSERVICE</t>
        </is>
      </c>
      <c r="D157" s="5" t="inlineStr">
        <is>
          <t>Local80</t>
        </is>
      </c>
      <c r="E157" s="6" t="n">
        <v>25.5</v>
      </c>
      <c r="F157" s="5" t="n"/>
      <c r="G157" s="5" t="n"/>
      <c r="H157" s="5" t="n"/>
      <c r="I157" s="5" t="n"/>
      <c r="J157" s="7">
        <f>IF(AND(N(F157)&gt;0,N(I157)&gt;0),I157-F157-IF(N(G157)&gt;0,0.5,0)-IF(N(H157)&gt;0,0.5,0),0)</f>
        <v/>
      </c>
      <c r="K157" s="5" t="n"/>
      <c r="L157" s="7">
        <f>MIN(J157,10.0)</f>
        <v/>
      </c>
      <c r="M157" s="7">
        <f>MAX(0,MIN(J157,12)-10.0)</f>
        <v/>
      </c>
      <c r="N157" s="7">
        <f>MAX(0,J157-12)</f>
        <v/>
      </c>
      <c r="O157" s="5" t="n"/>
      <c r="P157" s="6">
        <f>E157*(L157+M157*1.5+N157*2+O157*3+N(K157))</f>
        <v/>
      </c>
      <c r="Q157" s="6" t="n">
        <v>439.87</v>
      </c>
      <c r="R157" s="6">
        <f>Q157-P157</f>
        <v/>
      </c>
    </row>
    <row r="158">
      <c r="A158" s="5" t="inlineStr">
        <is>
          <t>2511</t>
        </is>
      </c>
      <c r="B158" s="5" t="inlineStr"/>
      <c r="C158" s="5" t="inlineStr">
        <is>
          <t>ASSTCRAFTSERVICE</t>
        </is>
      </c>
      <c r="D158" s="5" t="inlineStr">
        <is>
          <t>Local80</t>
        </is>
      </c>
      <c r="E158" s="6" t="n">
        <v>23.04</v>
      </c>
      <c r="F158" s="5" t="n"/>
      <c r="G158" s="5" t="n"/>
      <c r="H158" s="5" t="n"/>
      <c r="I158" s="5" t="n"/>
      <c r="J158" s="7">
        <f>IF(AND(N(F158)&gt;0,N(I158)&gt;0),I158-F158-IF(N(G158)&gt;0,0.5,0)-IF(N(H158)&gt;0,0.5,0),0)</f>
        <v/>
      </c>
      <c r="K158" s="5" t="n"/>
      <c r="L158" s="7">
        <f>MIN(J158,10.0)</f>
        <v/>
      </c>
      <c r="M158" s="7">
        <f>MAX(0,MIN(J158,12)-10.0)</f>
        <v/>
      </c>
      <c r="N158" s="7">
        <f>MAX(0,J158-12)</f>
        <v/>
      </c>
      <c r="O158" s="5" t="n"/>
      <c r="P158" s="6">
        <f>E158*(L158+M158*1.5+N158*2+O158*3+N(K158))</f>
        <v/>
      </c>
      <c r="Q158" s="6" t="n">
        <v>397.43</v>
      </c>
      <c r="R158" s="6">
        <f>Q158-P158</f>
        <v/>
      </c>
    </row>
    <row r="159">
      <c r="P159" s="2" t="inlineStr">
        <is>
          <t>SETCRAFTSERVICELABOR LABOR</t>
        </is>
      </c>
      <c r="R159" s="8">
        <f>SUM(R157:R158)</f>
        <v/>
      </c>
    </row>
    <row r="161">
      <c r="B161" s="2" t="inlineStr">
        <is>
          <t>SETFIRSTAIDLABOR</t>
        </is>
      </c>
    </row>
    <row r="162">
      <c r="A162" s="5" t="inlineStr">
        <is>
          <t>2514</t>
        </is>
      </c>
      <c r="B162" s="5" t="inlineStr">
        <is>
          <t>Robert Hill</t>
        </is>
      </c>
      <c r="C162" s="5" t="inlineStr">
        <is>
          <t>SETMEDIC</t>
        </is>
      </c>
      <c r="D162" s="5" t="inlineStr">
        <is>
          <t>Local80</t>
        </is>
      </c>
      <c r="E162" s="6" t="n">
        <v>23.04</v>
      </c>
      <c r="F162" s="5" t="n"/>
      <c r="G162" s="5" t="n"/>
      <c r="H162" s="5" t="n"/>
      <c r="I162" s="5" t="n"/>
      <c r="J162" s="7">
        <f>IF(AND(N(F162)&gt;0,N(I162)&gt;0),I162-F162-IF(N(G162)&gt;0,0.5,0)-IF(N(H162)&gt;0,0.5,0),0)</f>
        <v/>
      </c>
      <c r="K162" s="5" t="n"/>
      <c r="L162" s="7">
        <f>MIN(J162,10.0)</f>
        <v/>
      </c>
      <c r="M162" s="7">
        <f>MAX(0,MIN(J162,12)-10.0)</f>
        <v/>
      </c>
      <c r="N162" s="7">
        <f>MAX(0,J162-12)</f>
        <v/>
      </c>
      <c r="O162" s="5" t="n"/>
      <c r="P162" s="6">
        <f>E162*(L162+M162*1.5+N162*2+O162*3+N(K162))</f>
        <v/>
      </c>
      <c r="Q162" s="6" t="n">
        <v>397.43</v>
      </c>
      <c r="R162" s="6">
        <f>Q162-P162</f>
        <v/>
      </c>
    </row>
    <row r="163">
      <c r="A163" s="5" t="inlineStr">
        <is>
          <t>2514</t>
        </is>
      </c>
      <c r="B163" s="5" t="inlineStr"/>
      <c r="C163" s="5" t="inlineStr">
        <is>
          <t>RIGGINGMEDICMANDAYS</t>
        </is>
      </c>
      <c r="D163" s="5" t="inlineStr">
        <is>
          <t>Local80</t>
        </is>
      </c>
      <c r="E163" s="6" t="n">
        <v>23.04</v>
      </c>
      <c r="F163" s="5" t="n"/>
      <c r="G163" s="5" t="n"/>
      <c r="H163" s="5" t="n"/>
      <c r="I163" s="5" t="n"/>
      <c r="J163" s="7">
        <f>IF(AND(N(F163)&gt;0,N(I163)&gt;0),I163-F163-IF(N(G163)&gt;0,0.5,0)-IF(N(H163)&gt;0,0.5,0),0)</f>
        <v/>
      </c>
      <c r="K163" s="5" t="n"/>
      <c r="L163" s="7">
        <f>MIN(J163,10.0)</f>
        <v/>
      </c>
      <c r="M163" s="7">
        <f>MAX(0,MIN(J163,12)-10.0)</f>
        <v/>
      </c>
      <c r="N163" s="7">
        <f>MAX(0,J163-12)</f>
        <v/>
      </c>
      <c r="O163" s="5" t="n"/>
      <c r="P163" s="6">
        <f>E163*(L163+M163*1.5+N163*2+O163*3+N(K163))</f>
        <v/>
      </c>
      <c r="Q163" s="5" t="n"/>
      <c r="R163" s="6">
        <f>Q163-P163</f>
        <v/>
      </c>
    </row>
    <row r="164">
      <c r="P164" s="2" t="inlineStr">
        <is>
          <t>SETFIRSTAIDLABOR LABOR</t>
        </is>
      </c>
      <c r="R164" s="8">
        <f>SUM(R162:R163)</f>
        <v/>
      </c>
    </row>
    <row r="166">
      <c r="B166" s="2" t="inlineStr">
        <is>
          <t>SFXCOORDINATOR</t>
        </is>
      </c>
    </row>
    <row r="167">
      <c r="A167" s="5" t="inlineStr">
        <is>
          <t>2601</t>
        </is>
      </c>
      <c r="B167" s="5" t="inlineStr">
        <is>
          <t>Zak Knight</t>
        </is>
      </c>
      <c r="C167" s="5" t="inlineStr">
        <is>
          <t>SPFXCOORDINATOR</t>
        </is>
      </c>
      <c r="D167" s="5" t="inlineStr">
        <is>
          <t>Local44</t>
        </is>
      </c>
      <c r="E167" s="6" t="n">
        <v>42</v>
      </c>
      <c r="F167" s="5" t="n"/>
      <c r="G167" s="5" t="n"/>
      <c r="H167" s="5" t="n"/>
      <c r="I167" s="5" t="n"/>
      <c r="J167" s="7">
        <f>IF(AND(N(F167)&gt;0,N(I167)&gt;0),I167-F167-IF(N(G167)&gt;0,0.5,0)-IF(N(H167)&gt;0,0.5,0),0)</f>
        <v/>
      </c>
      <c r="K167" s="5" t="n"/>
      <c r="L167" s="7">
        <f>MIN(J167,10.0)</f>
        <v/>
      </c>
      <c r="M167" s="7">
        <f>MAX(0,MIN(J167,12)-10.0)</f>
        <v/>
      </c>
      <c r="N167" s="7">
        <f>MAX(0,J167-12)</f>
        <v/>
      </c>
      <c r="O167" s="5" t="n"/>
      <c r="P167" s="6">
        <f>E167*(L167+M167*1.5+N167*2+O167*3+N(K167))</f>
        <v/>
      </c>
      <c r="Q167" s="6" t="n">
        <v>651</v>
      </c>
      <c r="R167" s="6">
        <f>Q167-P167</f>
        <v/>
      </c>
    </row>
    <row r="168">
      <c r="P168" s="2" t="inlineStr">
        <is>
          <t>SFXCOORDINATOR LABOR</t>
        </is>
      </c>
      <c r="R168" s="8">
        <f>SUM(R167:R167)</f>
        <v/>
      </c>
    </row>
    <row r="170">
      <c r="B170" s="2" t="inlineStr">
        <is>
          <t>SFXTECHMANDAYS</t>
        </is>
      </c>
    </row>
    <row r="171">
      <c r="A171" s="5" t="inlineStr">
        <is>
          <t>2609</t>
        </is>
      </c>
      <c r="B171" s="5" t="inlineStr"/>
      <c r="C171" s="5" t="inlineStr">
        <is>
          <t>SPFXTECHMANDAYS</t>
        </is>
      </c>
      <c r="D171" s="5" t="inlineStr">
        <is>
          <t>Local44</t>
        </is>
      </c>
      <c r="E171" s="6" t="n">
        <v>40</v>
      </c>
      <c r="F171" s="5" t="n"/>
      <c r="G171" s="5" t="n"/>
      <c r="H171" s="5" t="n"/>
      <c r="I171" s="5" t="n"/>
      <c r="J171" s="7">
        <f>IF(AND(N(F171)&gt;0,N(I171)&gt;0),I171-F171-IF(N(G171)&gt;0,0.5,0)-IF(N(H171)&gt;0,0.5,0),0)</f>
        <v/>
      </c>
      <c r="K171" s="5" t="n"/>
      <c r="L171" s="7">
        <f>MIN(J171,10.0)</f>
        <v/>
      </c>
      <c r="M171" s="7">
        <f>MAX(0,MIN(J171,12)-10.0)</f>
        <v/>
      </c>
      <c r="N171" s="7">
        <f>MAX(0,J171-12)</f>
        <v/>
      </c>
      <c r="O171" s="5" t="n"/>
      <c r="P171" s="6">
        <f>E171*(L171+M171*1.5+N171*2+O171*3+N(K171))</f>
        <v/>
      </c>
      <c r="Q171" s="6" t="n">
        <v>620</v>
      </c>
      <c r="R171" s="6">
        <f>Q171-P171</f>
        <v/>
      </c>
    </row>
    <row r="172">
      <c r="A172" s="5" t="inlineStr">
        <is>
          <t>2609</t>
        </is>
      </c>
      <c r="B172" s="5" t="inlineStr"/>
      <c r="C172" s="5" t="inlineStr">
        <is>
          <t>SPFXASSISTANTMANDAYS</t>
        </is>
      </c>
      <c r="D172" s="5" t="inlineStr">
        <is>
          <t>Local44</t>
        </is>
      </c>
      <c r="E172" s="6" t="n">
        <v>25.5</v>
      </c>
      <c r="F172" s="5" t="n"/>
      <c r="G172" s="5" t="n"/>
      <c r="H172" s="5" t="n"/>
      <c r="I172" s="5" t="n"/>
      <c r="J172" s="7">
        <f>IF(AND(N(F172)&gt;0,N(I172)&gt;0),I172-F172-IF(N(G172)&gt;0,0.5,0)-IF(N(H172)&gt;0,0.5,0),0)</f>
        <v/>
      </c>
      <c r="K172" s="5" t="n"/>
      <c r="L172" s="7">
        <f>MIN(J172,10.0)</f>
        <v/>
      </c>
      <c r="M172" s="7">
        <f>MAX(0,MIN(J172,12)-10.0)</f>
        <v/>
      </c>
      <c r="N172" s="7">
        <f>MAX(0,J172-12)</f>
        <v/>
      </c>
      <c r="O172" s="5" t="n"/>
      <c r="P172" s="6">
        <f>E172*(L172+M172*1.5+N172*2+O172*3+N(K172))</f>
        <v/>
      </c>
      <c r="Q172" s="6" t="n">
        <v>395.25</v>
      </c>
      <c r="R172" s="6">
        <f>Q172-P172</f>
        <v/>
      </c>
    </row>
    <row r="173">
      <c r="A173" s="5" t="inlineStr">
        <is>
          <t>2609</t>
        </is>
      </c>
      <c r="B173" s="5" t="inlineStr"/>
      <c r="C173" s="5" t="inlineStr">
        <is>
          <t>PYROMANDAYS</t>
        </is>
      </c>
      <c r="D173" s="5" t="inlineStr">
        <is>
          <t>Local44</t>
        </is>
      </c>
      <c r="E173" s="6" t="n">
        <v>68.18000000000001</v>
      </c>
      <c r="F173" s="5" t="n"/>
      <c r="G173" s="5" t="n"/>
      <c r="H173" s="5" t="n"/>
      <c r="I173" s="5" t="n"/>
      <c r="J173" s="7">
        <f>IF(AND(N(F173)&gt;0,N(I173)&gt;0),I173-F173-IF(N(G173)&gt;0,0.5,0)-IF(N(H173)&gt;0,0.5,0),0)</f>
        <v/>
      </c>
      <c r="K173" s="5" t="n"/>
      <c r="L173" s="7">
        <f>MIN(J173,10.0)</f>
        <v/>
      </c>
      <c r="M173" s="7">
        <f>MAX(0,MIN(J173,12)-10.0)</f>
        <v/>
      </c>
      <c r="N173" s="7">
        <f>MAX(0,J173-12)</f>
        <v/>
      </c>
      <c r="O173" s="5" t="n"/>
      <c r="P173" s="6">
        <f>E173*(L173+M173*1.5+N173*2+O173*3+N(K173))</f>
        <v/>
      </c>
      <c r="Q173" s="6" t="n">
        <v>749.98</v>
      </c>
      <c r="R173" s="6">
        <f>Q173-P173</f>
        <v/>
      </c>
    </row>
    <row r="174">
      <c r="P174" s="2" t="inlineStr">
        <is>
          <t>SFXTECHMANDAYS LABOR</t>
        </is>
      </c>
      <c r="R174" s="8">
        <f>SUM(R171:R173)</f>
        <v/>
      </c>
    </row>
    <row r="176">
      <c r="B176" s="2" t="inlineStr">
        <is>
          <t>SETDECORATOR</t>
        </is>
      </c>
    </row>
    <row r="177">
      <c r="A177" s="5" t="inlineStr">
        <is>
          <t>2701</t>
        </is>
      </c>
      <c r="B177" s="5" t="inlineStr">
        <is>
          <t>Sandy Skora</t>
        </is>
      </c>
      <c r="C177" s="5" t="inlineStr">
        <is>
          <t>SETDECORATOR</t>
        </is>
      </c>
      <c r="D177" s="5" t="inlineStr">
        <is>
          <t>Local44</t>
        </is>
      </c>
      <c r="E177" s="6" t="n">
        <v>400</v>
      </c>
      <c r="F177" s="5" t="n"/>
      <c r="G177" s="5" t="n"/>
      <c r="H177" s="5" t="n"/>
      <c r="I177" s="5" t="n"/>
      <c r="J177" s="7">
        <f>IF(AND(N(F177)&gt;0,N(I177)&gt;0),I177-F177-IF(N(G177)&gt;0,0.5,0)-IF(N(H177)&gt;0,0.5,0),0)</f>
        <v/>
      </c>
      <c r="K177" s="5" t="n"/>
      <c r="L177" s="7">
        <f>MIN(J177,10.0)</f>
        <v/>
      </c>
      <c r="M177" s="7">
        <f>MAX(0,MIN(J177,12)-10.0)</f>
        <v/>
      </c>
      <c r="N177" s="7">
        <f>MAX(0,J177-12)</f>
        <v/>
      </c>
      <c r="O177" s="5" t="n"/>
      <c r="P177" s="6">
        <f>E177*(L177+M177*1.5+N177*2+O177*3+N(K177))</f>
        <v/>
      </c>
      <c r="Q177" s="6" t="n">
        <v>400</v>
      </c>
      <c r="R177" s="6">
        <f>Q177-P177</f>
        <v/>
      </c>
    </row>
    <row r="178">
      <c r="P178" s="2" t="inlineStr">
        <is>
          <t>SETDECORATOR LABOR</t>
        </is>
      </c>
      <c r="R178" s="8">
        <f>SUM(R177:R177)</f>
        <v/>
      </c>
    </row>
    <row r="180">
      <c r="B180" s="2" t="inlineStr">
        <is>
          <t>LEADPERSON</t>
        </is>
      </c>
    </row>
    <row r="181">
      <c r="A181" s="5" t="inlineStr">
        <is>
          <t>2702</t>
        </is>
      </c>
      <c r="B181" s="5" t="inlineStr">
        <is>
          <t>Josh Richmond</t>
        </is>
      </c>
      <c r="C181" s="5" t="inlineStr">
        <is>
          <t>LEADPERSON</t>
        </is>
      </c>
      <c r="D181" s="5" t="inlineStr">
        <is>
          <t>Local44</t>
        </is>
      </c>
      <c r="E181" s="6" t="n">
        <v>23.04</v>
      </c>
      <c r="F181" s="5" t="n"/>
      <c r="G181" s="5" t="n"/>
      <c r="H181" s="5" t="n"/>
      <c r="I181" s="5" t="n"/>
      <c r="J181" s="7">
        <f>IF(AND(N(F181)&gt;0,N(I181)&gt;0),I181-F181-IF(N(G181)&gt;0,0.5,0)-IF(N(H181)&gt;0,0.5,0),0)</f>
        <v/>
      </c>
      <c r="K181" s="5" t="n"/>
      <c r="L181" s="7">
        <f>MIN(J181,10.0)</f>
        <v/>
      </c>
      <c r="M181" s="7">
        <f>MAX(0,MIN(J181,12)-10.0)</f>
        <v/>
      </c>
      <c r="N181" s="7">
        <f>MAX(0,J181-12)</f>
        <v/>
      </c>
      <c r="O181" s="5" t="n"/>
      <c r="P181" s="6">
        <f>E181*(L181+M181*1.5+N181*2+O181*3+N(K181))</f>
        <v/>
      </c>
      <c r="Q181" s="6" t="n">
        <v>322.56</v>
      </c>
      <c r="R181" s="6">
        <f>Q181-P181</f>
        <v/>
      </c>
    </row>
    <row r="182">
      <c r="P182" s="2" t="inlineStr">
        <is>
          <t>LEADPERSON LABOR</t>
        </is>
      </c>
      <c r="R182" s="8">
        <f>SUM(R181:R181)</f>
        <v/>
      </c>
    </row>
    <row r="184">
      <c r="B184" s="2" t="inlineStr">
        <is>
          <t>SWINGLABOR</t>
        </is>
      </c>
    </row>
    <row r="185">
      <c r="A185" s="5" t="inlineStr">
        <is>
          <t>2703</t>
        </is>
      </c>
      <c r="B185" s="5" t="inlineStr">
        <is>
          <t>Tim Dodge</t>
        </is>
      </c>
      <c r="C185" s="5" t="inlineStr">
        <is>
          <t>SWING#1</t>
        </is>
      </c>
      <c r="D185" s="5" t="inlineStr">
        <is>
          <t>Local44</t>
        </is>
      </c>
      <c r="E185" s="6" t="n">
        <v>20.57</v>
      </c>
      <c r="F185" s="5" t="n"/>
      <c r="G185" s="5" t="n"/>
      <c r="H185" s="5" t="n"/>
      <c r="I185" s="5" t="n"/>
      <c r="J185" s="7">
        <f>IF(AND(N(F185)&gt;0,N(I185)&gt;0),I185-F185-IF(N(G185)&gt;0,0.5,0)-IF(N(H185)&gt;0,0.5,0),0)</f>
        <v/>
      </c>
      <c r="K185" s="5" t="n"/>
      <c r="L185" s="7">
        <f>MIN(J185,10.0)</f>
        <v/>
      </c>
      <c r="M185" s="7">
        <f>MAX(0,MIN(J185,12)-10.0)</f>
        <v/>
      </c>
      <c r="N185" s="7">
        <f>MAX(0,J185-12)</f>
        <v/>
      </c>
      <c r="O185" s="5" t="n"/>
      <c r="P185" s="6">
        <f>E185*(L185+M185*1.5+N185*2+O185*3+N(K185))</f>
        <v/>
      </c>
      <c r="Q185" s="6" t="n">
        <v>287.98</v>
      </c>
      <c r="R185" s="6">
        <f>Q185-P185</f>
        <v/>
      </c>
    </row>
    <row r="186">
      <c r="A186" s="5" t="inlineStr">
        <is>
          <t>2703</t>
        </is>
      </c>
      <c r="B186" s="5" t="inlineStr"/>
      <c r="C186" s="5" t="inlineStr">
        <is>
          <t>SWING#2</t>
        </is>
      </c>
      <c r="D186" s="5" t="inlineStr">
        <is>
          <t>Local44</t>
        </is>
      </c>
      <c r="E186" s="6" t="n">
        <v>20.57</v>
      </c>
      <c r="F186" s="5" t="n"/>
      <c r="G186" s="5" t="n"/>
      <c r="H186" s="5" t="n"/>
      <c r="I186" s="5" t="n"/>
      <c r="J186" s="7">
        <f>IF(AND(N(F186)&gt;0,N(I186)&gt;0),I186-F186-IF(N(G186)&gt;0,0.5,0)-IF(N(H186)&gt;0,0.5,0),0)</f>
        <v/>
      </c>
      <c r="K186" s="5" t="n"/>
      <c r="L186" s="7">
        <f>MIN(J186,10.0)</f>
        <v/>
      </c>
      <c r="M186" s="7">
        <f>MAX(0,MIN(J186,12)-10.0)</f>
        <v/>
      </c>
      <c r="N186" s="7">
        <f>MAX(0,J186-12)</f>
        <v/>
      </c>
      <c r="O186" s="5" t="n"/>
      <c r="P186" s="6">
        <f>E186*(L186+M186*1.5+N186*2+O186*3+N(K186))</f>
        <v/>
      </c>
      <c r="Q186" s="6" t="n">
        <v>287.98</v>
      </c>
      <c r="R186" s="6">
        <f>Q186-P186</f>
        <v/>
      </c>
    </row>
    <row r="187">
      <c r="A187" s="5" t="inlineStr">
        <is>
          <t>2703</t>
        </is>
      </c>
      <c r="B187" s="5" t="inlineStr"/>
      <c r="C187" s="5" t="inlineStr">
        <is>
          <t>ADDITIONALSWINGMANDAYS</t>
        </is>
      </c>
      <c r="D187" s="5" t="inlineStr">
        <is>
          <t>Local44</t>
        </is>
      </c>
      <c r="E187" s="6" t="n">
        <v>20.57</v>
      </c>
      <c r="F187" s="5" t="n"/>
      <c r="G187" s="5" t="n"/>
      <c r="H187" s="5" t="n"/>
      <c r="I187" s="5" t="n"/>
      <c r="J187" s="7">
        <f>IF(AND(N(F187)&gt;0,N(I187)&gt;0),I187-F187-IF(N(G187)&gt;0,0.5,0)-IF(N(H187)&gt;0,0.5,0),0)</f>
        <v/>
      </c>
      <c r="K187" s="5" t="n"/>
      <c r="L187" s="7">
        <f>MIN(J187,10.0)</f>
        <v/>
      </c>
      <c r="M187" s="7">
        <f>MAX(0,MIN(J187,12)-10.0)</f>
        <v/>
      </c>
      <c r="N187" s="7">
        <f>MAX(0,J187-12)</f>
        <v/>
      </c>
      <c r="O187" s="5" t="n"/>
      <c r="P187" s="6">
        <f>E187*(L187+M187*1.5+N187*2+O187*3+N(K187))</f>
        <v/>
      </c>
      <c r="Q187" s="6" t="n">
        <v>287.98</v>
      </c>
      <c r="R187" s="6">
        <f>Q187-P187</f>
        <v/>
      </c>
    </row>
    <row r="188">
      <c r="P188" s="2" t="inlineStr">
        <is>
          <t>SWINGLABOR LABOR</t>
        </is>
      </c>
      <c r="R188" s="8">
        <f>SUM(R185:R187)</f>
        <v/>
      </c>
    </row>
    <row r="190">
      <c r="B190" s="2" t="inlineStr">
        <is>
          <t>ON-SETDRESSER</t>
        </is>
      </c>
    </row>
    <row r="191">
      <c r="A191" s="5" t="inlineStr">
        <is>
          <t>2705</t>
        </is>
      </c>
      <c r="B191" s="5" t="inlineStr">
        <is>
          <t>Khamisi Thurman</t>
        </is>
      </c>
      <c r="C191" s="5" t="inlineStr">
        <is>
          <t>ON-SETDRESSER</t>
        </is>
      </c>
      <c r="D191" s="5" t="inlineStr">
        <is>
          <t>Local44</t>
        </is>
      </c>
      <c r="E191" s="6" t="n">
        <v>20.57</v>
      </c>
      <c r="F191" s="5" t="n"/>
      <c r="G191" s="5" t="n"/>
      <c r="H191" s="5" t="n"/>
      <c r="I191" s="5" t="n"/>
      <c r="J191" s="7">
        <f>IF(AND(N(F191)&gt;0,N(I191)&gt;0),I191-F191-IF(N(G191)&gt;0,0.5,0)-IF(N(H191)&gt;0,0.5,0),0)</f>
        <v/>
      </c>
      <c r="K191" s="5" t="n"/>
      <c r="L191" s="7">
        <f>MIN(J191,10.0)</f>
        <v/>
      </c>
      <c r="M191" s="7">
        <f>MAX(0,MIN(J191,12)-10.0)</f>
        <v/>
      </c>
      <c r="N191" s="7">
        <f>MAX(0,J191-12)</f>
        <v/>
      </c>
      <c r="O191" s="5" t="n"/>
      <c r="P191" s="6">
        <f>E191*(L191+M191*1.5+N191*2+O191*3+N(K191))</f>
        <v/>
      </c>
      <c r="Q191" s="6" t="n">
        <v>318.83</v>
      </c>
      <c r="R191" s="6">
        <f>Q191-P191</f>
        <v/>
      </c>
    </row>
    <row r="192">
      <c r="P192" s="2" t="inlineStr">
        <is>
          <t>ON-SETDRESSER LABOR</t>
        </is>
      </c>
      <c r="R192" s="8">
        <f>SUM(R191:R191)</f>
        <v/>
      </c>
    </row>
    <row r="194">
      <c r="B194" s="2" t="inlineStr">
        <is>
          <t>BUYERS</t>
        </is>
      </c>
    </row>
    <row r="195">
      <c r="A195" s="5" t="inlineStr">
        <is>
          <t>2706</t>
        </is>
      </c>
      <c r="B195" s="5" t="inlineStr">
        <is>
          <t>Sarah Hickman</t>
        </is>
      </c>
      <c r="C195" s="5" t="inlineStr">
        <is>
          <t>BUYER</t>
        </is>
      </c>
      <c r="D195" s="5" t="inlineStr">
        <is>
          <t>Local44</t>
        </is>
      </c>
      <c r="E195" s="6" t="n">
        <v>23.04</v>
      </c>
      <c r="F195" s="5" t="n"/>
      <c r="G195" s="5" t="n"/>
      <c r="H195" s="5" t="n"/>
      <c r="I195" s="5" t="n"/>
      <c r="J195" s="7">
        <f>IF(AND(N(F195)&gt;0,N(I195)&gt;0),I195-F195-IF(N(G195)&gt;0,0.5,0)-IF(N(H195)&gt;0,0.5,0),0)</f>
        <v/>
      </c>
      <c r="K195" s="5" t="n"/>
      <c r="L195" s="7">
        <f>MIN(J195,10.0)</f>
        <v/>
      </c>
      <c r="M195" s="7">
        <f>MAX(0,MIN(J195,12)-10.0)</f>
        <v/>
      </c>
      <c r="N195" s="7">
        <f>MAX(0,J195-12)</f>
        <v/>
      </c>
      <c r="O195" s="5" t="n"/>
      <c r="P195" s="6">
        <f>E195*(L195+M195*1.5+N195*2+O195*3+N(K195))</f>
        <v/>
      </c>
      <c r="Q195" s="5" t="n"/>
      <c r="R195" s="6">
        <f>Q195-P195</f>
        <v/>
      </c>
    </row>
    <row r="196">
      <c r="P196" s="2" t="inlineStr">
        <is>
          <t>BUYERS LABOR</t>
        </is>
      </c>
      <c r="R196" s="8">
        <f>SUM(R195:R195)</f>
        <v/>
      </c>
    </row>
    <row r="198">
      <c r="B198" s="2" t="inlineStr">
        <is>
          <t>PROPMASTER</t>
        </is>
      </c>
    </row>
    <row r="199">
      <c r="A199" s="5" t="inlineStr">
        <is>
          <t>2801</t>
        </is>
      </c>
      <c r="B199" s="5" t="inlineStr">
        <is>
          <t>Annie Brandt</t>
        </is>
      </c>
      <c r="C199" s="5" t="inlineStr">
        <is>
          <t>PROPMASTER</t>
        </is>
      </c>
      <c r="D199" s="5" t="inlineStr">
        <is>
          <t>Local44</t>
        </is>
      </c>
      <c r="E199" s="6" t="n">
        <v>25.5</v>
      </c>
      <c r="F199" s="5" t="n"/>
      <c r="G199" s="5" t="n"/>
      <c r="H199" s="5" t="n"/>
      <c r="I199" s="5" t="n"/>
      <c r="J199" s="7">
        <f>IF(AND(N(F199)&gt;0,N(I199)&gt;0),I199-F199-IF(N(G199)&gt;0,0.5,0)-IF(N(H199)&gt;0,0.5,0),0)</f>
        <v/>
      </c>
      <c r="K199" s="5" t="n"/>
      <c r="L199" s="7">
        <f>MIN(J199,10.0)</f>
        <v/>
      </c>
      <c r="M199" s="7">
        <f>MAX(0,MIN(J199,12)-10.0)</f>
        <v/>
      </c>
      <c r="N199" s="7">
        <f>MAX(0,J199-12)</f>
        <v/>
      </c>
      <c r="O199" s="5" t="n"/>
      <c r="P199" s="6">
        <f>E199*(L199+M199*1.5+N199*2+O199*3+N(K199))</f>
        <v/>
      </c>
      <c r="Q199" s="6" t="n">
        <v>395.25</v>
      </c>
      <c r="R199" s="6">
        <f>Q199-P199</f>
        <v/>
      </c>
    </row>
    <row r="200">
      <c r="P200" s="2" t="inlineStr">
        <is>
          <t>PROPMASTER LABOR</t>
        </is>
      </c>
      <c r="R200" s="8">
        <f>SUM(R199:R199)</f>
        <v/>
      </c>
    </row>
    <row r="202">
      <c r="B202" s="2" t="inlineStr">
        <is>
          <t>ASSTPROPMASTER</t>
        </is>
      </c>
    </row>
    <row r="203">
      <c r="A203" s="5" t="inlineStr">
        <is>
          <t>2802</t>
        </is>
      </c>
      <c r="B203" s="5" t="inlineStr">
        <is>
          <t>Nate Bakes</t>
        </is>
      </c>
      <c r="C203" s="5" t="inlineStr">
        <is>
          <t>ASSTPROPMASTER</t>
        </is>
      </c>
      <c r="D203" s="5" t="inlineStr">
        <is>
          <t>Local44</t>
        </is>
      </c>
      <c r="E203" s="6" t="n">
        <v>23.04</v>
      </c>
      <c r="F203" s="5" t="n"/>
      <c r="G203" s="5" t="n"/>
      <c r="H203" s="5" t="n"/>
      <c r="I203" s="5" t="n"/>
      <c r="J203" s="7">
        <f>IF(AND(N(F203)&gt;0,N(I203)&gt;0),I203-F203-IF(N(G203)&gt;0,0.5,0)-IF(N(H203)&gt;0,0.5,0),0)</f>
        <v/>
      </c>
      <c r="K203" s="5" t="n"/>
      <c r="L203" s="7">
        <f>MIN(J203,10.0)</f>
        <v/>
      </c>
      <c r="M203" s="7">
        <f>MAX(0,MIN(J203,12)-10.0)</f>
        <v/>
      </c>
      <c r="N203" s="7">
        <f>MAX(0,J203-12)</f>
        <v/>
      </c>
      <c r="O203" s="5" t="n"/>
      <c r="P203" s="6">
        <f>E203*(L203+M203*1.5+N203*2+O203*3+N(K203))</f>
        <v/>
      </c>
      <c r="Q203" s="6" t="n">
        <v>357.12</v>
      </c>
      <c r="R203" s="6">
        <f>Q203-P203</f>
        <v/>
      </c>
    </row>
    <row r="204">
      <c r="P204" s="2" t="inlineStr">
        <is>
          <t>ASSTPROPMASTER LABOR</t>
        </is>
      </c>
      <c r="R204" s="8">
        <f>SUM(R203:R203)</f>
        <v/>
      </c>
    </row>
    <row r="206">
      <c r="B206" s="2" t="inlineStr">
        <is>
          <t>COSTUMEDESIGNER</t>
        </is>
      </c>
    </row>
    <row r="207">
      <c r="A207" s="5" t="inlineStr">
        <is>
          <t>2901</t>
        </is>
      </c>
      <c r="B207" s="5" t="inlineStr">
        <is>
          <t>Megan Spatz</t>
        </is>
      </c>
      <c r="C207" s="5" t="inlineStr">
        <is>
          <t>COSTUMEDESIGNER</t>
        </is>
      </c>
      <c r="D207" s="5" t="inlineStr">
        <is>
          <t>Local892</t>
        </is>
      </c>
      <c r="E207" s="6" t="n">
        <v>540</v>
      </c>
      <c r="F207" s="5" t="n"/>
      <c r="G207" s="5" t="n"/>
      <c r="H207" s="5" t="n"/>
      <c r="I207" s="5" t="n"/>
      <c r="J207" s="7">
        <f>IF(AND(N(F207)&gt;0,N(I207)&gt;0),I207-F207-IF(N(G207)&gt;0,0.5,0)-IF(N(H207)&gt;0,0.5,0),0)</f>
        <v/>
      </c>
      <c r="K207" s="5" t="n"/>
      <c r="L207" s="7">
        <f>MIN(J207,8.0)</f>
        <v/>
      </c>
      <c r="M207" s="7">
        <f>MAX(0,MIN(J207,12)-8.0)</f>
        <v/>
      </c>
      <c r="N207" s="7">
        <f>MAX(0,J207-12)</f>
        <v/>
      </c>
      <c r="O207" s="5" t="n"/>
      <c r="P207" s="6">
        <f>E207*(L207+M207*1.5+N207*2+O207*3+N(K207))</f>
        <v/>
      </c>
      <c r="Q207" s="6" t="n">
        <v>540</v>
      </c>
      <c r="R207" s="6">
        <f>Q207-P207</f>
        <v/>
      </c>
    </row>
    <row r="208">
      <c r="P208" s="2" t="inlineStr">
        <is>
          <t>COSTUMEDESIGNER LABOR</t>
        </is>
      </c>
      <c r="R208" s="8">
        <f>SUM(R207:R207)</f>
        <v/>
      </c>
    </row>
    <row r="210">
      <c r="B210" s="2" t="inlineStr">
        <is>
          <t>COSTUMESUPERVISOR</t>
        </is>
      </c>
    </row>
    <row r="211">
      <c r="A211" s="5" t="inlineStr">
        <is>
          <t>2903</t>
        </is>
      </c>
      <c r="B211" s="5" t="inlineStr">
        <is>
          <t>Danielle Schuck</t>
        </is>
      </c>
      <c r="C211" s="5" t="inlineStr">
        <is>
          <t>COSTUMESUPERVISOR</t>
        </is>
      </c>
      <c r="D211" s="5" t="inlineStr">
        <is>
          <t>Local705</t>
        </is>
      </c>
      <c r="E211" s="6" t="n">
        <v>25.5</v>
      </c>
      <c r="F211" s="5" t="n"/>
      <c r="G211" s="5" t="n"/>
      <c r="H211" s="5" t="n"/>
      <c r="I211" s="5" t="n"/>
      <c r="J211" s="7">
        <f>IF(AND(N(F211)&gt;0,N(I211)&gt;0),I211-F211-IF(N(G211)&gt;0,0.5,0)-IF(N(H211)&gt;0,0.5,0),0)</f>
        <v/>
      </c>
      <c r="K211" s="5" t="n"/>
      <c r="L211" s="7">
        <f>MIN(J211,8.0)</f>
        <v/>
      </c>
      <c r="M211" s="7">
        <f>MAX(0,MIN(J211,12)-8.0)</f>
        <v/>
      </c>
      <c r="N211" s="7">
        <f>MAX(0,J211-12)</f>
        <v/>
      </c>
      <c r="O211" s="5" t="n"/>
      <c r="P211" s="6">
        <f>E211*(L211+M211*1.5+N211*2+O211*3+N(K211))</f>
        <v/>
      </c>
      <c r="Q211" s="6" t="n">
        <v>395.25</v>
      </c>
      <c r="R211" s="6">
        <f>Q211-P211</f>
        <v/>
      </c>
    </row>
    <row r="212">
      <c r="P212" s="2" t="inlineStr">
        <is>
          <t>COSTUMESUPERVISOR LABOR</t>
        </is>
      </c>
      <c r="R212" s="8">
        <f>SUM(R211:R211)</f>
        <v/>
      </c>
    </row>
    <row r="214">
      <c r="B214" s="2" t="inlineStr">
        <is>
          <t>SETCOSTUMERS</t>
        </is>
      </c>
    </row>
    <row r="215">
      <c r="A215" s="5" t="inlineStr">
        <is>
          <t>2905</t>
        </is>
      </c>
      <c r="B215" s="5" t="inlineStr">
        <is>
          <t>Monavie Tutop</t>
        </is>
      </c>
      <c r="C215" s="5" t="inlineStr">
        <is>
          <t>COSTUMER#1</t>
        </is>
      </c>
      <c r="D215" s="5" t="inlineStr">
        <is>
          <t>Local705</t>
        </is>
      </c>
      <c r="E215" s="6" t="n">
        <v>23.04</v>
      </c>
      <c r="F215" s="5" t="n"/>
      <c r="G215" s="5" t="n"/>
      <c r="H215" s="5" t="n"/>
      <c r="I215" s="5" t="n"/>
      <c r="J215" s="7">
        <f>IF(AND(N(F215)&gt;0,N(I215)&gt;0),I215-F215-IF(N(G215)&gt;0,0.5,0)-IF(N(H215)&gt;0,0.5,0),0)</f>
        <v/>
      </c>
      <c r="K215" s="5" t="n"/>
      <c r="L215" s="7">
        <f>MIN(J215,8.0)</f>
        <v/>
      </c>
      <c r="M215" s="7">
        <f>MAX(0,MIN(J215,12)-8.0)</f>
        <v/>
      </c>
      <c r="N215" s="7">
        <f>MAX(0,J215-12)</f>
        <v/>
      </c>
      <c r="O215" s="5" t="n"/>
      <c r="P215" s="6">
        <f>E215*(L215+M215*1.5+N215*2+O215*3+N(K215))</f>
        <v/>
      </c>
      <c r="Q215" s="6" t="n">
        <v>397.43</v>
      </c>
      <c r="R215" s="6">
        <f>Q215-P215</f>
        <v/>
      </c>
    </row>
    <row r="216">
      <c r="A216" s="5" t="inlineStr">
        <is>
          <t>2905</t>
        </is>
      </c>
      <c r="B216" s="5" t="inlineStr"/>
      <c r="C216" s="5" t="inlineStr">
        <is>
          <t>COSTUMER#2</t>
        </is>
      </c>
      <c r="D216" s="5" t="inlineStr">
        <is>
          <t>Local705</t>
        </is>
      </c>
      <c r="E216" s="6" t="n">
        <v>20.57</v>
      </c>
      <c r="F216" s="5" t="n"/>
      <c r="G216" s="5" t="n"/>
      <c r="H216" s="5" t="n"/>
      <c r="I216" s="5" t="n"/>
      <c r="J216" s="7">
        <f>IF(AND(N(F216)&gt;0,N(I216)&gt;0),I216-F216-IF(N(G216)&gt;0,0.5,0)-IF(N(H216)&gt;0,0.5,0),0)</f>
        <v/>
      </c>
      <c r="K216" s="5" t="n"/>
      <c r="L216" s="7">
        <f>MIN(J216,8.0)</f>
        <v/>
      </c>
      <c r="M216" s="7">
        <f>MAX(0,MIN(J216,12)-8.0)</f>
        <v/>
      </c>
      <c r="N216" s="7">
        <f>MAX(0,J216-12)</f>
        <v/>
      </c>
      <c r="O216" s="5" t="n"/>
      <c r="P216" s="6">
        <f>E216*(L216+M216*1.5+N216*2+O216*3+N(K216))</f>
        <v/>
      </c>
      <c r="Q216" s="6" t="n">
        <v>354.83</v>
      </c>
      <c r="R216" s="6">
        <f>Q216-P216</f>
        <v/>
      </c>
    </row>
    <row r="217">
      <c r="P217" s="2" t="inlineStr">
        <is>
          <t>SETCOSTUMERS LABOR</t>
        </is>
      </c>
      <c r="R217" s="8">
        <f>SUM(R215:R216)</f>
        <v/>
      </c>
    </row>
    <row r="219">
      <c r="B219" s="2" t="inlineStr">
        <is>
          <t>KEYMAKE-UP</t>
        </is>
      </c>
    </row>
    <row r="220">
      <c r="A220" s="5" t="inlineStr">
        <is>
          <t>3101</t>
        </is>
      </c>
      <c r="B220" s="5" t="inlineStr">
        <is>
          <t>Eleanor Sabaduquia</t>
        </is>
      </c>
      <c r="C220" s="5" t="inlineStr">
        <is>
          <t>KEYMAKEUPARTIST</t>
        </is>
      </c>
      <c r="D220" s="5" t="inlineStr">
        <is>
          <t>Local706</t>
        </is>
      </c>
      <c r="E220" s="6" t="n">
        <v>25.5</v>
      </c>
      <c r="F220" s="5" t="n"/>
      <c r="G220" s="5" t="n"/>
      <c r="H220" s="5" t="n"/>
      <c r="I220" s="5" t="n"/>
      <c r="J220" s="7">
        <f>IF(AND(N(F220)&gt;0,N(I220)&gt;0),I220-F220-IF(N(G220)&gt;0,0.5,0)-IF(N(H220)&gt;0,0.5,0),0)</f>
        <v/>
      </c>
      <c r="K220" s="5" t="n"/>
      <c r="L220" s="7">
        <f>MIN(J220,10.0)</f>
        <v/>
      </c>
      <c r="M220" s="7">
        <f>MAX(0,MIN(J220,12)-10.0)</f>
        <v/>
      </c>
      <c r="N220" s="7">
        <f>MAX(0,J220-12)</f>
        <v/>
      </c>
      <c r="O220" s="5" t="n"/>
      <c r="P220" s="6">
        <f>E220*(L220+M220*1.5+N220*2+O220*3+N(K220))</f>
        <v/>
      </c>
      <c r="Q220" s="6" t="n">
        <v>439.87</v>
      </c>
      <c r="R220" s="6">
        <f>Q220-P220</f>
        <v/>
      </c>
    </row>
    <row r="221">
      <c r="P221" s="2" t="inlineStr">
        <is>
          <t>KEYMAKE-UP LABOR</t>
        </is>
      </c>
      <c r="R221" s="8">
        <f>SUM(R220:R220)</f>
        <v/>
      </c>
    </row>
    <row r="223">
      <c r="B223" s="2" t="inlineStr">
        <is>
          <t>ASSTMAKE-UP</t>
        </is>
      </c>
    </row>
    <row r="224">
      <c r="A224" s="5" t="inlineStr">
        <is>
          <t>3102</t>
        </is>
      </c>
      <c r="B224" s="5" t="inlineStr">
        <is>
          <t>Yoko Nobushi</t>
        </is>
      </c>
      <c r="C224" s="5" t="inlineStr">
        <is>
          <t>ASSTMAKEUPARTIST#1</t>
        </is>
      </c>
      <c r="D224" s="5" t="inlineStr">
        <is>
          <t>Local706</t>
        </is>
      </c>
      <c r="E224" s="6" t="n">
        <v>23.04</v>
      </c>
      <c r="F224" s="5" t="n"/>
      <c r="G224" s="5" t="n"/>
      <c r="H224" s="5" t="n"/>
      <c r="I224" s="5" t="n"/>
      <c r="J224" s="7">
        <f>IF(AND(N(F224)&gt;0,N(I224)&gt;0),I224-F224-IF(N(G224)&gt;0,0.5,0)-IF(N(H224)&gt;0,0.5,0),0)</f>
        <v/>
      </c>
      <c r="K224" s="5" t="n"/>
      <c r="L224" s="7">
        <f>MIN(J224,10.0)</f>
        <v/>
      </c>
      <c r="M224" s="7">
        <f>MAX(0,MIN(J224,12)-10.0)</f>
        <v/>
      </c>
      <c r="N224" s="7">
        <f>MAX(0,J224-12)</f>
        <v/>
      </c>
      <c r="O224" s="5" t="n"/>
      <c r="P224" s="6">
        <f>E224*(L224+M224*1.5+N224*2+O224*3+N(K224))</f>
        <v/>
      </c>
      <c r="Q224" s="6" t="n">
        <v>397.43</v>
      </c>
      <c r="R224" s="6">
        <f>Q224-P224</f>
        <v/>
      </c>
    </row>
    <row r="225">
      <c r="P225" s="2" t="inlineStr">
        <is>
          <t>ASSTMAKE-UP LABOR</t>
        </is>
      </c>
      <c r="R225" s="8">
        <f>SUM(R224:R224)</f>
        <v/>
      </c>
    </row>
    <row r="227">
      <c r="B227" s="2" t="inlineStr">
        <is>
          <t>ADDITIONALMAKE-UPLABOR</t>
        </is>
      </c>
    </row>
    <row r="228">
      <c r="A228" s="5" t="inlineStr">
        <is>
          <t>3103</t>
        </is>
      </c>
      <c r="B228" s="5" t="inlineStr"/>
      <c r="C228" s="5" t="inlineStr">
        <is>
          <t>ADDLMAKEUPARTISTDAYS</t>
        </is>
      </c>
      <c r="D228" s="5" t="inlineStr">
        <is>
          <t>Local706</t>
        </is>
      </c>
      <c r="E228" s="6" t="n">
        <v>23.04</v>
      </c>
      <c r="F228" s="5" t="n"/>
      <c r="G228" s="5" t="n"/>
      <c r="H228" s="5" t="n"/>
      <c r="I228" s="5" t="n"/>
      <c r="J228" s="7">
        <f>IF(AND(N(F228)&gt;0,N(I228)&gt;0),I228-F228-IF(N(G228)&gt;0,0.5,0)-IF(N(H228)&gt;0,0.5,0),0)</f>
        <v/>
      </c>
      <c r="K228" s="5" t="n"/>
      <c r="L228" s="7">
        <f>MIN(J228,10.0)</f>
        <v/>
      </c>
      <c r="M228" s="7">
        <f>MAX(0,MIN(J228,12)-10.0)</f>
        <v/>
      </c>
      <c r="N228" s="7">
        <f>MAX(0,J228-12)</f>
        <v/>
      </c>
      <c r="O228" s="5" t="n"/>
      <c r="P228" s="6">
        <f>E228*(L228+M228*1.5+N228*2+O228*3+N(K228))</f>
        <v/>
      </c>
      <c r="Q228" s="6" t="n">
        <v>397.43</v>
      </c>
      <c r="R228" s="6">
        <f>Q228-P228</f>
        <v/>
      </c>
    </row>
    <row r="229">
      <c r="P229" s="2" t="inlineStr">
        <is>
          <t>ADDITIONALMAKE-UPLABOR LABOR</t>
        </is>
      </c>
      <c r="R229" s="8">
        <f>SUM(R228:R228)</f>
        <v/>
      </c>
    </row>
    <row r="231">
      <c r="B231" s="2" t="inlineStr">
        <is>
          <t>PROSTHETICS</t>
        </is>
      </c>
    </row>
    <row r="232">
      <c r="A232" s="5" t="inlineStr">
        <is>
          <t>3105</t>
        </is>
      </c>
      <c r="B232" s="5" t="inlineStr"/>
      <c r="C232" s="5" t="inlineStr">
        <is>
          <t>PROSTHETICMAKEUPARTIST</t>
        </is>
      </c>
      <c r="D232" s="5" t="inlineStr">
        <is>
          <t>Local706</t>
        </is>
      </c>
      <c r="E232" s="6" t="n">
        <v>25.5</v>
      </c>
      <c r="F232" s="5" t="n"/>
      <c r="G232" s="5" t="n"/>
      <c r="H232" s="5" t="n"/>
      <c r="I232" s="5" t="n"/>
      <c r="J232" s="7">
        <f>IF(AND(N(F232)&gt;0,N(I232)&gt;0),I232-F232-IF(N(G232)&gt;0,0.5,0)-IF(N(H232)&gt;0,0.5,0),0)</f>
        <v/>
      </c>
      <c r="K232" s="5" t="n"/>
      <c r="L232" s="7">
        <f>MIN(J232,10.0)</f>
        <v/>
      </c>
      <c r="M232" s="7">
        <f>MAX(0,MIN(J232,12)-10.0)</f>
        <v/>
      </c>
      <c r="N232" s="7">
        <f>MAX(0,J232-12)</f>
        <v/>
      </c>
      <c r="O232" s="5" t="n"/>
      <c r="P232" s="6">
        <f>E232*(L232+M232*1.5+N232*2+O232*3+N(K232))</f>
        <v/>
      </c>
      <c r="Q232" s="6" t="n">
        <v>439.87</v>
      </c>
      <c r="R232" s="6">
        <f>Q232-P232</f>
        <v/>
      </c>
    </row>
    <row r="233">
      <c r="A233" s="5" t="inlineStr">
        <is>
          <t>3105</t>
        </is>
      </c>
      <c r="B233" s="5" t="inlineStr"/>
      <c r="C233" s="5" t="inlineStr">
        <is>
          <t>LENSCONSULTANT</t>
        </is>
      </c>
      <c r="D233" s="5" t="inlineStr"/>
      <c r="E233" s="6" t="n">
        <v>50</v>
      </c>
      <c r="F233" s="5" t="n"/>
      <c r="G233" s="5" t="n"/>
      <c r="H233" s="5" t="n"/>
      <c r="I233" s="5" t="n"/>
      <c r="J233" s="7">
        <f>IF(AND(N(F233)&gt;0,N(I233)&gt;0),I233-F233-IF(N(G233)&gt;0,0.5,0)-IF(N(H233)&gt;0,0.5,0),0)</f>
        <v/>
      </c>
      <c r="K233" s="5" t="n"/>
      <c r="L233" s="7">
        <f>MIN(J233,8.0)</f>
        <v/>
      </c>
      <c r="M233" s="7">
        <f>MAX(0,MIN(J233,12)-8.0)</f>
        <v/>
      </c>
      <c r="N233" s="7">
        <f>MAX(0,J233-12)</f>
        <v/>
      </c>
      <c r="O233" s="5" t="n"/>
      <c r="P233" s="6">
        <f>E233*(L233+M233*1.5+N233*2+O233*3+N(K233))</f>
        <v/>
      </c>
      <c r="Q233" s="6" t="n">
        <v>862.53</v>
      </c>
      <c r="R233" s="6">
        <f>Q233-P233</f>
        <v/>
      </c>
    </row>
    <row r="234">
      <c r="P234" s="2" t="inlineStr">
        <is>
          <t>PROSTHETICS LABOR</t>
        </is>
      </c>
      <c r="R234" s="8">
        <f>SUM(R232:R233)</f>
        <v/>
      </c>
    </row>
    <row r="236">
      <c r="B236" s="2" t="inlineStr">
        <is>
          <t>KEYHAIR</t>
        </is>
      </c>
    </row>
    <row r="237">
      <c r="A237" s="5" t="inlineStr">
        <is>
          <t>3111</t>
        </is>
      </c>
      <c r="B237" s="5" t="inlineStr">
        <is>
          <t>Traci Smithe</t>
        </is>
      </c>
      <c r="C237" s="5" t="inlineStr">
        <is>
          <t>KEYHAIR</t>
        </is>
      </c>
      <c r="D237" s="5" t="inlineStr">
        <is>
          <t>Local706</t>
        </is>
      </c>
      <c r="E237" s="6" t="n">
        <v>25.5</v>
      </c>
      <c r="F237" s="5" t="n"/>
      <c r="G237" s="5" t="n"/>
      <c r="H237" s="5" t="n"/>
      <c r="I237" s="5" t="n"/>
      <c r="J237" s="7">
        <f>IF(AND(N(F237)&gt;0,N(I237)&gt;0),I237-F237-IF(N(G237)&gt;0,0.5,0)-IF(N(H237)&gt;0,0.5,0),0)</f>
        <v/>
      </c>
      <c r="K237" s="5" t="n"/>
      <c r="L237" s="7">
        <f>MIN(J237,10.0)</f>
        <v/>
      </c>
      <c r="M237" s="7">
        <f>MAX(0,MIN(J237,12)-10.0)</f>
        <v/>
      </c>
      <c r="N237" s="7">
        <f>MAX(0,J237-12)</f>
        <v/>
      </c>
      <c r="O237" s="5" t="n"/>
      <c r="P237" s="6">
        <f>E237*(L237+M237*1.5+N237*2+O237*3+N(K237))</f>
        <v/>
      </c>
      <c r="Q237" s="6" t="n">
        <v>439.87</v>
      </c>
      <c r="R237" s="6">
        <f>Q237-P237</f>
        <v/>
      </c>
    </row>
    <row r="238">
      <c r="P238" s="2" t="inlineStr">
        <is>
          <t>KEYHAIR LABOR</t>
        </is>
      </c>
      <c r="R238" s="8">
        <f>SUM(R237:R237)</f>
        <v/>
      </c>
    </row>
    <row r="240">
      <c r="B240" s="2" t="inlineStr">
        <is>
          <t>ASSTHAIR</t>
        </is>
      </c>
    </row>
    <row r="241">
      <c r="A241" s="5" t="inlineStr">
        <is>
          <t>3112</t>
        </is>
      </c>
      <c r="B241" s="5" t="inlineStr">
        <is>
          <t>Yunea Cruz</t>
        </is>
      </c>
      <c r="C241" s="5" t="inlineStr">
        <is>
          <t>ASSTHAIRSTYLIST#1</t>
        </is>
      </c>
      <c r="D241" s="5" t="inlineStr">
        <is>
          <t>Local706</t>
        </is>
      </c>
      <c r="E241" s="6" t="n">
        <v>23.04</v>
      </c>
      <c r="F241" s="5" t="n"/>
      <c r="G241" s="5" t="n"/>
      <c r="H241" s="5" t="n"/>
      <c r="I241" s="5" t="n"/>
      <c r="J241" s="7">
        <f>IF(AND(N(F241)&gt;0,N(I241)&gt;0),I241-F241-IF(N(G241)&gt;0,0.5,0)-IF(N(H241)&gt;0,0.5,0),0)</f>
        <v/>
      </c>
      <c r="K241" s="5" t="n"/>
      <c r="L241" s="7">
        <f>MIN(J241,10.0)</f>
        <v/>
      </c>
      <c r="M241" s="7">
        <f>MAX(0,MIN(J241,12)-10.0)</f>
        <v/>
      </c>
      <c r="N241" s="7">
        <f>MAX(0,J241-12)</f>
        <v/>
      </c>
      <c r="O241" s="5" t="n"/>
      <c r="P241" s="6">
        <f>E241*(L241+M241*1.5+N241*2+O241*3+N(K241))</f>
        <v/>
      </c>
      <c r="Q241" s="6" t="n">
        <v>397.43</v>
      </c>
      <c r="R241" s="6">
        <f>Q241-P241</f>
        <v/>
      </c>
    </row>
    <row r="242">
      <c r="P242" s="2" t="inlineStr">
        <is>
          <t>ASSTHAIR LABOR</t>
        </is>
      </c>
      <c r="R242" s="8">
        <f>SUM(R241:R241)</f>
        <v/>
      </c>
    </row>
    <row r="244">
      <c r="B244" s="2" t="inlineStr">
        <is>
          <t>ADDITIONALHAIRLABOR</t>
        </is>
      </c>
    </row>
    <row r="245">
      <c r="A245" s="5" t="inlineStr">
        <is>
          <t>3113</t>
        </is>
      </c>
      <c r="B245" s="5" t="inlineStr"/>
      <c r="C245" s="5" t="inlineStr">
        <is>
          <t>ADDLHAIRSTYLISTDAYS</t>
        </is>
      </c>
      <c r="D245" s="5" t="inlineStr">
        <is>
          <t>Local706</t>
        </is>
      </c>
      <c r="E245" s="6" t="n">
        <v>23.04</v>
      </c>
      <c r="F245" s="5" t="n"/>
      <c r="G245" s="5" t="n"/>
      <c r="H245" s="5" t="n"/>
      <c r="I245" s="5" t="n"/>
      <c r="J245" s="7">
        <f>IF(AND(N(F245)&gt;0,N(I245)&gt;0),I245-F245-IF(N(G245)&gt;0,0.5,0)-IF(N(H245)&gt;0,0.5,0),0)</f>
        <v/>
      </c>
      <c r="K245" s="5" t="n"/>
      <c r="L245" s="7">
        <f>MIN(J245,10.0)</f>
        <v/>
      </c>
      <c r="M245" s="7">
        <f>MAX(0,MIN(J245,12)-10.0)</f>
        <v/>
      </c>
      <c r="N245" s="7">
        <f>MAX(0,J245-12)</f>
        <v/>
      </c>
      <c r="O245" s="5" t="n"/>
      <c r="P245" s="6">
        <f>E245*(L245+M245*1.5+N245*2+O245*3+N(K245))</f>
        <v/>
      </c>
      <c r="Q245" s="6" t="n">
        <v>397.43</v>
      </c>
      <c r="R245" s="6">
        <f>Q245-P245</f>
        <v/>
      </c>
    </row>
    <row r="246">
      <c r="P246" s="2" t="inlineStr">
        <is>
          <t>ADDITIONALHAIRLABOR LABOR</t>
        </is>
      </c>
      <c r="R246" s="8">
        <f>SUM(R245:R245)</f>
        <v/>
      </c>
    </row>
    <row r="248">
      <c r="B248" s="2" t="inlineStr">
        <is>
          <t>GAFFER</t>
        </is>
      </c>
    </row>
    <row r="249">
      <c r="A249" s="5" t="inlineStr">
        <is>
          <t>3201</t>
        </is>
      </c>
      <c r="B249" s="5" t="inlineStr">
        <is>
          <t>Nicholas Kaat</t>
        </is>
      </c>
      <c r="C249" s="5" t="inlineStr">
        <is>
          <t>GAFFER</t>
        </is>
      </c>
      <c r="D249" s="5" t="inlineStr">
        <is>
          <t>Local728</t>
        </is>
      </c>
      <c r="E249" s="6" t="n">
        <v>25.5</v>
      </c>
      <c r="F249" s="5" t="n"/>
      <c r="G249" s="5" t="n"/>
      <c r="H249" s="5" t="n"/>
      <c r="I249" s="5" t="n"/>
      <c r="J249" s="7">
        <f>IF(AND(N(F249)&gt;0,N(I249)&gt;0),I249-F249-IF(N(G249)&gt;0,0.5,0)-IF(N(H249)&gt;0,0.5,0),0)</f>
        <v/>
      </c>
      <c r="K249" s="5" t="n"/>
      <c r="L249" s="7">
        <f>MIN(J249,10.0)</f>
        <v/>
      </c>
      <c r="M249" s="7">
        <f>MAX(0,MIN(J249,12)-10.0)</f>
        <v/>
      </c>
      <c r="N249" s="7">
        <f>MAX(0,J249-12)</f>
        <v/>
      </c>
      <c r="O249" s="5" t="n"/>
      <c r="P249" s="6">
        <f>E249*(L249+M249*1.5+N249*2+O249*3+N(K249))</f>
        <v/>
      </c>
      <c r="Q249" s="6" t="n">
        <v>395.25</v>
      </c>
      <c r="R249" s="6">
        <f>Q249-P249</f>
        <v/>
      </c>
    </row>
    <row r="250">
      <c r="P250" s="2" t="inlineStr">
        <is>
          <t>GAFFER LABOR</t>
        </is>
      </c>
      <c r="R250" s="8">
        <f>SUM(R249:R249)</f>
        <v/>
      </c>
    </row>
    <row r="252">
      <c r="B252" s="2" t="inlineStr">
        <is>
          <t>BESTBOYELECTRIC</t>
        </is>
      </c>
    </row>
    <row r="253">
      <c r="A253" s="5" t="inlineStr">
        <is>
          <t>3202</t>
        </is>
      </c>
      <c r="B253" s="5" t="inlineStr">
        <is>
          <t>Nathan Fetzer</t>
        </is>
      </c>
      <c r="C253" s="5" t="inlineStr">
        <is>
          <t>BESTBOYELECTRIC</t>
        </is>
      </c>
      <c r="D253" s="5" t="inlineStr">
        <is>
          <t>Local728</t>
        </is>
      </c>
      <c r="E253" s="6" t="n">
        <v>23.04</v>
      </c>
      <c r="F253" s="5" t="n"/>
      <c r="G253" s="5" t="n"/>
      <c r="H253" s="5" t="n"/>
      <c r="I253" s="5" t="n"/>
      <c r="J253" s="7">
        <f>IF(AND(N(F253)&gt;0,N(I253)&gt;0),I253-F253-IF(N(G253)&gt;0,0.5,0)-IF(N(H253)&gt;0,0.5,0),0)</f>
        <v/>
      </c>
      <c r="K253" s="5" t="n"/>
      <c r="L253" s="7">
        <f>MIN(J253,10.0)</f>
        <v/>
      </c>
      <c r="M253" s="7">
        <f>MAX(0,MIN(J253,12)-10.0)</f>
        <v/>
      </c>
      <c r="N253" s="7">
        <f>MAX(0,J253-12)</f>
        <v/>
      </c>
      <c r="O253" s="5" t="n"/>
      <c r="P253" s="6">
        <f>E253*(L253+M253*1.5+N253*2+O253*3+N(K253))</f>
        <v/>
      </c>
      <c r="Q253" s="6" t="n">
        <v>357.12</v>
      </c>
      <c r="R253" s="6">
        <f>Q253-P253</f>
        <v/>
      </c>
    </row>
    <row r="254">
      <c r="A254" s="5" t="inlineStr">
        <is>
          <t>3202</t>
        </is>
      </c>
      <c r="B254" s="5" t="inlineStr"/>
      <c r="C254" s="5" t="inlineStr">
        <is>
          <t>STUDIOBESTBOYELECTRIC</t>
        </is>
      </c>
      <c r="D254" s="5" t="inlineStr">
        <is>
          <t>Local728</t>
        </is>
      </c>
      <c r="E254" s="6" t="n">
        <v>43.05</v>
      </c>
      <c r="F254" s="5" t="n"/>
      <c r="G254" s="5" t="n"/>
      <c r="H254" s="5" t="n"/>
      <c r="I254" s="5" t="n"/>
      <c r="J254" s="7">
        <f>IF(AND(N(F254)&gt;0,N(I254)&gt;0),I254-F254-IF(N(G254)&gt;0,0.5,0)-IF(N(H254)&gt;0,0.5,0),0)</f>
        <v/>
      </c>
      <c r="K254" s="5" t="n"/>
      <c r="L254" s="7">
        <f>MIN(J254,10.0)</f>
        <v/>
      </c>
      <c r="M254" s="7">
        <f>MAX(0,MIN(J254,12)-10.0)</f>
        <v/>
      </c>
      <c r="N254" s="7">
        <f>MAX(0,J254-12)</f>
        <v/>
      </c>
      <c r="O254" s="5" t="n"/>
      <c r="P254" s="6">
        <f>E254*(L254+M254*1.5+N254*2+O254*3+N(K254))</f>
        <v/>
      </c>
      <c r="Q254" s="6" t="n">
        <v>667.27</v>
      </c>
      <c r="R254" s="6">
        <f>Q254-P254</f>
        <v/>
      </c>
    </row>
    <row r="255">
      <c r="P255" s="2" t="inlineStr">
        <is>
          <t>BESTBOYELECTRIC LABOR</t>
        </is>
      </c>
      <c r="R255" s="8">
        <f>SUM(R253:R254)</f>
        <v/>
      </c>
    </row>
    <row r="257">
      <c r="B257" s="2" t="inlineStr">
        <is>
          <t>ELECTRICIANS</t>
        </is>
      </c>
    </row>
    <row r="258">
      <c r="A258" s="5" t="inlineStr">
        <is>
          <t>3204</t>
        </is>
      </c>
      <c r="B258" s="5" t="inlineStr"/>
      <c r="C258" s="5" t="inlineStr">
        <is>
          <t>ELECTRICIAN#1</t>
        </is>
      </c>
      <c r="D258" s="5" t="inlineStr">
        <is>
          <t>Local728</t>
        </is>
      </c>
      <c r="E258" s="6" t="n">
        <v>20.57</v>
      </c>
      <c r="F258" s="5" t="n"/>
      <c r="G258" s="5" t="n"/>
      <c r="H258" s="5" t="n"/>
      <c r="I258" s="5" t="n"/>
      <c r="J258" s="7">
        <f>IF(AND(N(F258)&gt;0,N(I258)&gt;0),I258-F258-IF(N(G258)&gt;0,0.5,0)-IF(N(H258)&gt;0,0.5,0),0)</f>
        <v/>
      </c>
      <c r="K258" s="5" t="n"/>
      <c r="L258" s="7">
        <f>MIN(J258,10.0)</f>
        <v/>
      </c>
      <c r="M258" s="7">
        <f>MAX(0,MIN(J258,12)-10.0)</f>
        <v/>
      </c>
      <c r="N258" s="7">
        <f>MAX(0,J258-12)</f>
        <v/>
      </c>
      <c r="O258" s="5" t="n"/>
      <c r="P258" s="6">
        <f>E258*(L258+M258*1.5+N258*2+O258*3+N(K258))</f>
        <v/>
      </c>
      <c r="Q258" s="6" t="n">
        <v>318.83</v>
      </c>
      <c r="R258" s="6">
        <f>Q258-P258</f>
        <v/>
      </c>
    </row>
    <row r="259">
      <c r="A259" s="5" t="inlineStr">
        <is>
          <t>3204</t>
        </is>
      </c>
      <c r="B259" s="5" t="inlineStr"/>
      <c r="C259" s="5" t="inlineStr">
        <is>
          <t>ELECTRICIAN#2</t>
        </is>
      </c>
      <c r="D259" s="5" t="inlineStr">
        <is>
          <t>Local728</t>
        </is>
      </c>
      <c r="E259" s="6" t="n">
        <v>20.57</v>
      </c>
      <c r="F259" s="5" t="n"/>
      <c r="G259" s="5" t="n"/>
      <c r="H259" s="5" t="n"/>
      <c r="I259" s="5" t="n"/>
      <c r="J259" s="7">
        <f>IF(AND(N(F259)&gt;0,N(I259)&gt;0),I259-F259-IF(N(G259)&gt;0,0.5,0)-IF(N(H259)&gt;0,0.5,0),0)</f>
        <v/>
      </c>
      <c r="K259" s="5" t="n"/>
      <c r="L259" s="7">
        <f>MIN(J259,10.0)</f>
        <v/>
      </c>
      <c r="M259" s="7">
        <f>MAX(0,MIN(J259,12)-10.0)</f>
        <v/>
      </c>
      <c r="N259" s="7">
        <f>MAX(0,J259-12)</f>
        <v/>
      </c>
      <c r="O259" s="5" t="n"/>
      <c r="P259" s="6">
        <f>E259*(L259+M259*1.5+N259*2+O259*3+N(K259))</f>
        <v/>
      </c>
      <c r="Q259" s="6" t="n">
        <v>318.83</v>
      </c>
      <c r="R259" s="6">
        <f>Q259-P259</f>
        <v/>
      </c>
    </row>
    <row r="260">
      <c r="A260" s="5" t="inlineStr">
        <is>
          <t>3204</t>
        </is>
      </c>
      <c r="B260" s="5" t="inlineStr"/>
      <c r="C260" s="5" t="inlineStr">
        <is>
          <t>ELECTRICIAN#3</t>
        </is>
      </c>
      <c r="D260" s="5" t="inlineStr">
        <is>
          <t>Local728</t>
        </is>
      </c>
      <c r="E260" s="6" t="n">
        <v>20.57</v>
      </c>
      <c r="F260" s="5" t="n"/>
      <c r="G260" s="5" t="n"/>
      <c r="H260" s="5" t="n"/>
      <c r="I260" s="5" t="n"/>
      <c r="J260" s="7">
        <f>IF(AND(N(F260)&gt;0,N(I260)&gt;0),I260-F260-IF(N(G260)&gt;0,0.5,0)-IF(N(H260)&gt;0,0.5,0),0)</f>
        <v/>
      </c>
      <c r="K260" s="5" t="n"/>
      <c r="L260" s="7">
        <f>MIN(J260,10.0)</f>
        <v/>
      </c>
      <c r="M260" s="7">
        <f>MAX(0,MIN(J260,12)-10.0)</f>
        <v/>
      </c>
      <c r="N260" s="7">
        <f>MAX(0,J260-12)</f>
        <v/>
      </c>
      <c r="O260" s="5" t="n"/>
      <c r="P260" s="6">
        <f>E260*(L260+M260*1.5+N260*2+O260*3+N(K260))</f>
        <v/>
      </c>
      <c r="Q260" s="6" t="n">
        <v>318.83</v>
      </c>
      <c r="R260" s="6">
        <f>Q260-P260</f>
        <v/>
      </c>
    </row>
    <row r="261">
      <c r="P261" s="2" t="inlineStr">
        <is>
          <t>ELECTRICIANS LABOR</t>
        </is>
      </c>
      <c r="R261" s="8">
        <f>SUM(R258:R260)</f>
        <v/>
      </c>
    </row>
    <row r="263">
      <c r="B263" s="2" t="inlineStr">
        <is>
          <t>ADDITIONALELECTRICLABOR</t>
        </is>
      </c>
    </row>
    <row r="264">
      <c r="A264" s="5" t="inlineStr">
        <is>
          <t>3206</t>
        </is>
      </c>
      <c r="B264" s="5" t="inlineStr"/>
      <c r="C264" s="5" t="inlineStr">
        <is>
          <t>ELECTRICMANDAYS&amp;RIGGINGMANDAYS</t>
        </is>
      </c>
      <c r="D264" s="5" t="inlineStr">
        <is>
          <t>Local728</t>
        </is>
      </c>
      <c r="E264" s="6" t="n">
        <v>20.57</v>
      </c>
      <c r="F264" s="5" t="n"/>
      <c r="G264" s="5" t="n"/>
      <c r="H264" s="5" t="n"/>
      <c r="I264" s="5" t="n"/>
      <c r="J264" s="7">
        <f>IF(AND(N(F264)&gt;0,N(I264)&gt;0),I264-F264-IF(N(G264)&gt;0,0.5,0)-IF(N(H264)&gt;0,0.5,0),0)</f>
        <v/>
      </c>
      <c r="K264" s="5" t="n"/>
      <c r="L264" s="7">
        <f>MIN(J264,10.0)</f>
        <v/>
      </c>
      <c r="M264" s="7">
        <f>MAX(0,MIN(J264,12)-10.0)</f>
        <v/>
      </c>
      <c r="N264" s="7">
        <f>MAX(0,J264-12)</f>
        <v/>
      </c>
      <c r="O264" s="5" t="n"/>
      <c r="P264" s="6">
        <f>E264*(L264+M264*1.5+N264*2+O264*3+N(K264))</f>
        <v/>
      </c>
      <c r="Q264" s="6" t="n">
        <v>318.83</v>
      </c>
      <c r="R264" s="6">
        <f>Q264-P264</f>
        <v/>
      </c>
    </row>
    <row r="265">
      <c r="P265" s="2" t="inlineStr">
        <is>
          <t>ADDITIONALELECTRICLABOR LABOR</t>
        </is>
      </c>
      <c r="R265" s="8">
        <f>SUM(R264:R264)</f>
        <v/>
      </c>
    </row>
    <row r="267">
      <c r="B267" s="2" t="inlineStr">
        <is>
          <t>DIRECTOROFPHOTOGRAPHY</t>
        </is>
      </c>
    </row>
    <row r="268">
      <c r="A268" s="5" t="inlineStr">
        <is>
          <t>3301</t>
        </is>
      </c>
      <c r="B268" s="5" t="inlineStr">
        <is>
          <t>Michael Burgess</t>
        </is>
      </c>
      <c r="C268" s="5" t="inlineStr">
        <is>
          <t>DIRECTOROFPHOTOGRAPHY</t>
        </is>
      </c>
      <c r="D268" s="5" t="inlineStr">
        <is>
          <t>Local600</t>
        </is>
      </c>
      <c r="E268" s="6" t="n">
        <v>700</v>
      </c>
      <c r="F268" s="5" t="n"/>
      <c r="G268" s="5" t="n"/>
      <c r="H268" s="5" t="n"/>
      <c r="I268" s="5" t="n"/>
      <c r="J268" s="7">
        <f>IF(AND(N(F268)&gt;0,N(I268)&gt;0),I268-F268-IF(N(G268)&gt;0,0.5,0)-IF(N(H268)&gt;0,0.5,0),0)</f>
        <v/>
      </c>
      <c r="K268" s="5" t="n"/>
      <c r="L268" s="7">
        <f>MIN(J268,8.0)</f>
        <v/>
      </c>
      <c r="M268" s="7">
        <f>MAX(0,MIN(J268,12)-8.0)</f>
        <v/>
      </c>
      <c r="N268" s="7">
        <f>MAX(0,J268-12)</f>
        <v/>
      </c>
      <c r="O268" s="5" t="n"/>
      <c r="P268" s="6">
        <f>E268*(L268+M268*1.5+N268*2+O268*3+N(K268))</f>
        <v/>
      </c>
      <c r="Q268" s="6" t="n">
        <v>700</v>
      </c>
      <c r="R268" s="6">
        <f>Q268-P268</f>
        <v/>
      </c>
    </row>
    <row r="269">
      <c r="P269" s="2" t="inlineStr">
        <is>
          <t>DIRECTOROFPHOTOGRAPHY LABOR</t>
        </is>
      </c>
      <c r="R269" s="8">
        <f>SUM(R268:R268)</f>
        <v/>
      </c>
    </row>
    <row r="271">
      <c r="B271" s="2" t="inlineStr">
        <is>
          <t>CAMERAOPERATORS</t>
        </is>
      </c>
    </row>
    <row r="272">
      <c r="A272" s="5" t="inlineStr">
        <is>
          <t>3302</t>
        </is>
      </c>
      <c r="B272" s="5" t="inlineStr">
        <is>
          <t>Craig Bauer</t>
        </is>
      </c>
      <c r="C272" s="5" t="inlineStr">
        <is>
          <t>"B"CAMERAOP</t>
        </is>
      </c>
      <c r="D272" s="5" t="inlineStr">
        <is>
          <t>Local600</t>
        </is>
      </c>
      <c r="E272" s="6" t="n">
        <v>45</v>
      </c>
      <c r="F272" s="5" t="n"/>
      <c r="G272" s="5" t="n"/>
      <c r="H272" s="5" t="n"/>
      <c r="I272" s="5" t="n"/>
      <c r="J272" s="7">
        <f>IF(AND(N(F272)&gt;0,N(I272)&gt;0),I272-F272-IF(N(G272)&gt;0,0.5,0)-IF(N(H272)&gt;0,0.5,0),0)</f>
        <v/>
      </c>
      <c r="K272" s="5" t="n"/>
      <c r="L272" s="7">
        <f>MIN(J272,8.0)</f>
        <v/>
      </c>
      <c r="M272" s="7">
        <f>MAX(0,MIN(J272,12)-8.0)</f>
        <v/>
      </c>
      <c r="N272" s="7">
        <f>MAX(0,J272-12)</f>
        <v/>
      </c>
      <c r="O272" s="5" t="n"/>
      <c r="P272" s="6">
        <f>E272*(L272+M272*1.5+N272*2+O272*3+N(K272))</f>
        <v/>
      </c>
      <c r="Q272" s="6" t="n">
        <v>630</v>
      </c>
      <c r="R272" s="6">
        <f>Q272-P272</f>
        <v/>
      </c>
    </row>
    <row r="273">
      <c r="P273" s="2" t="inlineStr">
        <is>
          <t>CAMERAOPERATORS LABOR</t>
        </is>
      </c>
      <c r="R273" s="8">
        <f>SUM(R272:R272)</f>
        <v/>
      </c>
    </row>
    <row r="275">
      <c r="B275" s="2" t="inlineStr">
        <is>
          <t>DIGITALIMAGINGTECHS</t>
        </is>
      </c>
    </row>
    <row r="276">
      <c r="A276" s="5" t="inlineStr">
        <is>
          <t>3304</t>
        </is>
      </c>
      <c r="B276" s="5" t="inlineStr">
        <is>
          <t>Oliver Mancebo</t>
        </is>
      </c>
      <c r="C276" s="5" t="inlineStr">
        <is>
          <t>DIT</t>
        </is>
      </c>
      <c r="D276" s="5" t="inlineStr">
        <is>
          <t>Local600</t>
        </is>
      </c>
      <c r="E276" s="6" t="n">
        <v>35</v>
      </c>
      <c r="F276" s="5" t="n"/>
      <c r="G276" s="5" t="n"/>
      <c r="H276" s="5" t="n"/>
      <c r="I276" s="5" t="n"/>
      <c r="J276" s="7">
        <f>IF(AND(N(F276)&gt;0,N(I276)&gt;0),I276-F276-IF(N(G276)&gt;0,0.5,0)-IF(N(H276)&gt;0,0.5,0),0)</f>
        <v/>
      </c>
      <c r="K276" s="5" t="n"/>
      <c r="L276" s="7">
        <f>MIN(J276,8.0)</f>
        <v/>
      </c>
      <c r="M276" s="7">
        <f>MAX(0,MIN(J276,12)-8.0)</f>
        <v/>
      </c>
      <c r="N276" s="7">
        <f>MAX(0,J276-12)</f>
        <v/>
      </c>
      <c r="O276" s="5" t="n"/>
      <c r="P276" s="6">
        <f>E276*(L276+M276*1.5+N276*2+O276*3+N(K276))</f>
        <v/>
      </c>
      <c r="Q276" s="6" t="n">
        <v>542.5</v>
      </c>
      <c r="R276" s="6">
        <f>Q276-P276</f>
        <v/>
      </c>
    </row>
    <row r="277">
      <c r="P277" s="2" t="inlineStr">
        <is>
          <t>DIGITALIMAGINGTECHS LABOR</t>
        </is>
      </c>
      <c r="R277" s="8">
        <f>SUM(R276:R276)</f>
        <v/>
      </c>
    </row>
    <row r="279">
      <c r="B279" s="2" t="inlineStr">
        <is>
          <t>1STASSTCAMERA</t>
        </is>
      </c>
    </row>
    <row r="280">
      <c r="A280" s="5" t="inlineStr">
        <is>
          <t>3305</t>
        </is>
      </c>
      <c r="B280" s="5" t="inlineStr">
        <is>
          <t>Steve Cueva</t>
        </is>
      </c>
      <c r="C280" s="5" t="inlineStr">
        <is>
          <t>"A"CAMERA 1STAC</t>
        </is>
      </c>
      <c r="D280" s="5" t="inlineStr">
        <is>
          <t>Local600</t>
        </is>
      </c>
      <c r="E280" s="6" t="n">
        <v>25.5</v>
      </c>
      <c r="F280" s="5" t="n"/>
      <c r="G280" s="5" t="n"/>
      <c r="H280" s="5" t="n"/>
      <c r="I280" s="5" t="n"/>
      <c r="J280" s="7">
        <f>IF(AND(N(F280)&gt;0,N(I280)&gt;0),I280-F280-IF(N(G280)&gt;0,0.5,0)-IF(N(H280)&gt;0,0.5,0),0)</f>
        <v/>
      </c>
      <c r="K280" s="5" t="n"/>
      <c r="L280" s="7">
        <f>MIN(J280,8.0)</f>
        <v/>
      </c>
      <c r="M280" s="7">
        <f>MAX(0,MIN(J280,12)-8.0)</f>
        <v/>
      </c>
      <c r="N280" s="7">
        <f>MAX(0,J280-12)</f>
        <v/>
      </c>
      <c r="O280" s="5" t="n"/>
      <c r="P280" s="6">
        <f>E280*(L280+M280*1.5+N280*2+O280*3+N(K280))</f>
        <v/>
      </c>
      <c r="Q280" s="6" t="n">
        <v>395.25</v>
      </c>
      <c r="R280" s="6">
        <f>Q280-P280</f>
        <v/>
      </c>
    </row>
    <row r="281">
      <c r="A281" s="5" t="inlineStr">
        <is>
          <t>3305</t>
        </is>
      </c>
      <c r="B281" s="5" t="inlineStr">
        <is>
          <t>Chris Garcia</t>
        </is>
      </c>
      <c r="C281" s="5" t="inlineStr">
        <is>
          <t>"B"CAMERA 1STAC</t>
        </is>
      </c>
      <c r="D281" s="5" t="inlineStr">
        <is>
          <t>Local600</t>
        </is>
      </c>
      <c r="E281" s="6" t="n">
        <v>25.5</v>
      </c>
      <c r="F281" s="5" t="n"/>
      <c r="G281" s="5" t="n"/>
      <c r="H281" s="5" t="n"/>
      <c r="I281" s="5" t="n"/>
      <c r="J281" s="7">
        <f>IF(AND(N(F281)&gt;0,N(I281)&gt;0),I281-F281-IF(N(G281)&gt;0,0.5,0)-IF(N(H281)&gt;0,0.5,0),0)</f>
        <v/>
      </c>
      <c r="K281" s="5" t="n"/>
      <c r="L281" s="7">
        <f>MIN(J281,8.0)</f>
        <v/>
      </c>
      <c r="M281" s="7">
        <f>MAX(0,MIN(J281,12)-8.0)</f>
        <v/>
      </c>
      <c r="N281" s="7">
        <f>MAX(0,J281-12)</f>
        <v/>
      </c>
      <c r="O281" s="5" t="n"/>
      <c r="P281" s="6">
        <f>E281*(L281+M281*1.5+N281*2+O281*3+N(K281))</f>
        <v/>
      </c>
      <c r="Q281" s="6" t="n">
        <v>395.25</v>
      </c>
      <c r="R281" s="6">
        <f>Q281-P281</f>
        <v/>
      </c>
    </row>
    <row r="282">
      <c r="P282" s="2" t="inlineStr">
        <is>
          <t>1STASSTCAMERA LABOR</t>
        </is>
      </c>
      <c r="R282" s="8">
        <f>SUM(R280:R281)</f>
        <v/>
      </c>
    </row>
    <row r="284">
      <c r="B284" s="2" t="inlineStr">
        <is>
          <t>2NDASSTCAMERA</t>
        </is>
      </c>
    </row>
    <row r="285">
      <c r="A285" s="5" t="inlineStr">
        <is>
          <t>3306</t>
        </is>
      </c>
      <c r="B285" s="5" t="inlineStr">
        <is>
          <t>Manny Serrano</t>
        </is>
      </c>
      <c r="C285" s="5" t="inlineStr">
        <is>
          <t>"A"CAMERA 2NDAC</t>
        </is>
      </c>
      <c r="D285" s="5" t="inlineStr">
        <is>
          <t>Local600</t>
        </is>
      </c>
      <c r="E285" s="6" t="n">
        <v>23.04</v>
      </c>
      <c r="F285" s="5" t="n"/>
      <c r="G285" s="5" t="n"/>
      <c r="H285" s="5" t="n"/>
      <c r="I285" s="5" t="n"/>
      <c r="J285" s="7">
        <f>IF(AND(N(F285)&gt;0,N(I285)&gt;0),I285-F285-IF(N(G285)&gt;0,0.5,0)-IF(N(H285)&gt;0,0.5,0),0)</f>
        <v/>
      </c>
      <c r="K285" s="5" t="n"/>
      <c r="L285" s="7">
        <f>MIN(J285,8.0)</f>
        <v/>
      </c>
      <c r="M285" s="7">
        <f>MAX(0,MIN(J285,12)-8.0)</f>
        <v/>
      </c>
      <c r="N285" s="7">
        <f>MAX(0,J285-12)</f>
        <v/>
      </c>
      <c r="O285" s="5" t="n"/>
      <c r="P285" s="6">
        <f>E285*(L285+M285*1.5+N285*2+O285*3+N(K285))</f>
        <v/>
      </c>
      <c r="Q285" s="6" t="n">
        <v>357.12</v>
      </c>
      <c r="R285" s="6">
        <f>Q285-P285</f>
        <v/>
      </c>
    </row>
    <row r="286">
      <c r="A286" s="5" t="inlineStr">
        <is>
          <t>3306</t>
        </is>
      </c>
      <c r="B286" s="5" t="inlineStr"/>
      <c r="C286" s="5" t="inlineStr">
        <is>
          <t>"B"CAMERA 2NDAC</t>
        </is>
      </c>
      <c r="D286" s="5" t="inlineStr">
        <is>
          <t>Local600</t>
        </is>
      </c>
      <c r="E286" s="6" t="n">
        <v>23.04</v>
      </c>
      <c r="F286" s="5" t="n"/>
      <c r="G286" s="5" t="n"/>
      <c r="H286" s="5" t="n"/>
      <c r="I286" s="5" t="n"/>
      <c r="J286" s="7">
        <f>IF(AND(N(F286)&gt;0,N(I286)&gt;0),I286-F286-IF(N(G286)&gt;0,0.5,0)-IF(N(H286)&gt;0,0.5,0),0)</f>
        <v/>
      </c>
      <c r="K286" s="5" t="n"/>
      <c r="L286" s="7">
        <f>MIN(J286,8.0)</f>
        <v/>
      </c>
      <c r="M286" s="7">
        <f>MAX(0,MIN(J286,12)-8.0)</f>
        <v/>
      </c>
      <c r="N286" s="7">
        <f>MAX(0,J286-12)</f>
        <v/>
      </c>
      <c r="O286" s="5" t="n"/>
      <c r="P286" s="6">
        <f>E286*(L286+M286*1.5+N286*2+O286*3+N(K286))</f>
        <v/>
      </c>
      <c r="Q286" s="6" t="n">
        <v>357.12</v>
      </c>
      <c r="R286" s="6">
        <f>Q286-P286</f>
        <v/>
      </c>
    </row>
    <row r="287">
      <c r="P287" s="2" t="inlineStr">
        <is>
          <t>2NDASSTCAMERA LABOR</t>
        </is>
      </c>
      <c r="R287" s="8">
        <f>SUM(R285:R286)</f>
        <v/>
      </c>
    </row>
    <row r="289">
      <c r="B289" s="2" t="inlineStr">
        <is>
          <t>STILLPHOTOGRAPHER</t>
        </is>
      </c>
    </row>
    <row r="290">
      <c r="A290" s="5" t="inlineStr">
        <is>
          <t>3308</t>
        </is>
      </c>
      <c r="B290" s="5" t="inlineStr">
        <is>
          <t>Scott Patrick Green</t>
        </is>
      </c>
      <c r="C290" s="5" t="inlineStr">
        <is>
          <t>STILLPHOTOGRAPHER</t>
        </is>
      </c>
      <c r="D290" s="5" t="inlineStr">
        <is>
          <t>Local600</t>
        </is>
      </c>
      <c r="E290" s="6" t="n">
        <v>26.5</v>
      </c>
      <c r="F290" s="5" t="n"/>
      <c r="G290" s="5" t="n"/>
      <c r="H290" s="5" t="n"/>
      <c r="I290" s="5" t="n"/>
      <c r="J290" s="7">
        <f>IF(AND(N(F290)&gt;0,N(I290)&gt;0),I290-F290-IF(N(G290)&gt;0,0.5,0)-IF(N(H290)&gt;0,0.5,0),0)</f>
        <v/>
      </c>
      <c r="K290" s="5" t="n"/>
      <c r="L290" s="7">
        <f>MIN(J290,8.0)</f>
        <v/>
      </c>
      <c r="M290" s="7">
        <f>MAX(0,MIN(J290,12)-8.0)</f>
        <v/>
      </c>
      <c r="N290" s="7">
        <f>MAX(0,J290-12)</f>
        <v/>
      </c>
      <c r="O290" s="5" t="n"/>
      <c r="P290" s="6">
        <f>E290*(L290+M290*1.5+N290*2+O290*3+N(K290))</f>
        <v/>
      </c>
      <c r="Q290" s="6" t="n">
        <v>291.5</v>
      </c>
      <c r="R290" s="6">
        <f>Q290-P290</f>
        <v/>
      </c>
    </row>
    <row r="291">
      <c r="P291" s="2" t="inlineStr">
        <is>
          <t>STILLPHOTOGRAPHER LABOR</t>
        </is>
      </c>
      <c r="R291" s="8">
        <f>SUM(R290:R290)</f>
        <v/>
      </c>
    </row>
    <row r="293">
      <c r="B293" s="2" t="inlineStr">
        <is>
          <t>AERIAL/UNDERWATERPHOTOGRAPHY</t>
        </is>
      </c>
    </row>
    <row r="294">
      <c r="A294" s="5" t="inlineStr">
        <is>
          <t>3385</t>
        </is>
      </c>
      <c r="B294" s="5" t="inlineStr"/>
      <c r="C294" s="5" t="inlineStr">
        <is>
          <t>UNDERWATEROPERATOR</t>
        </is>
      </c>
      <c r="D294" s="5" t="inlineStr">
        <is>
          <t>Local600</t>
        </is>
      </c>
      <c r="E294" s="6" t="n">
        <v>65</v>
      </c>
      <c r="F294" s="5" t="n"/>
      <c r="G294" s="5" t="n"/>
      <c r="H294" s="5" t="n"/>
      <c r="I294" s="5" t="n"/>
      <c r="J294" s="7">
        <f>IF(AND(N(F294)&gt;0,N(I294)&gt;0),I294-F294-IF(N(G294)&gt;0,0.5,0)-IF(N(H294)&gt;0,0.5,0),0)</f>
        <v/>
      </c>
      <c r="K294" s="5" t="n"/>
      <c r="L294" s="7">
        <f>MIN(J294,8.0)</f>
        <v/>
      </c>
      <c r="M294" s="7">
        <f>MAX(0,MIN(J294,12)-8.0)</f>
        <v/>
      </c>
      <c r="N294" s="7">
        <f>MAX(0,J294-12)</f>
        <v/>
      </c>
      <c r="O294" s="5" t="n"/>
      <c r="P294" s="6">
        <f>E294*(L294+M294*1.5+N294*2+O294*3+N(K294))</f>
        <v/>
      </c>
      <c r="Q294" s="6" t="n">
        <v>910</v>
      </c>
      <c r="R294" s="6">
        <f>Q294-P294</f>
        <v/>
      </c>
    </row>
    <row r="295">
      <c r="P295" s="2" t="inlineStr">
        <is>
          <t>AERIAL/UNDERWATERPHOTOGRAPHY LABOR</t>
        </is>
      </c>
      <c r="R295" s="8">
        <f>SUM(R294:R294)</f>
        <v/>
      </c>
    </row>
    <row r="297">
      <c r="B297" s="2" t="inlineStr">
        <is>
          <t>SOUNDMIXER</t>
        </is>
      </c>
    </row>
    <row r="298">
      <c r="A298" s="5" t="inlineStr">
        <is>
          <t>3401</t>
        </is>
      </c>
      <c r="B298" s="5" t="inlineStr">
        <is>
          <t>Julian Howarth</t>
        </is>
      </c>
      <c r="C298" s="5" t="inlineStr">
        <is>
          <t>SOUNDMIXER</t>
        </is>
      </c>
      <c r="D298" s="5" t="inlineStr">
        <is>
          <t>Local695</t>
        </is>
      </c>
      <c r="E298" s="6" t="n">
        <v>26.5</v>
      </c>
      <c r="F298" s="5" t="n"/>
      <c r="G298" s="5" t="n"/>
      <c r="H298" s="5" t="n"/>
      <c r="I298" s="5" t="n"/>
      <c r="J298" s="7">
        <f>IF(AND(N(F298)&gt;0,N(I298)&gt;0),I298-F298-IF(N(G298)&gt;0,0.5,0)-IF(N(H298)&gt;0,0.5,0),0)</f>
        <v/>
      </c>
      <c r="K298" s="5" t="n"/>
      <c r="L298" s="7">
        <f>MIN(J298,10.0)</f>
        <v/>
      </c>
      <c r="M298" s="7">
        <f>MAX(0,MIN(J298,12)-10.0)</f>
        <v/>
      </c>
      <c r="N298" s="7">
        <f>MAX(0,J298-12)</f>
        <v/>
      </c>
      <c r="O298" s="5" t="n"/>
      <c r="P298" s="6">
        <f>E298*(L298+M298*1.5+N298*2+O298*3+N(K298))</f>
        <v/>
      </c>
      <c r="Q298" s="6" t="n">
        <v>410.75</v>
      </c>
      <c r="R298" s="6">
        <f>Q298-P298</f>
        <v/>
      </c>
    </row>
    <row r="299">
      <c r="P299" s="2" t="inlineStr">
        <is>
          <t>SOUNDMIXER LABOR</t>
        </is>
      </c>
      <c r="R299" s="8">
        <f>SUM(R298:R298)</f>
        <v/>
      </c>
    </row>
    <row r="301">
      <c r="B301" s="2" t="inlineStr">
        <is>
          <t>BOOMOPERATOR</t>
        </is>
      </c>
    </row>
    <row r="302">
      <c r="A302" s="5" t="inlineStr">
        <is>
          <t>3402</t>
        </is>
      </c>
      <c r="B302" s="5" t="inlineStr">
        <is>
          <t>Tim Song Jones</t>
        </is>
      </c>
      <c r="C302" s="5" t="inlineStr">
        <is>
          <t>BOOMOPERATOR</t>
        </is>
      </c>
      <c r="D302" s="5" t="inlineStr">
        <is>
          <t>Local695</t>
        </is>
      </c>
      <c r="E302" s="6" t="n">
        <v>23.04</v>
      </c>
      <c r="F302" s="5" t="n"/>
      <c r="G302" s="5" t="n"/>
      <c r="H302" s="5" t="n"/>
      <c r="I302" s="5" t="n"/>
      <c r="J302" s="7">
        <f>IF(AND(N(F302)&gt;0,N(I302)&gt;0),I302-F302-IF(N(G302)&gt;0,0.5,0)-IF(N(H302)&gt;0,0.5,0),0)</f>
        <v/>
      </c>
      <c r="K302" s="5" t="n"/>
      <c r="L302" s="7">
        <f>MIN(J302,10.0)</f>
        <v/>
      </c>
      <c r="M302" s="7">
        <f>MAX(0,MIN(J302,12)-10.0)</f>
        <v/>
      </c>
      <c r="N302" s="7">
        <f>MAX(0,J302-12)</f>
        <v/>
      </c>
      <c r="O302" s="5" t="n"/>
      <c r="P302" s="6">
        <f>E302*(L302+M302*1.5+N302*2+O302*3+N(K302))</f>
        <v/>
      </c>
      <c r="Q302" s="6" t="n">
        <v>357.12</v>
      </c>
      <c r="R302" s="6">
        <f>Q302-P302</f>
        <v/>
      </c>
    </row>
    <row r="303">
      <c r="P303" s="2" t="inlineStr">
        <is>
          <t>BOOMOPERATOR LABOR</t>
        </is>
      </c>
      <c r="R303" s="8">
        <f>SUM(R302:R302)</f>
        <v/>
      </c>
    </row>
    <row r="305">
      <c r="B305" s="2" t="inlineStr">
        <is>
          <t>CABLEPERSON</t>
        </is>
      </c>
    </row>
    <row r="306">
      <c r="A306" s="5" t="inlineStr">
        <is>
          <t>3403</t>
        </is>
      </c>
      <c r="B306" s="5" t="inlineStr"/>
      <c r="C306" s="5" t="inlineStr">
        <is>
          <t>UTILITYSOUND</t>
        </is>
      </c>
      <c r="D306" s="5" t="inlineStr">
        <is>
          <t>Local695</t>
        </is>
      </c>
      <c r="E306" s="6" t="n">
        <v>20.57</v>
      </c>
      <c r="F306" s="5" t="n"/>
      <c r="G306" s="5" t="n"/>
      <c r="H306" s="5" t="n"/>
      <c r="I306" s="5" t="n"/>
      <c r="J306" s="7">
        <f>IF(AND(N(F306)&gt;0,N(I306)&gt;0),I306-F306-IF(N(G306)&gt;0,0.5,0)-IF(N(H306)&gt;0,0.5,0),0)</f>
        <v/>
      </c>
      <c r="K306" s="5" t="n"/>
      <c r="L306" s="7">
        <f>MIN(J306,10.0)</f>
        <v/>
      </c>
      <c r="M306" s="7">
        <f>MAX(0,MIN(J306,12)-10.0)</f>
        <v/>
      </c>
      <c r="N306" s="7">
        <f>MAX(0,J306-12)</f>
        <v/>
      </c>
      <c r="O306" s="5" t="n"/>
      <c r="P306" s="6">
        <f>E306*(L306+M306*1.5+N306*2+O306*3+N(K306))</f>
        <v/>
      </c>
      <c r="Q306" s="6" t="n">
        <v>318.83</v>
      </c>
      <c r="R306" s="6">
        <f>Q306-P306</f>
        <v/>
      </c>
    </row>
    <row r="307">
      <c r="P307" s="2" t="inlineStr">
        <is>
          <t>CABLEPERSON LABOR</t>
        </is>
      </c>
      <c r="R307" s="8">
        <f>SUM(R306:R306)</f>
        <v/>
      </c>
    </row>
    <row r="309">
      <c r="B309" s="2" t="inlineStr">
        <is>
          <t>VIDEOASSIST</t>
        </is>
      </c>
    </row>
    <row r="310">
      <c r="A310" s="5" t="inlineStr">
        <is>
          <t>3404</t>
        </is>
      </c>
      <c r="B310" s="5" t="inlineStr">
        <is>
          <t>Jeff Snyder</t>
        </is>
      </c>
      <c r="C310" s="5" t="inlineStr">
        <is>
          <t>VIDEOASSISTOPERATOR</t>
        </is>
      </c>
      <c r="D310" s="5" t="inlineStr">
        <is>
          <t>Local695</t>
        </is>
      </c>
      <c r="E310" s="6" t="n">
        <v>23.04</v>
      </c>
      <c r="F310" s="5" t="n"/>
      <c r="G310" s="5" t="n"/>
      <c r="H310" s="5" t="n"/>
      <c r="I310" s="5" t="n"/>
      <c r="J310" s="7">
        <f>IF(AND(N(F310)&gt;0,N(I310)&gt;0),I310-F310-IF(N(G310)&gt;0,0.5,0)-IF(N(H310)&gt;0,0.5,0),0)</f>
        <v/>
      </c>
      <c r="K310" s="5" t="n"/>
      <c r="L310" s="7">
        <f>MIN(J310,10.0)</f>
        <v/>
      </c>
      <c r="M310" s="7">
        <f>MAX(0,MIN(J310,12)-10.0)</f>
        <v/>
      </c>
      <c r="N310" s="7">
        <f>MAX(0,J310-12)</f>
        <v/>
      </c>
      <c r="O310" s="5" t="n"/>
      <c r="P310" s="6">
        <f>E310*(L310+M310*1.5+N310*2+O310*3+N(K310))</f>
        <v/>
      </c>
      <c r="Q310" s="6" t="n">
        <v>357.12</v>
      </c>
      <c r="R310" s="6">
        <f>Q310-P310</f>
        <v/>
      </c>
    </row>
    <row r="311">
      <c r="P311" s="2" t="inlineStr">
        <is>
          <t>VIDEOASSIST LABOR</t>
        </is>
      </c>
      <c r="R311" s="8">
        <f>SUM(R310:R310)</f>
        <v/>
      </c>
    </row>
    <row r="313">
      <c r="B313" s="2" t="inlineStr">
        <is>
          <t>CAPTAIN</t>
        </is>
      </c>
    </row>
    <row r="314">
      <c r="A314" s="5" t="inlineStr">
        <is>
          <t>3502</t>
        </is>
      </c>
      <c r="B314" s="5" t="inlineStr">
        <is>
          <t>Kevin Caira</t>
        </is>
      </c>
      <c r="C314" s="5" t="inlineStr">
        <is>
          <t>TRANSPOCAPTAIN(LA)</t>
        </is>
      </c>
      <c r="D314" s="5" t="inlineStr">
        <is>
          <t>Local399</t>
        </is>
      </c>
      <c r="E314" s="6" t="n">
        <v>37.21</v>
      </c>
      <c r="F314" s="5" t="n"/>
      <c r="G314" s="5" t="n"/>
      <c r="H314" s="5" t="n"/>
      <c r="I314" s="5" t="n"/>
      <c r="J314" s="7">
        <f>IF(AND(N(F314)&gt;0,N(I314)&gt;0),I314-F314-IF(N(G314)&gt;0,0.5,0)-IF(N(H314)&gt;0,0.5,0),0)</f>
        <v/>
      </c>
      <c r="K314" s="5" t="n"/>
      <c r="L314" s="7">
        <f>MIN(J314,8.0)</f>
        <v/>
      </c>
      <c r="M314" s="7">
        <f>MAX(0,MIN(J314,12)-8.0)</f>
        <v/>
      </c>
      <c r="N314" s="7">
        <f>MAX(0,J314-12)</f>
        <v/>
      </c>
      <c r="O314" s="5" t="n"/>
      <c r="P314" s="6">
        <f>E314*(L314+M314*1.5+N314*2+O314*3+N(K314))</f>
        <v/>
      </c>
      <c r="Q314" s="6" t="n">
        <v>651.17</v>
      </c>
      <c r="R314" s="6">
        <f>Q314-P314</f>
        <v/>
      </c>
    </row>
    <row r="315">
      <c r="A315" s="5" t="inlineStr">
        <is>
          <t>3502</t>
        </is>
      </c>
      <c r="B315" s="5" t="inlineStr">
        <is>
          <t>Tina Peterson</t>
        </is>
      </c>
      <c r="C315" s="5" t="inlineStr">
        <is>
          <t>CO-CAPTAIN</t>
        </is>
      </c>
      <c r="D315" s="5" t="inlineStr">
        <is>
          <t>Local399</t>
        </is>
      </c>
      <c r="E315" s="6" t="n">
        <v>37.21</v>
      </c>
      <c r="F315" s="5" t="n"/>
      <c r="G315" s="5" t="n"/>
      <c r="H315" s="5" t="n"/>
      <c r="I315" s="5" t="n"/>
      <c r="J315" s="7">
        <f>IF(AND(N(F315)&gt;0,N(I315)&gt;0),I315-F315-IF(N(G315)&gt;0,0.5,0)-IF(N(H315)&gt;0,0.5,0),0)</f>
        <v/>
      </c>
      <c r="K315" s="5" t="n"/>
      <c r="L315" s="7">
        <f>MIN(J315,8.0)</f>
        <v/>
      </c>
      <c r="M315" s="7">
        <f>MAX(0,MIN(J315,12)-8.0)</f>
        <v/>
      </c>
      <c r="N315" s="7">
        <f>MAX(0,J315-12)</f>
        <v/>
      </c>
      <c r="O315" s="5" t="n"/>
      <c r="P315" s="6">
        <f>E315*(L315+M315*1.5+N315*2+O315*3+N(K315))</f>
        <v/>
      </c>
      <c r="Q315" s="6" t="n">
        <v>576.75</v>
      </c>
      <c r="R315" s="6">
        <f>Q315-P315</f>
        <v/>
      </c>
    </row>
    <row r="316">
      <c r="P316" s="2" t="inlineStr">
        <is>
          <t>CAPTAIN LABOR</t>
        </is>
      </c>
      <c r="R316" s="8">
        <f>SUM(R314:R315)</f>
        <v/>
      </c>
    </row>
    <row r="318">
      <c r="B318" s="2" t="inlineStr">
        <is>
          <t>DRIVERS</t>
        </is>
      </c>
    </row>
    <row r="319">
      <c r="A319" s="5" t="inlineStr">
        <is>
          <t>3503</t>
        </is>
      </c>
      <c r="B319" s="5" t="inlineStr"/>
      <c r="C319" s="5" t="inlineStr">
        <is>
          <t>GRIPTRUCK 48'TRACTORTRAILERDRIVER</t>
        </is>
      </c>
      <c r="D319" s="5" t="inlineStr"/>
      <c r="E319" s="6" t="n">
        <v>32.36</v>
      </c>
      <c r="F319" s="5" t="n"/>
      <c r="G319" s="5" t="n"/>
      <c r="H319" s="5" t="n"/>
      <c r="I319" s="5" t="n"/>
      <c r="J319" s="7">
        <f>IF(AND(N(F319)&gt;0,N(I319)&gt;0),I319-F319-IF(N(G319)&gt;0,0.5,0)-IF(N(H319)&gt;0,0.5,0),0)</f>
        <v/>
      </c>
      <c r="K319" s="5" t="n"/>
      <c r="L319" s="7">
        <f>MIN(J319,8.0)</f>
        <v/>
      </c>
      <c r="M319" s="7">
        <f>MAX(0,MIN(J319,12)-8.0)</f>
        <v/>
      </c>
      <c r="N319" s="7">
        <f>MAX(0,J319-12)</f>
        <v/>
      </c>
      <c r="O319" s="5" t="n"/>
      <c r="P319" s="6">
        <f>E319*(L319+M319*1.5+N319*2+O319*3+N(K319))</f>
        <v/>
      </c>
      <c r="Q319" s="6" t="n">
        <v>501.58</v>
      </c>
      <c r="R319" s="6">
        <f>Q319-P319</f>
        <v/>
      </c>
    </row>
    <row r="320">
      <c r="A320" s="5" t="inlineStr">
        <is>
          <t>3503</t>
        </is>
      </c>
      <c r="B320" s="5" t="inlineStr">
        <is>
          <t>Donald Wilson</t>
        </is>
      </c>
      <c r="C320" s="5" t="inlineStr">
        <is>
          <t>PROP 5-TON(ENCLOSED)</t>
        </is>
      </c>
      <c r="D320" s="5" t="inlineStr"/>
      <c r="E320" s="6" t="n">
        <v>32.36</v>
      </c>
      <c r="F320" s="5" t="n"/>
      <c r="G320" s="5" t="n"/>
      <c r="H320" s="5" t="n"/>
      <c r="I320" s="5" t="n"/>
      <c r="J320" s="7">
        <f>IF(AND(N(F320)&gt;0,N(I320)&gt;0),I320-F320-IF(N(G320)&gt;0,0.5,0)-IF(N(H320)&gt;0,0.5,0),0)</f>
        <v/>
      </c>
      <c r="K320" s="5" t="n"/>
      <c r="L320" s="7">
        <f>MIN(J320,8.0)</f>
        <v/>
      </c>
      <c r="M320" s="7">
        <f>MAX(0,MIN(J320,12)-8.0)</f>
        <v/>
      </c>
      <c r="N320" s="7">
        <f>MAX(0,J320-12)</f>
        <v/>
      </c>
      <c r="O320" s="5" t="n"/>
      <c r="P320" s="6">
        <f>E320*(L320+M320*1.5+N320*2+O320*3+N(K320))</f>
        <v/>
      </c>
      <c r="Q320" s="6" t="n">
        <v>501.58</v>
      </c>
      <c r="R320" s="6">
        <f>Q320-P320</f>
        <v/>
      </c>
    </row>
    <row r="321">
      <c r="A321" s="5" t="inlineStr">
        <is>
          <t>3503</t>
        </is>
      </c>
      <c r="B321" s="5" t="inlineStr"/>
      <c r="C321" s="5" t="inlineStr">
        <is>
          <t>WARDROBESTAKEBEDDRIVER#1</t>
        </is>
      </c>
      <c r="D321" s="5" t="inlineStr"/>
      <c r="E321" s="6" t="n">
        <v>37.99</v>
      </c>
      <c r="F321" s="5" t="n"/>
      <c r="G321" s="5" t="n"/>
      <c r="H321" s="5" t="n"/>
      <c r="I321" s="5" t="n"/>
      <c r="J321" s="7">
        <f>IF(AND(N(F321)&gt;0,N(I321)&gt;0),I321-F321-IF(N(G321)&gt;0,0.5,0)-IF(N(H321)&gt;0,0.5,0),0)</f>
        <v/>
      </c>
      <c r="K321" s="5" t="n"/>
      <c r="L321" s="7">
        <f>MIN(J321,8.0)</f>
        <v/>
      </c>
      <c r="M321" s="7">
        <f>MAX(0,MIN(J321,12)-8.0)</f>
        <v/>
      </c>
      <c r="N321" s="7">
        <f>MAX(0,J321-12)</f>
        <v/>
      </c>
      <c r="O321" s="5" t="n"/>
      <c r="P321" s="6">
        <f>E321*(L321+M321*1.5+N321*2+O321*3+N(K321))</f>
        <v/>
      </c>
      <c r="Q321" s="6" t="n">
        <v>588.85</v>
      </c>
      <c r="R321" s="6">
        <f>Q321-P321</f>
        <v/>
      </c>
    </row>
    <row r="322">
      <c r="A322" s="5" t="inlineStr">
        <is>
          <t>3503</t>
        </is>
      </c>
      <c r="B322" s="5" t="inlineStr"/>
      <c r="C322" s="5" t="inlineStr">
        <is>
          <t>MAKEUPHAIRTRAILERDRIVER</t>
        </is>
      </c>
      <c r="D322" s="5" t="inlineStr"/>
      <c r="E322" s="6" t="n">
        <v>32.36</v>
      </c>
      <c r="F322" s="5" t="n"/>
      <c r="G322" s="5" t="n"/>
      <c r="H322" s="5" t="n"/>
      <c r="I322" s="5" t="n"/>
      <c r="J322" s="7">
        <f>IF(AND(N(F322)&gt;0,N(I322)&gt;0),I322-F322-IF(N(G322)&gt;0,0.5,0)-IF(N(H322)&gt;0,0.5,0),0)</f>
        <v/>
      </c>
      <c r="K322" s="5" t="n"/>
      <c r="L322" s="7">
        <f>MIN(J322,8.0)</f>
        <v/>
      </c>
      <c r="M322" s="7">
        <f>MAX(0,MIN(J322,12)-8.0)</f>
        <v/>
      </c>
      <c r="N322" s="7">
        <f>MAX(0,J322-12)</f>
        <v/>
      </c>
      <c r="O322" s="5" t="n"/>
      <c r="P322" s="6">
        <f>E322*(L322+M322*1.5+N322*2+O322*3+N(K322))</f>
        <v/>
      </c>
      <c r="Q322" s="6" t="n">
        <v>501.58</v>
      </c>
      <c r="R322" s="6">
        <f>Q322-P322</f>
        <v/>
      </c>
    </row>
    <row r="323">
      <c r="A323" s="5" t="inlineStr">
        <is>
          <t>3503</t>
        </is>
      </c>
      <c r="B323" s="5" t="inlineStr"/>
      <c r="C323" s="5" t="inlineStr">
        <is>
          <t>ELECTRIC 10TONDRIVER(GENIEOPERATOR)</t>
        </is>
      </c>
      <c r="D323" s="5" t="inlineStr"/>
      <c r="E323" s="6" t="n">
        <v>37.99</v>
      </c>
      <c r="F323" s="5" t="n"/>
      <c r="G323" s="5" t="n"/>
      <c r="H323" s="5" t="n"/>
      <c r="I323" s="5" t="n"/>
      <c r="J323" s="7">
        <f>IF(AND(N(F323)&gt;0,N(I323)&gt;0),I323-F323-IF(N(G323)&gt;0,0.5,0)-IF(N(H323)&gt;0,0.5,0),0)</f>
        <v/>
      </c>
      <c r="K323" s="5" t="n"/>
      <c r="L323" s="7">
        <f>MIN(J323,8.0)</f>
        <v/>
      </c>
      <c r="M323" s="7">
        <f>MAX(0,MIN(J323,12)-8.0)</f>
        <v/>
      </c>
      <c r="N323" s="7">
        <f>MAX(0,J323-12)</f>
        <v/>
      </c>
      <c r="O323" s="5" t="n"/>
      <c r="P323" s="6">
        <f>E323*(L323+M323*1.5+N323*2+O323*3+N(K323))</f>
        <v/>
      </c>
      <c r="Q323" s="6" t="n">
        <v>588.85</v>
      </c>
      <c r="R323" s="6">
        <f>Q323-P323</f>
        <v/>
      </c>
    </row>
    <row r="324">
      <c r="A324" s="5" t="inlineStr">
        <is>
          <t>3503</t>
        </is>
      </c>
      <c r="B324" s="5" t="inlineStr"/>
      <c r="C324" s="5" t="inlineStr">
        <is>
          <t>SOUNDCCSTAKEBEDFUELTRUCKDRIVER</t>
        </is>
      </c>
      <c r="D324" s="5" t="inlineStr"/>
      <c r="E324" s="6" t="n">
        <v>32.36</v>
      </c>
      <c r="F324" s="5" t="n"/>
      <c r="G324" s="5" t="n"/>
      <c r="H324" s="5" t="n"/>
      <c r="I324" s="5" t="n"/>
      <c r="J324" s="7">
        <f>IF(AND(N(F324)&gt;0,N(I324)&gt;0),I324-F324-IF(N(G324)&gt;0,0.5,0)-IF(N(H324)&gt;0,0.5,0),0)</f>
        <v/>
      </c>
      <c r="K324" s="5" t="n"/>
      <c r="L324" s="7">
        <f>MIN(J324,8.0)</f>
        <v/>
      </c>
      <c r="M324" s="7">
        <f>MAX(0,MIN(J324,12)-8.0)</f>
        <v/>
      </c>
      <c r="N324" s="7">
        <f>MAX(0,J324-12)</f>
        <v/>
      </c>
      <c r="O324" s="5" t="n"/>
      <c r="P324" s="6">
        <f>E324*(L324+M324*1.5+N324*2+O324*3+N(K324))</f>
        <v/>
      </c>
      <c r="Q324" s="6" t="n">
        <v>501.58</v>
      </c>
      <c r="R324" s="6">
        <f>Q324-P324</f>
        <v/>
      </c>
    </row>
    <row r="325">
      <c r="A325" s="5" t="inlineStr">
        <is>
          <t>3503</t>
        </is>
      </c>
      <c r="B325" s="5" t="inlineStr"/>
      <c r="C325" s="5" t="inlineStr">
        <is>
          <t>9-ROOMHONEYWAGONTRACTORDRIVER</t>
        </is>
      </c>
      <c r="D325" s="5" t="inlineStr"/>
      <c r="E325" s="6" t="n">
        <v>32.36</v>
      </c>
      <c r="F325" s="5" t="n"/>
      <c r="G325" s="5" t="n"/>
      <c r="H325" s="5" t="n"/>
      <c r="I325" s="5" t="n"/>
      <c r="J325" s="7">
        <f>IF(AND(N(F325)&gt;0,N(I325)&gt;0),I325-F325-IF(N(G325)&gt;0,0.5,0)-IF(N(H325)&gt;0,0.5,0),0)</f>
        <v/>
      </c>
      <c r="K325" s="5" t="n"/>
      <c r="L325" s="7">
        <f>MIN(J325,8.0)</f>
        <v/>
      </c>
      <c r="M325" s="7">
        <f>MAX(0,MIN(J325,12)-8.0)</f>
        <v/>
      </c>
      <c r="N325" s="7">
        <f>MAX(0,J325-12)</f>
        <v/>
      </c>
      <c r="O325" s="5" t="n"/>
      <c r="P325" s="6">
        <f>E325*(L325+M325*1.5+N325*2+O325*3+N(K325))</f>
        <v/>
      </c>
      <c r="Q325" s="6" t="n">
        <v>501.58</v>
      </c>
      <c r="R325" s="6">
        <f>Q325-P325</f>
        <v/>
      </c>
    </row>
    <row r="326">
      <c r="A326" s="5" t="inlineStr">
        <is>
          <t>3503</t>
        </is>
      </c>
      <c r="B326" s="5" t="inlineStr"/>
      <c r="C326" s="5" t="inlineStr">
        <is>
          <t>FORDTRANSITVANDRIVER#1</t>
        </is>
      </c>
      <c r="D326" s="5" t="inlineStr"/>
      <c r="E326" s="6" t="n">
        <v>32.36</v>
      </c>
      <c r="F326" s="5" t="n"/>
      <c r="G326" s="5" t="n"/>
      <c r="H326" s="5" t="n"/>
      <c r="I326" s="5" t="n"/>
      <c r="J326" s="7">
        <f>IF(AND(N(F326)&gt;0,N(I326)&gt;0),I326-F326-IF(N(G326)&gt;0,0.5,0)-IF(N(H326)&gt;0,0.5,0),0)</f>
        <v/>
      </c>
      <c r="K326" s="5" t="n"/>
      <c r="L326" s="7">
        <f>MIN(J326,8.0)</f>
        <v/>
      </c>
      <c r="M326" s="7">
        <f>MAX(0,MIN(J326,12)-8.0)</f>
        <v/>
      </c>
      <c r="N326" s="7">
        <f>MAX(0,J326-12)</f>
        <v/>
      </c>
      <c r="O326" s="5" t="n"/>
      <c r="P326" s="6">
        <f>E326*(L326+M326*1.5+N326*2+O326*3+N(K326))</f>
        <v/>
      </c>
      <c r="Q326" s="6" t="n">
        <v>501.58</v>
      </c>
      <c r="R326" s="6">
        <f>Q326-P326</f>
        <v/>
      </c>
    </row>
    <row r="327">
      <c r="A327" s="5" t="inlineStr">
        <is>
          <t>3503</t>
        </is>
      </c>
      <c r="B327" s="5" t="inlineStr">
        <is>
          <t>Kaiser Clark</t>
        </is>
      </c>
      <c r="C327" s="5" t="inlineStr">
        <is>
          <t>CSETDECTRUCKDRIVER#1</t>
        </is>
      </c>
      <c r="D327" s="5" t="inlineStr"/>
      <c r="E327" s="6" t="n">
        <v>32.36</v>
      </c>
      <c r="F327" s="5" t="n"/>
      <c r="G327" s="5" t="n"/>
      <c r="H327" s="5" t="n"/>
      <c r="I327" s="5" t="n"/>
      <c r="J327" s="7">
        <f>IF(AND(N(F327)&gt;0,N(I327)&gt;0),I327-F327-IF(N(G327)&gt;0,0.5,0)-IF(N(H327)&gt;0,0.5,0),0)</f>
        <v/>
      </c>
      <c r="K327" s="5" t="n"/>
      <c r="L327" s="7">
        <f>MIN(J327,8.0)</f>
        <v/>
      </c>
      <c r="M327" s="7">
        <f>MAX(0,MIN(J327,12)-8.0)</f>
        <v/>
      </c>
      <c r="N327" s="7">
        <f>MAX(0,J327-12)</f>
        <v/>
      </c>
      <c r="O327" s="5" t="n"/>
      <c r="P327" s="6">
        <f>E327*(L327+M327*1.5+N327*2+O327*3+N(K327))</f>
        <v/>
      </c>
      <c r="Q327" s="6" t="n">
        <v>501.58</v>
      </c>
      <c r="R327" s="6">
        <f>Q327-P327</f>
        <v/>
      </c>
    </row>
    <row r="328">
      <c r="A328" s="5" t="inlineStr">
        <is>
          <t>3503</t>
        </is>
      </c>
      <c r="B328" s="5" t="inlineStr"/>
      <c r="C328" s="5" t="inlineStr">
        <is>
          <t>C 5-TONENCLOSEDRIGGINGGRIPDRIVER</t>
        </is>
      </c>
      <c r="D328" s="5" t="inlineStr"/>
      <c r="E328" s="6" t="n">
        <v>32.36</v>
      </c>
      <c r="F328" s="5" t="n"/>
      <c r="G328" s="5" t="n"/>
      <c r="H328" s="5" t="n"/>
      <c r="I328" s="5" t="n"/>
      <c r="J328" s="7">
        <f>IF(AND(N(F328)&gt;0,N(I328)&gt;0),I328-F328-IF(N(G328)&gt;0,0.5,0)-IF(N(H328)&gt;0,0.5,0),0)</f>
        <v/>
      </c>
      <c r="K328" s="5" t="n"/>
      <c r="L328" s="7">
        <f>MIN(J328,8.0)</f>
        <v/>
      </c>
      <c r="M328" s="7">
        <f>MAX(0,MIN(J328,12)-8.0)</f>
        <v/>
      </c>
      <c r="N328" s="7">
        <f>MAX(0,J328-12)</f>
        <v/>
      </c>
      <c r="O328" s="5" t="n"/>
      <c r="P328" s="6">
        <f>E328*(L328+M328*1.5+N328*2+O328*3+N(K328))</f>
        <v/>
      </c>
      <c r="Q328" s="5" t="n"/>
      <c r="R328" s="6">
        <f>Q328-P328</f>
        <v/>
      </c>
    </row>
    <row r="329">
      <c r="A329" s="5" t="inlineStr">
        <is>
          <t>3503</t>
        </is>
      </c>
      <c r="B329" s="5" t="inlineStr"/>
      <c r="C329" s="5" t="inlineStr">
        <is>
          <t>SCOUTBUS</t>
        </is>
      </c>
      <c r="D329" s="5" t="inlineStr"/>
      <c r="E329" s="6" t="n">
        <v>32.36</v>
      </c>
      <c r="F329" s="5" t="n"/>
      <c r="G329" s="5" t="n"/>
      <c r="H329" s="5" t="n"/>
      <c r="I329" s="5" t="n"/>
      <c r="J329" s="7">
        <f>IF(AND(N(F329)&gt;0,N(I329)&gt;0),I329-F329-IF(N(G329)&gt;0,0.5,0)-IF(N(H329)&gt;0,0.5,0),0)</f>
        <v/>
      </c>
      <c r="K329" s="5" t="n"/>
      <c r="L329" s="7">
        <f>MIN(J329,8.0)</f>
        <v/>
      </c>
      <c r="M329" s="7">
        <f>MAX(0,MIN(J329,12)-8.0)</f>
        <v/>
      </c>
      <c r="N329" s="7">
        <f>MAX(0,J329-12)</f>
        <v/>
      </c>
      <c r="O329" s="5" t="n"/>
      <c r="P329" s="6">
        <f>E329*(L329+M329*1.5+N329*2+O329*3+N(K329))</f>
        <v/>
      </c>
      <c r="Q329" s="5" t="n"/>
      <c r="R329" s="6">
        <f>Q329-P329</f>
        <v/>
      </c>
    </row>
    <row r="330">
      <c r="A330" s="5" t="inlineStr">
        <is>
          <t>3503</t>
        </is>
      </c>
      <c r="B330" s="5" t="inlineStr"/>
      <c r="C330" s="5" t="inlineStr">
        <is>
          <t>DRIVERMANDAYS</t>
        </is>
      </c>
      <c r="D330" s="5" t="inlineStr"/>
      <c r="E330" s="6" t="n">
        <v>32.36</v>
      </c>
      <c r="F330" s="5" t="n"/>
      <c r="G330" s="5" t="n"/>
      <c r="H330" s="5" t="n"/>
      <c r="I330" s="5" t="n"/>
      <c r="J330" s="7">
        <f>IF(AND(N(F330)&gt;0,N(I330)&gt;0),I330-F330-IF(N(G330)&gt;0,0.5,0)-IF(N(H330)&gt;0,0.5,0),0)</f>
        <v/>
      </c>
      <c r="K330" s="5" t="n"/>
      <c r="L330" s="7">
        <f>MIN(J330,8.0)</f>
        <v/>
      </c>
      <c r="M330" s="7">
        <f>MAX(0,MIN(J330,12)-8.0)</f>
        <v/>
      </c>
      <c r="N330" s="7">
        <f>MAX(0,J330-12)</f>
        <v/>
      </c>
      <c r="O330" s="5" t="n"/>
      <c r="P330" s="6">
        <f>E330*(L330+M330*1.5+N330*2+O330*3+N(K330))</f>
        <v/>
      </c>
      <c r="Q330" s="5" t="n"/>
      <c r="R330" s="6">
        <f>Q330-P330</f>
        <v/>
      </c>
    </row>
    <row r="331">
      <c r="P331" s="2" t="inlineStr">
        <is>
          <t>DRIVERS LABOR</t>
        </is>
      </c>
      <c r="R331" s="8">
        <f>SUM(R319:R330)</f>
        <v/>
      </c>
    </row>
    <row r="333">
      <c r="B333" s="2" t="inlineStr">
        <is>
          <t>LOCATIONSITEFEES</t>
        </is>
      </c>
    </row>
    <row r="334">
      <c r="A334" s="5" t="inlineStr">
        <is>
          <t>3607</t>
        </is>
      </c>
      <c r="B334" s="5" t="inlineStr"/>
      <c r="C334" s="5" t="inlineStr">
        <is>
          <t>Location#1(Hospital ER, LACountry Childrens Shelter, Shelter Dorm, Dept...</t>
        </is>
      </c>
      <c r="D334" s="5" t="inlineStr">
        <is>
          <t>Local400</t>
        </is>
      </c>
      <c r="E334" s="6" t="n">
        <v>50000</v>
      </c>
      <c r="F334" s="5" t="n"/>
      <c r="G334" s="5" t="n"/>
      <c r="H334" s="5" t="n"/>
      <c r="I334" s="5" t="n"/>
      <c r="J334" s="7">
        <f>IF(AND(N(F334)&gt;0,N(I334)&gt;0),I334-F334-IF(N(G334)&gt;0,0.5,0)-IF(N(H334)&gt;0,0.5,0),0)</f>
        <v/>
      </c>
      <c r="K334" s="5" t="n"/>
      <c r="L334" s="7">
        <f>MIN(J334,8.0)</f>
        <v/>
      </c>
      <c r="M334" s="7">
        <f>MAX(0,MIN(J334,12)-8.0)</f>
        <v/>
      </c>
      <c r="N334" s="7">
        <f>MAX(0,J334-12)</f>
        <v/>
      </c>
      <c r="O334" s="5" t="n"/>
      <c r="P334" s="6">
        <f>E334*(L334+M334*1.5+N334*2+O334*3+N(K334))</f>
        <v/>
      </c>
      <c r="Q334" s="6" t="n">
        <v>50000</v>
      </c>
      <c r="R334" s="6">
        <f>Q334-P334</f>
        <v/>
      </c>
    </row>
    <row r="335">
      <c r="P335" s="2" t="inlineStr">
        <is>
          <t>LOCATIONSITEFEES LABOR</t>
        </is>
      </c>
      <c r="R335" s="8">
        <f>SUM(R334:R334)</f>
        <v/>
      </c>
    </row>
    <row r="337">
      <c r="B337" s="2" t="inlineStr">
        <is>
          <t>CATERINGLABOR</t>
        </is>
      </c>
    </row>
    <row r="338">
      <c r="A338" s="5" t="inlineStr">
        <is>
          <t>3621</t>
        </is>
      </c>
      <c r="B338" s="5" t="inlineStr"/>
      <c r="C338" s="5" t="inlineStr">
        <is>
          <t>COOKDRIVER#1</t>
        </is>
      </c>
      <c r="D338" s="5" t="inlineStr">
        <is>
          <t>Local399</t>
        </is>
      </c>
      <c r="E338" s="6" t="n">
        <v>32.36</v>
      </c>
      <c r="F338" s="5" t="n"/>
      <c r="G338" s="5" t="n"/>
      <c r="H338" s="5" t="n"/>
      <c r="I338" s="5" t="n"/>
      <c r="J338" s="7">
        <f>IF(AND(N(F338)&gt;0,N(I338)&gt;0),I338-F338-IF(N(G338)&gt;0,0.5,0)-IF(N(H338)&gt;0,0.5,0),0)</f>
        <v/>
      </c>
      <c r="K338" s="5" t="n"/>
      <c r="L338" s="7">
        <f>MIN(J338,8.0)</f>
        <v/>
      </c>
      <c r="M338" s="7">
        <f>MAX(0,MIN(J338,12)-8.0)</f>
        <v/>
      </c>
      <c r="N338" s="7">
        <f>MAX(0,J338-12)</f>
        <v/>
      </c>
      <c r="O338" s="5" t="n"/>
      <c r="P338" s="6">
        <f>E338*(L338+M338*1.5+N338*2+O338*3+N(K338))</f>
        <v/>
      </c>
      <c r="Q338" s="6" t="n">
        <v>647.2</v>
      </c>
      <c r="R338" s="6">
        <f>Q338-P338</f>
        <v/>
      </c>
    </row>
    <row r="339">
      <c r="A339" s="5" t="inlineStr">
        <is>
          <t>3621</t>
        </is>
      </c>
      <c r="B339" s="5" t="inlineStr"/>
      <c r="C339" s="5" t="inlineStr">
        <is>
          <t>1STASSTCATERER#1</t>
        </is>
      </c>
      <c r="D339" s="5" t="inlineStr"/>
      <c r="E339" s="6" t="n">
        <v>17</v>
      </c>
      <c r="F339" s="5" t="n"/>
      <c r="G339" s="5" t="n"/>
      <c r="H339" s="5" t="n"/>
      <c r="I339" s="5" t="n"/>
      <c r="J339" s="7">
        <f>IF(AND(N(F339)&gt;0,N(I339)&gt;0),I339-F339-IF(N(G339)&gt;0,0.5,0)-IF(N(H339)&gt;0,0.5,0),0)</f>
        <v/>
      </c>
      <c r="K339" s="5" t="n"/>
      <c r="L339" s="7">
        <f>MIN(J339,8.0)</f>
        <v/>
      </c>
      <c r="M339" s="7">
        <f>MAX(0,MIN(J339,12)-8.0)</f>
        <v/>
      </c>
      <c r="N339" s="7">
        <f>MAX(0,J339-12)</f>
        <v/>
      </c>
      <c r="O339" s="5" t="n"/>
      <c r="P339" s="6">
        <f>E339*(L339+M339*1.5+N339*2+O339*3+N(K339))</f>
        <v/>
      </c>
      <c r="Q339" s="6" t="n">
        <v>340</v>
      </c>
      <c r="R339" s="6">
        <f>Q339-P339</f>
        <v/>
      </c>
    </row>
    <row r="340">
      <c r="A340" s="5" t="inlineStr">
        <is>
          <t>3621</t>
        </is>
      </c>
      <c r="B340" s="5" t="inlineStr"/>
      <c r="C340" s="5" t="inlineStr">
        <is>
          <t>1STASSTCATERER#2</t>
        </is>
      </c>
      <c r="D340" s="5" t="inlineStr"/>
      <c r="E340" s="6" t="n">
        <v>16</v>
      </c>
      <c r="F340" s="5" t="n"/>
      <c r="G340" s="5" t="n"/>
      <c r="H340" s="5" t="n"/>
      <c r="I340" s="5" t="n"/>
      <c r="J340" s="7">
        <f>IF(AND(N(F340)&gt;0,N(I340)&gt;0),I340-F340-IF(N(G340)&gt;0,0.5,0)-IF(N(H340)&gt;0,0.5,0),0)</f>
        <v/>
      </c>
      <c r="K340" s="5" t="n"/>
      <c r="L340" s="7">
        <f>MIN(J340,8.0)</f>
        <v/>
      </c>
      <c r="M340" s="7">
        <f>MAX(0,MIN(J340,12)-8.0)</f>
        <v/>
      </c>
      <c r="N340" s="7">
        <f>MAX(0,J340-12)</f>
        <v/>
      </c>
      <c r="O340" s="5" t="n"/>
      <c r="P340" s="6">
        <f>E340*(L340+M340*1.5+N340*2+O340*3+N(K340))</f>
        <v/>
      </c>
      <c r="Q340" s="6" t="n">
        <v>320</v>
      </c>
      <c r="R340" s="6">
        <f>Q340-P340</f>
        <v/>
      </c>
    </row>
    <row r="341">
      <c r="P341" s="2" t="inlineStr">
        <is>
          <t>CATERINGLABOR LABOR</t>
        </is>
      </c>
      <c r="R341" s="8">
        <f>SUM(R338:R340)</f>
        <v/>
      </c>
    </row>
    <row r="343">
      <c r="K343" s="9" t="inlineStr">
        <is>
          <t>TOTAL</t>
        </is>
      </c>
      <c r="P343" s="9" t="inlineStr">
        <is>
          <t>ACTUAL</t>
        </is>
      </c>
      <c r="Q343" s="9" t="inlineStr">
        <is>
          <t>BUDGET</t>
        </is>
      </c>
      <c r="R343" s="9" t="inlineStr">
        <is>
          <t>TOTAL VAR</t>
        </is>
      </c>
    </row>
    <row r="344">
      <c r="P344" s="9" t="inlineStr">
        <is>
          <t>DAY COST</t>
        </is>
      </c>
      <c r="Q344" s="9" t="inlineStr">
        <is>
          <t>DY COST</t>
        </is>
      </c>
      <c r="R344" s="9" t="inlineStr">
        <is>
          <t>(OVER) / UNDER</t>
        </is>
      </c>
    </row>
    <row r="345">
      <c r="P345" s="10">
        <f>SUM(P6:P6)+SUM(P10:P11)+SUM(P15:P17)+SUM(P21:P22)+SUM(P26:P32)+SUM(P36:P36)+SUM(P40:P41)+SUM(P45:P45)+SUM(P49:P49)+SUM(P53:P54)+SUM(P58:P58)+SUM(P62:P62)+SUM(P66:P67)+SUM(P71:P71)+SUM(P75:P75)+SUM(P79:P80)+SUM(P84:P84)+SUM(P88:P88)+SUM(P92:P93)+SUM(P97:P100)+SUM(P104:P104)+SUM(P108:P109)+SUM(P113:P113)+SUM(P117:P117)+SUM(P121:P121)+SUM(P125:P125)+SUM(P129:P130)+SUM(P134:P134)+SUM(P138:P139)+SUM(P143:P145)+SUM(P149:P149)+SUM(P153:P153)+SUM(P157:P158)+SUM(P162:P163)+SUM(P167:P167)+SUM(P171:P173)+SUM(P177:P177)+SUM(P181:P181)+SUM(P185:P187)+SUM(P191:P191)+SUM(P195:P195)+SUM(P199:P199)+SUM(P203:P203)+SUM(P207:P207)+SUM(P211:P211)+SUM(P215:P216)+SUM(P220:P220)+SUM(P224:P224)+SUM(P228:P228)+SUM(P232:P233)+SUM(P237:P237)+SUM(P241:P241)+SUM(P245:P245)+SUM(P249:P249)+SUM(P253:P254)+SUM(P258:P260)+SUM(P264:P264)+SUM(P268:P268)+SUM(P272:P272)+SUM(P276:P276)+SUM(P280:P281)+SUM(P285:P286)+SUM(P290:P290)+SUM(P294:P294)+SUM(P298:P298)+SUM(P302:P302)+SUM(P306:P306)+SUM(P310:P310)+SUM(P314:P315)+SUM(P319:P330)+SUM(P334:P334)+SUM(P338:P340)</f>
        <v/>
      </c>
      <c r="Q345" s="10">
        <f>SUM(Q6:Q6)+SUM(Q10:Q11)+SUM(Q15:Q17)+SUM(Q21:Q22)+SUM(Q26:Q32)+SUM(Q36:Q36)+SUM(Q40:Q41)+SUM(Q45:Q45)+SUM(Q49:Q49)+SUM(Q53:Q54)+SUM(Q58:Q58)+SUM(Q62:Q62)+SUM(Q66:Q67)+SUM(Q71:Q71)+SUM(Q75:Q75)+SUM(Q79:Q80)+SUM(Q84:Q84)+SUM(Q88:Q88)+SUM(Q92:Q93)+SUM(Q97:Q100)+SUM(Q104:Q104)+SUM(Q108:Q109)+SUM(Q113:Q113)+SUM(Q117:Q117)+SUM(Q121:Q121)+SUM(Q125:Q125)+SUM(Q129:Q130)+SUM(Q134:Q134)+SUM(Q138:Q139)+SUM(Q143:Q145)+SUM(Q149:Q149)+SUM(Q153:Q153)+SUM(Q157:Q158)+SUM(Q162:Q163)+SUM(Q167:Q167)+SUM(Q171:Q173)+SUM(Q177:Q177)+SUM(Q181:Q181)+SUM(Q185:Q187)+SUM(Q191:Q191)+SUM(Q195:Q195)+SUM(Q199:Q199)+SUM(Q203:Q203)+SUM(Q207:Q207)+SUM(Q211:Q211)+SUM(Q215:Q216)+SUM(Q220:Q220)+SUM(Q224:Q224)+SUM(Q228:Q228)+SUM(Q232:Q233)+SUM(Q237:Q237)+SUM(Q241:Q241)+SUM(Q245:Q245)+SUM(Q249:Q249)+SUM(Q253:Q254)+SUM(Q258:Q260)+SUM(Q264:Q264)+SUM(Q268:Q268)+SUM(Q272:Q272)+SUM(Q276:Q276)+SUM(Q280:Q281)+SUM(Q285:Q286)+SUM(Q290:Q290)+SUM(Q294:Q294)+SUM(Q298:Q298)+SUM(Q302:Q302)+SUM(Q306:Q306)+SUM(Q310:Q310)+SUM(Q314:Q315)+SUM(Q319:Q330)+SUM(Q334:Q334)+SUM(Q338:Q340)</f>
        <v/>
      </c>
      <c r="R345" s="10">
        <f>SUM(R6:R6)+SUM(R10:R11)+SUM(R15:R17)+SUM(R21:R22)+SUM(R26:R32)+SUM(R36:R36)+SUM(R40:R41)+SUM(R45:R45)+SUM(R49:R49)+SUM(R53:R54)+SUM(R58:R58)+SUM(R62:R62)+SUM(R66:R67)+SUM(R71:R71)+SUM(R75:R75)+SUM(R79:R80)+SUM(R84:R84)+SUM(R88:R88)+SUM(R92:R93)+SUM(R97:R100)+SUM(R104:R104)+SUM(R108:R109)+SUM(R113:R113)+SUM(R117:R117)+SUM(R121:R121)+SUM(R125:R125)+SUM(R129:R130)+SUM(R134:R134)+SUM(R138:R139)+SUM(R143:R145)+SUM(R149:R149)+SUM(R153:R153)+SUM(R157:R158)+SUM(R162:R163)+SUM(R167:R167)+SUM(R171:R173)+SUM(R177:R177)+SUM(R181:R181)+SUM(R185:R187)+SUM(R191:R191)+SUM(R195:R195)+SUM(R199:R199)+SUM(R203:R203)+SUM(R207:R207)+SUM(R211:R211)+SUM(R215:R216)+SUM(R220:R220)+SUM(R224:R224)+SUM(R228:R228)+SUM(R232:R233)+SUM(R237:R237)+SUM(R241:R241)+SUM(R245:R245)+SUM(R249:R249)+SUM(R253:R254)+SUM(R258:R260)+SUM(R264:R264)+SUM(R268:R268)+SUM(R272:R272)+SUM(R276:R276)+SUM(R280:R281)+SUM(R285:R286)+SUM(R290:R290)+SUM(R294:R294)+SUM(R298:R298)+SUM(R302:R302)+SUM(R306:R306)+SUM(R310:R310)+SUM(R314:R315)+SUM(R319:R330)+SUM(R334:R334)+SUM(R338:R340)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R34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20" customWidth="1" min="3" max="3"/>
    <col width="9" customWidth="1" min="4" max="4"/>
    <col width="9" customWidth="1" min="5" max="5"/>
    <col width="7" customWidth="1" min="6" max="6"/>
    <col width="7" customWidth="1" min="7" max="7"/>
    <col width="8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12" customWidth="1" min="16" max="16"/>
    <col width="13" customWidth="1" min="17" max="17"/>
    <col width="14" customWidth="1" min="18" max="18"/>
  </cols>
  <sheetData>
    <row r="1">
      <c r="A1" s="1" t="inlineStr">
        <is>
          <t>HOT COST</t>
        </is>
      </c>
      <c r="C1" t="inlineStr">
        <is>
          <t>Wednesday 15 Nov 2017</t>
        </is>
      </c>
      <c r="F1" s="2" t="inlineStr">
        <is>
          <t>DAY #23</t>
        </is>
      </c>
    </row>
    <row r="2">
      <c r="A2" s="3" t="inlineStr">
        <is>
          <t>enter CALL, LUNCH, WRAP as decimal hours (e.g. 7.5) — everything right of WRAP computes</t>
        </is>
      </c>
    </row>
    <row r="4">
      <c r="A4" s="4" t="inlineStr">
        <is>
          <t>ACCT</t>
        </is>
      </c>
      <c r="B4" s="4" t="inlineStr">
        <is>
          <t>NAME</t>
        </is>
      </c>
      <c r="C4" s="4" t="inlineStr">
        <is>
          <t>POSITION</t>
        </is>
      </c>
      <c r="D4" s="4" t="inlineStr">
        <is>
          <t>UNION</t>
        </is>
      </c>
      <c r="E4" s="4" t="inlineStr">
        <is>
          <t>RATE</t>
        </is>
      </c>
      <c r="F4" s="4" t="inlineStr">
        <is>
          <t>CALL</t>
        </is>
      </c>
      <c r="G4" s="4" t="inlineStr">
        <is>
          <t>LUNCH</t>
        </is>
      </c>
      <c r="H4" s="4" t="inlineStr">
        <is>
          <t>LUNCH 2</t>
        </is>
      </c>
      <c r="I4" s="4" t="inlineStr">
        <is>
          <t>WRAP</t>
        </is>
      </c>
      <c r="J4" s="4" t="inlineStr">
        <is>
          <t>HRS</t>
        </is>
      </c>
      <c r="K4" s="4" t="inlineStr">
        <is>
          <t>MP'S</t>
        </is>
      </c>
      <c r="L4" s="4" t="inlineStr">
        <is>
          <t>ST</t>
        </is>
      </c>
      <c r="M4" s="4" t="inlineStr">
        <is>
          <t>1.5X</t>
        </is>
      </c>
      <c r="N4" s="4" t="inlineStr">
        <is>
          <t>2X</t>
        </is>
      </c>
      <c r="O4" s="4" t="inlineStr">
        <is>
          <t>3X</t>
        </is>
      </c>
      <c r="P4" s="4" t="inlineStr">
        <is>
          <t>TOTAL / DAY</t>
        </is>
      </c>
      <c r="Q4" s="4" t="inlineStr">
        <is>
          <t>BUDGET / DAY</t>
        </is>
      </c>
      <c r="R4" s="4" t="inlineStr">
        <is>
          <t>(OVER) / UNDER</t>
        </is>
      </c>
    </row>
    <row r="5">
      <c r="B5" s="2" t="inlineStr">
        <is>
          <t>LEAD#</t>
        </is>
      </c>
    </row>
    <row r="6">
      <c r="A6" s="5" t="inlineStr">
        <is>
          <t>1401</t>
        </is>
      </c>
      <c r="B6" s="5" t="inlineStr">
        <is>
          <t>Linda Cardellini</t>
        </is>
      </c>
      <c r="C6" s="5" t="inlineStr">
        <is>
          <t>"ANNA"</t>
        </is>
      </c>
      <c r="D6" s="5" t="inlineStr"/>
      <c r="E6" s="6" t="n">
        <v>1211.8</v>
      </c>
      <c r="F6" s="5" t="n"/>
      <c r="G6" s="5" t="n"/>
      <c r="H6" s="5" t="n"/>
      <c r="I6" s="5" t="n"/>
      <c r="J6" s="7">
        <f>IF(AND(N(F6)&gt;0,N(I6)&gt;0),I6-F6-IF(N(G6)&gt;0,0.5,0)-IF(N(H6)&gt;0,0.5,0),0)</f>
        <v/>
      </c>
      <c r="K6" s="5" t="n"/>
      <c r="L6" s="7">
        <f>MIN(J6,8.0)</f>
        <v/>
      </c>
      <c r="M6" s="7">
        <f>MAX(0,MIN(J6,12)-8.0)</f>
        <v/>
      </c>
      <c r="N6" s="7">
        <f>MAX(0,J6-12)</f>
        <v/>
      </c>
      <c r="O6" s="5" t="n"/>
      <c r="P6" s="6">
        <f>E6*(L6+M6*1.5+N6*2+O6*3+N(K6))</f>
        <v/>
      </c>
      <c r="Q6" s="6" t="n">
        <v>1211.8</v>
      </c>
      <c r="R6" s="6">
        <f>Q6-P6</f>
        <v/>
      </c>
    </row>
    <row r="7">
      <c r="P7" s="2" t="inlineStr">
        <is>
          <t>LEAD# LABOR</t>
        </is>
      </c>
      <c r="R7" s="8">
        <f>SUM(R6:R6)</f>
        <v/>
      </c>
    </row>
    <row r="9">
      <c r="B9" s="2" t="inlineStr">
        <is>
          <t>LEAD#2&amp;#</t>
        </is>
      </c>
    </row>
    <row r="10">
      <c r="A10" s="5" t="inlineStr">
        <is>
          <t>1402</t>
        </is>
      </c>
      <c r="B10" s="5" t="inlineStr">
        <is>
          <t>Roman Christou</t>
        </is>
      </c>
      <c r="C10" s="5" t="inlineStr">
        <is>
          <t>"CHRIS"(Minor)</t>
        </is>
      </c>
      <c r="D10" s="5" t="inlineStr"/>
      <c r="E10" s="6" t="n">
        <v>755.4</v>
      </c>
      <c r="F10" s="5" t="n"/>
      <c r="G10" s="5" t="n"/>
      <c r="H10" s="5" t="n"/>
      <c r="I10" s="5" t="n"/>
      <c r="J10" s="7">
        <f>IF(AND(N(F10)&gt;0,N(I10)&gt;0),I10-F10-IF(N(G10)&gt;0,0.5,0)-IF(N(H10)&gt;0,0.5,0),0)</f>
        <v/>
      </c>
      <c r="K10" s="5" t="n"/>
      <c r="L10" s="7">
        <f>MIN(J10,8.0)</f>
        <v/>
      </c>
      <c r="M10" s="7">
        <f>MAX(0,MIN(J10,12)-8.0)</f>
        <v/>
      </c>
      <c r="N10" s="7">
        <f>MAX(0,J10-12)</f>
        <v/>
      </c>
      <c r="O10" s="5" t="n"/>
      <c r="P10" s="6">
        <f>E10*(L10+M10*1.5+N10*2+O10*3+N(K10))</f>
        <v/>
      </c>
      <c r="Q10" s="6" t="n">
        <v>755.4</v>
      </c>
      <c r="R10" s="6">
        <f>Q10-P10</f>
        <v/>
      </c>
    </row>
    <row r="11">
      <c r="A11" s="5" t="inlineStr">
        <is>
          <t>1402</t>
        </is>
      </c>
      <c r="B11" s="5" t="inlineStr">
        <is>
          <t>Jaynee Lynee Kinchen</t>
        </is>
      </c>
      <c r="C11" s="5" t="inlineStr">
        <is>
          <t>"SAMANTHA"(Minor)</t>
        </is>
      </c>
      <c r="D11" s="5" t="inlineStr"/>
      <c r="E11" s="6" t="n">
        <v>755.4</v>
      </c>
      <c r="F11" s="5" t="n"/>
      <c r="G11" s="5" t="n"/>
      <c r="H11" s="5" t="n"/>
      <c r="I11" s="5" t="n"/>
      <c r="J11" s="7">
        <f>IF(AND(N(F11)&gt;0,N(I11)&gt;0),I11-F11-IF(N(G11)&gt;0,0.5,0)-IF(N(H11)&gt;0,0.5,0),0)</f>
        <v/>
      </c>
      <c r="K11" s="5" t="n"/>
      <c r="L11" s="7">
        <f>MIN(J11,8.0)</f>
        <v/>
      </c>
      <c r="M11" s="7">
        <f>MAX(0,MIN(J11,12)-8.0)</f>
        <v/>
      </c>
      <c r="N11" s="7">
        <f>MAX(0,J11-12)</f>
        <v/>
      </c>
      <c r="O11" s="5" t="n"/>
      <c r="P11" s="6">
        <f>E11*(L11+M11*1.5+N11*2+O11*3+N(K11))</f>
        <v/>
      </c>
      <c r="Q11" s="6" t="n">
        <v>755.4</v>
      </c>
      <c r="R11" s="6">
        <f>Q11-P11</f>
        <v/>
      </c>
    </row>
    <row r="12">
      <c r="P12" s="2" t="inlineStr">
        <is>
          <t>LEAD#2&amp;# LABOR</t>
        </is>
      </c>
      <c r="R12" s="8">
        <f>SUM(R10:R11)</f>
        <v/>
      </c>
    </row>
    <row r="14">
      <c r="B14" s="2" t="inlineStr">
        <is>
          <t>OTHERLEADCAST</t>
        </is>
      </c>
    </row>
    <row r="15">
      <c r="A15" s="5" t="inlineStr">
        <is>
          <t>1403</t>
        </is>
      </c>
      <c r="B15" s="5" t="inlineStr">
        <is>
          <t>Raymond Cruz</t>
        </is>
      </c>
      <c r="C15" s="5" t="inlineStr">
        <is>
          <t>"RAFAELOLVERA"</t>
        </is>
      </c>
      <c r="D15" s="5" t="inlineStr"/>
      <c r="E15" s="6" t="n">
        <v>1211.8</v>
      </c>
      <c r="F15" s="5" t="n"/>
      <c r="G15" s="5" t="n"/>
      <c r="H15" s="5" t="n"/>
      <c r="I15" s="5" t="n"/>
      <c r="J15" s="7">
        <f>IF(AND(N(F15)&gt;0,N(I15)&gt;0),I15-F15-IF(N(G15)&gt;0,0.5,0)-IF(N(H15)&gt;0,0.5,0),0)</f>
        <v/>
      </c>
      <c r="K15" s="5" t="n"/>
      <c r="L15" s="7">
        <f>MIN(J15,8.0)</f>
        <v/>
      </c>
      <c r="M15" s="7">
        <f>MAX(0,MIN(J15,12)-8.0)</f>
        <v/>
      </c>
      <c r="N15" s="7">
        <f>MAX(0,J15-12)</f>
        <v/>
      </c>
      <c r="O15" s="5" t="n"/>
      <c r="P15" s="6">
        <f>E15*(L15+M15*1.5+N15*2+O15*3+N(K15))</f>
        <v/>
      </c>
      <c r="Q15" s="6" t="n">
        <v>1211.8</v>
      </c>
      <c r="R15" s="6">
        <f>Q15-P15</f>
        <v/>
      </c>
    </row>
    <row r="16">
      <c r="A16" s="5" t="inlineStr">
        <is>
          <t>1403</t>
        </is>
      </c>
      <c r="B16" s="5" t="inlineStr">
        <is>
          <t>Marisol Ramirez</t>
        </is>
      </c>
      <c r="C16" s="5" t="inlineStr">
        <is>
          <t>"LALLORONA"</t>
        </is>
      </c>
      <c r="D16" s="5" t="inlineStr"/>
      <c r="E16" s="6" t="n">
        <v>1211.8</v>
      </c>
      <c r="F16" s="5" t="n"/>
      <c r="G16" s="5" t="n"/>
      <c r="H16" s="5" t="n"/>
      <c r="I16" s="5" t="n"/>
      <c r="J16" s="7">
        <f>IF(AND(N(F16)&gt;0,N(I16)&gt;0),I16-F16-IF(N(G16)&gt;0,0.5,0)-IF(N(H16)&gt;0,0.5,0),0)</f>
        <v/>
      </c>
      <c r="K16" s="5" t="n"/>
      <c r="L16" s="7">
        <f>MIN(J16,8.0)</f>
        <v/>
      </c>
      <c r="M16" s="7">
        <f>MAX(0,MIN(J16,12)-8.0)</f>
        <v/>
      </c>
      <c r="N16" s="7">
        <f>MAX(0,J16-12)</f>
        <v/>
      </c>
      <c r="O16" s="5" t="n"/>
      <c r="P16" s="6">
        <f>E16*(L16+M16*1.5+N16*2+O16*3+N(K16))</f>
        <v/>
      </c>
      <c r="Q16" s="6" t="n">
        <v>1211.8</v>
      </c>
      <c r="R16" s="6">
        <f>Q16-P16</f>
        <v/>
      </c>
    </row>
    <row r="17">
      <c r="A17" s="5" t="inlineStr">
        <is>
          <t>1403</t>
        </is>
      </c>
      <c r="B17" s="5" t="inlineStr">
        <is>
          <t>Patrica Velasquez</t>
        </is>
      </c>
      <c r="C17" s="5" t="inlineStr">
        <is>
          <t>"PATRICIA"</t>
        </is>
      </c>
      <c r="D17" s="5" t="inlineStr"/>
      <c r="E17" s="6" t="n">
        <v>1972</v>
      </c>
      <c r="F17" s="5" t="n"/>
      <c r="G17" s="5" t="n"/>
      <c r="H17" s="5" t="n"/>
      <c r="I17" s="5" t="n"/>
      <c r="J17" s="7">
        <f>IF(AND(N(F17)&gt;0,N(I17)&gt;0),I17-F17-IF(N(G17)&gt;0,0.5,0)-IF(N(H17)&gt;0,0.5,0),0)</f>
        <v/>
      </c>
      <c r="K17" s="5" t="n"/>
      <c r="L17" s="7">
        <f>MIN(J17,8.0)</f>
        <v/>
      </c>
      <c r="M17" s="7">
        <f>MAX(0,MIN(J17,12)-8.0)</f>
        <v/>
      </c>
      <c r="N17" s="7">
        <f>MAX(0,J17-12)</f>
        <v/>
      </c>
      <c r="O17" s="5" t="n"/>
      <c r="P17" s="6">
        <f>E17*(L17+M17*1.5+N17*2+O17*3+N(K17))</f>
        <v/>
      </c>
      <c r="Q17" s="6" t="n">
        <v>1972</v>
      </c>
      <c r="R17" s="6">
        <f>Q17-P17</f>
        <v/>
      </c>
    </row>
    <row r="18">
      <c r="P18" s="2" t="inlineStr">
        <is>
          <t>OTHERLEADCAST LABOR</t>
        </is>
      </c>
      <c r="R18" s="8">
        <f>SUM(R15:R17)</f>
        <v/>
      </c>
    </row>
    <row r="20">
      <c r="B20" s="2" t="inlineStr">
        <is>
          <t>SUPPORTINGCAST</t>
        </is>
      </c>
    </row>
    <row r="21">
      <c r="A21" s="5" t="inlineStr">
        <is>
          <t>1404</t>
        </is>
      </c>
      <c r="B21" s="5" t="inlineStr">
        <is>
          <t>Sean Patrick Thomas</t>
        </is>
      </c>
      <c r="C21" s="5" t="inlineStr">
        <is>
          <t>DETCOOPER</t>
        </is>
      </c>
      <c r="D21" s="5" t="inlineStr"/>
      <c r="E21" s="6" t="n">
        <v>1211.8</v>
      </c>
      <c r="F21" s="5" t="n"/>
      <c r="G21" s="5" t="n"/>
      <c r="H21" s="5" t="n"/>
      <c r="I21" s="5" t="n"/>
      <c r="J21" s="7">
        <f>IF(AND(N(F21)&gt;0,N(I21)&gt;0),I21-F21-IF(N(G21)&gt;0,0.5,0)-IF(N(H21)&gt;0,0.5,0),0)</f>
        <v/>
      </c>
      <c r="K21" s="5" t="n"/>
      <c r="L21" s="7">
        <f>MIN(J21,8.0)</f>
        <v/>
      </c>
      <c r="M21" s="7">
        <f>MAX(0,MIN(J21,12)-8.0)</f>
        <v/>
      </c>
      <c r="N21" s="7">
        <f>MAX(0,J21-12)</f>
        <v/>
      </c>
      <c r="O21" s="5" t="n"/>
      <c r="P21" s="6">
        <f>E21*(L21+M21*1.5+N21*2+O21*3+N(K21))</f>
        <v/>
      </c>
      <c r="Q21" s="6" t="n">
        <v>1211.8</v>
      </c>
      <c r="R21" s="6">
        <f>Q21-P21</f>
        <v/>
      </c>
    </row>
    <row r="22">
      <c r="A22" s="5" t="inlineStr">
        <is>
          <t>1404</t>
        </is>
      </c>
      <c r="B22" s="5" t="inlineStr">
        <is>
          <t>Tony Amendola</t>
        </is>
      </c>
      <c r="C22" s="5" t="inlineStr">
        <is>
          <t>"FATHERPEREZ"</t>
        </is>
      </c>
      <c r="D22" s="5" t="inlineStr"/>
      <c r="E22" s="6" t="n">
        <v>1972</v>
      </c>
      <c r="F22" s="5" t="n"/>
      <c r="G22" s="5" t="n"/>
      <c r="H22" s="5" t="n"/>
      <c r="I22" s="5" t="n"/>
      <c r="J22" s="7">
        <f>IF(AND(N(F22)&gt;0,N(I22)&gt;0),I22-F22-IF(N(G22)&gt;0,0.5,0)-IF(N(H22)&gt;0,0.5,0),0)</f>
        <v/>
      </c>
      <c r="K22" s="5" t="n"/>
      <c r="L22" s="7">
        <f>MIN(J22,8.0)</f>
        <v/>
      </c>
      <c r="M22" s="7">
        <f>MAX(0,MIN(J22,12)-8.0)</f>
        <v/>
      </c>
      <c r="N22" s="7">
        <f>MAX(0,J22-12)</f>
        <v/>
      </c>
      <c r="O22" s="5" t="n"/>
      <c r="P22" s="6">
        <f>E22*(L22+M22*1.5+N22*2+O22*3+N(K22))</f>
        <v/>
      </c>
      <c r="Q22" s="6" t="n">
        <v>1972</v>
      </c>
      <c r="R22" s="6">
        <f>Q22-P22</f>
        <v/>
      </c>
    </row>
    <row r="23">
      <c r="P23" s="2" t="inlineStr">
        <is>
          <t>SUPPORTINGCAST LABOR</t>
        </is>
      </c>
      <c r="R23" s="8">
        <f>SUM(R21:R22)</f>
        <v/>
      </c>
    </row>
    <row r="25">
      <c r="B25" s="2" t="inlineStr">
        <is>
          <t>DAYPLAYERS</t>
        </is>
      </c>
    </row>
    <row r="26">
      <c r="A26" s="5" t="inlineStr">
        <is>
          <t>1405</t>
        </is>
      </c>
      <c r="B26" s="5" t="inlineStr">
        <is>
          <t>Kristy Keng(Drop/Pickup)</t>
        </is>
      </c>
      <c r="C26" s="5" t="inlineStr">
        <is>
          <t>"DONNA"</t>
        </is>
      </c>
      <c r="D26" s="5" t="inlineStr"/>
      <c r="E26" s="6" t="n">
        <v>1972</v>
      </c>
      <c r="F26" s="5" t="n"/>
      <c r="G26" s="5" t="n"/>
      <c r="H26" s="5" t="n"/>
      <c r="I26" s="5" t="n"/>
      <c r="J26" s="7">
        <f>IF(AND(N(F26)&gt;0,N(I26)&gt;0),I26-F26-IF(N(G26)&gt;0,0.5,0)-IF(N(H26)&gt;0,0.5,0),0)</f>
        <v/>
      </c>
      <c r="K26" s="5" t="n"/>
      <c r="L26" s="7">
        <f>MIN(J26,8.0)</f>
        <v/>
      </c>
      <c r="M26" s="7">
        <f>MAX(0,MIN(J26,12)-8.0)</f>
        <v/>
      </c>
      <c r="N26" s="7">
        <f>MAX(0,J26-12)</f>
        <v/>
      </c>
      <c r="O26" s="5" t="n"/>
      <c r="P26" s="6">
        <f>E26*(L26+M26*1.5+N26*2+O26*3+N(K26))</f>
        <v/>
      </c>
      <c r="Q26" s="6" t="n">
        <v>1972</v>
      </c>
      <c r="R26" s="6">
        <f>Q26-P26</f>
        <v/>
      </c>
    </row>
    <row r="27">
      <c r="A27" s="5" t="inlineStr">
        <is>
          <t>1405</t>
        </is>
      </c>
      <c r="B27" s="5" t="inlineStr">
        <is>
          <t>Oliver Alexander</t>
        </is>
      </c>
      <c r="C27" s="5" t="inlineStr">
        <is>
          <t>"CARLOS"(Minor)</t>
        </is>
      </c>
      <c r="D27" s="5" t="inlineStr"/>
      <c r="E27" s="6" t="n">
        <v>1249</v>
      </c>
      <c r="F27" s="5" t="n"/>
      <c r="G27" s="5" t="n"/>
      <c r="H27" s="5" t="n"/>
      <c r="I27" s="5" t="n"/>
      <c r="J27" s="7">
        <f>IF(AND(N(F27)&gt;0,N(I27)&gt;0),I27-F27-IF(N(G27)&gt;0,0.5,0)-IF(N(H27)&gt;0,0.5,0),0)</f>
        <v/>
      </c>
      <c r="K27" s="5" t="n"/>
      <c r="L27" s="7">
        <f>MIN(J27,8.0)</f>
        <v/>
      </c>
      <c r="M27" s="7">
        <f>MAX(0,MIN(J27,12)-8.0)</f>
        <v/>
      </c>
      <c r="N27" s="7">
        <f>MAX(0,J27-12)</f>
        <v/>
      </c>
      <c r="O27" s="5" t="n"/>
      <c r="P27" s="6">
        <f>E27*(L27+M27*1.5+N27*2+O27*3+N(K27))</f>
        <v/>
      </c>
      <c r="Q27" s="6" t="n">
        <v>1249</v>
      </c>
      <c r="R27" s="6">
        <f>Q27-P27</f>
        <v/>
      </c>
    </row>
    <row r="28">
      <c r="A28" s="5" t="inlineStr">
        <is>
          <t>1405</t>
        </is>
      </c>
      <c r="B28" s="5" t="inlineStr">
        <is>
          <t>Adam Lewandowski</t>
        </is>
      </c>
      <c r="C28" s="5" t="inlineStr">
        <is>
          <t>"TOMAS"(Minor)</t>
        </is>
      </c>
      <c r="D28" s="5" t="inlineStr"/>
      <c r="E28" s="6" t="n">
        <v>1249</v>
      </c>
      <c r="F28" s="5" t="n"/>
      <c r="G28" s="5" t="n"/>
      <c r="H28" s="5" t="n"/>
      <c r="I28" s="5" t="n"/>
      <c r="J28" s="7">
        <f>IF(AND(N(F28)&gt;0,N(I28)&gt;0),I28-F28-IF(N(G28)&gt;0,0.5,0)-IF(N(H28)&gt;0,0.5,0),0)</f>
        <v/>
      </c>
      <c r="K28" s="5" t="n"/>
      <c r="L28" s="7">
        <f>MIN(J28,8.0)</f>
        <v/>
      </c>
      <c r="M28" s="7">
        <f>MAX(0,MIN(J28,12)-8.0)</f>
        <v/>
      </c>
      <c r="N28" s="7">
        <f>MAX(0,J28-12)</f>
        <v/>
      </c>
      <c r="O28" s="5" t="n"/>
      <c r="P28" s="6">
        <f>E28*(L28+M28*1.5+N28*2+O28*3+N(K28))</f>
        <v/>
      </c>
      <c r="Q28" s="6" t="n">
        <v>1249</v>
      </c>
      <c r="R28" s="6">
        <f>Q28-P28</f>
        <v/>
      </c>
    </row>
    <row r="29">
      <c r="A29" s="5" t="inlineStr">
        <is>
          <t>1405</t>
        </is>
      </c>
      <c r="B29" s="5" t="inlineStr">
        <is>
          <t>Paul Rodriquez Jr.</t>
        </is>
      </c>
      <c r="C29" s="5" t="inlineStr">
        <is>
          <t>"OFFICERCLARO"</t>
        </is>
      </c>
      <c r="D29" s="5" t="inlineStr"/>
      <c r="E29" s="6" t="n">
        <v>1972</v>
      </c>
      <c r="F29" s="5" t="n"/>
      <c r="G29" s="5" t="n"/>
      <c r="H29" s="5" t="n"/>
      <c r="I29" s="5" t="n"/>
      <c r="J29" s="7">
        <f>IF(AND(N(F29)&gt;0,N(I29)&gt;0),I29-F29-IF(N(G29)&gt;0,0.5,0)-IF(N(H29)&gt;0,0.5,0),0)</f>
        <v/>
      </c>
      <c r="K29" s="5" t="n"/>
      <c r="L29" s="7">
        <f>MIN(J29,8.0)</f>
        <v/>
      </c>
      <c r="M29" s="7">
        <f>MAX(0,MIN(J29,12)-8.0)</f>
        <v/>
      </c>
      <c r="N29" s="7">
        <f>MAX(0,J29-12)</f>
        <v/>
      </c>
      <c r="O29" s="5" t="n"/>
      <c r="P29" s="6">
        <f>E29*(L29+M29*1.5+N29*2+O29*3+N(K29))</f>
        <v/>
      </c>
      <c r="Q29" s="6" t="n">
        <v>1972</v>
      </c>
      <c r="R29" s="6">
        <f>Q29-P29</f>
        <v/>
      </c>
    </row>
    <row r="30">
      <c r="A30" s="5" t="inlineStr">
        <is>
          <t>1405</t>
        </is>
      </c>
      <c r="B30" s="5" t="inlineStr">
        <is>
          <t>Sophia Santi</t>
        </is>
      </c>
      <c r="C30" s="5" t="inlineStr">
        <is>
          <t>"FEMALECUSTOMER"</t>
        </is>
      </c>
      <c r="D30" s="5" t="inlineStr"/>
      <c r="E30" s="6" t="n">
        <v>1972</v>
      </c>
      <c r="F30" s="5" t="n"/>
      <c r="G30" s="5" t="n"/>
      <c r="H30" s="5" t="n"/>
      <c r="I30" s="5" t="n"/>
      <c r="J30" s="7">
        <f>IF(AND(N(F30)&gt;0,N(I30)&gt;0),I30-F30-IF(N(G30)&gt;0,0.5,0)-IF(N(H30)&gt;0,0.5,0),0)</f>
        <v/>
      </c>
      <c r="K30" s="5" t="n"/>
      <c r="L30" s="7">
        <f>MIN(J30,8.0)</f>
        <v/>
      </c>
      <c r="M30" s="7">
        <f>MAX(0,MIN(J30,12)-8.0)</f>
        <v/>
      </c>
      <c r="N30" s="7">
        <f>MAX(0,J30-12)</f>
        <v/>
      </c>
      <c r="O30" s="5" t="n"/>
      <c r="P30" s="6">
        <f>E30*(L30+M30*1.5+N30*2+O30*3+N(K30))</f>
        <v/>
      </c>
      <c r="Q30" s="6" t="n">
        <v>1972</v>
      </c>
      <c r="R30" s="6">
        <f>Q30-P30</f>
        <v/>
      </c>
    </row>
    <row r="31">
      <c r="A31" s="5" t="inlineStr">
        <is>
          <t>1405</t>
        </is>
      </c>
      <c r="B31" s="5" t="inlineStr">
        <is>
          <t>John Marshall Jones</t>
        </is>
      </c>
      <c r="C31" s="5" t="inlineStr">
        <is>
          <t>"MRHANKINS"</t>
        </is>
      </c>
      <c r="D31" s="5" t="inlineStr"/>
      <c r="E31" s="6" t="n">
        <v>1972</v>
      </c>
      <c r="F31" s="5" t="n"/>
      <c r="G31" s="5" t="n"/>
      <c r="H31" s="5" t="n"/>
      <c r="I31" s="5" t="n"/>
      <c r="J31" s="7">
        <f>IF(AND(N(F31)&gt;0,N(I31)&gt;0),I31-F31-IF(N(G31)&gt;0,0.5,0)-IF(N(H31)&gt;0,0.5,0),0)</f>
        <v/>
      </c>
      <c r="K31" s="5" t="n"/>
      <c r="L31" s="7">
        <f>MIN(J31,8.0)</f>
        <v/>
      </c>
      <c r="M31" s="7">
        <f>MAX(0,MIN(J31,12)-8.0)</f>
        <v/>
      </c>
      <c r="N31" s="7">
        <f>MAX(0,J31-12)</f>
        <v/>
      </c>
      <c r="O31" s="5" t="n"/>
      <c r="P31" s="6">
        <f>E31*(L31+M31*1.5+N31*2+O31*3+N(K31))</f>
        <v/>
      </c>
      <c r="Q31" s="6" t="n">
        <v>1972</v>
      </c>
      <c r="R31" s="6">
        <f>Q31-P31</f>
        <v/>
      </c>
    </row>
    <row r="32">
      <c r="A32" s="5" t="inlineStr">
        <is>
          <t>1405</t>
        </is>
      </c>
      <c r="B32" s="5" t="inlineStr">
        <is>
          <t>Madeleine Mcgraw</t>
        </is>
      </c>
      <c r="C32" s="5" t="inlineStr">
        <is>
          <t>"APRIL"(Minor)</t>
        </is>
      </c>
      <c r="D32" s="5" t="inlineStr"/>
      <c r="E32" s="6" t="n">
        <v>1249</v>
      </c>
      <c r="F32" s="5" t="n"/>
      <c r="G32" s="5" t="n"/>
      <c r="H32" s="5" t="n"/>
      <c r="I32" s="5" t="n"/>
      <c r="J32" s="7">
        <f>IF(AND(N(F32)&gt;0,N(I32)&gt;0),I32-F32-IF(N(G32)&gt;0,0.5,0)-IF(N(H32)&gt;0,0.5,0),0)</f>
        <v/>
      </c>
      <c r="K32" s="5" t="n"/>
      <c r="L32" s="7">
        <f>MIN(J32,8.0)</f>
        <v/>
      </c>
      <c r="M32" s="7">
        <f>MAX(0,MIN(J32,12)-8.0)</f>
        <v/>
      </c>
      <c r="N32" s="7">
        <f>MAX(0,J32-12)</f>
        <v/>
      </c>
      <c r="O32" s="5" t="n"/>
      <c r="P32" s="6">
        <f>E32*(L32+M32*1.5+N32*2+O32*3+N(K32))</f>
        <v/>
      </c>
      <c r="Q32" s="6" t="n">
        <v>1249</v>
      </c>
      <c r="R32" s="6">
        <f>Q32-P32</f>
        <v/>
      </c>
    </row>
    <row r="33">
      <c r="P33" s="2" t="inlineStr">
        <is>
          <t>DAYPLAYERS LABOR</t>
        </is>
      </c>
      <c r="R33" s="8">
        <f>SUM(R26:R32)</f>
        <v/>
      </c>
    </row>
    <row r="35">
      <c r="B35" s="2" t="inlineStr">
        <is>
          <t>STUNTCOORD</t>
        </is>
      </c>
    </row>
    <row r="36">
      <c r="A36" s="5" t="inlineStr">
        <is>
          <t>1406</t>
        </is>
      </c>
      <c r="B36" s="5" t="inlineStr">
        <is>
          <t>Rob King</t>
        </is>
      </c>
      <c r="C36" s="5" t="inlineStr">
        <is>
          <t>STUNTCOORDINATOR</t>
        </is>
      </c>
      <c r="D36" s="5" t="inlineStr"/>
      <c r="E36" s="6" t="n">
        <v>1173</v>
      </c>
      <c r="F36" s="5" t="n"/>
      <c r="G36" s="5" t="n"/>
      <c r="H36" s="5" t="n"/>
      <c r="I36" s="5" t="n"/>
      <c r="J36" s="7">
        <f>IF(AND(N(F36)&gt;0,N(I36)&gt;0),I36-F36-IF(N(G36)&gt;0,0.5,0)-IF(N(H36)&gt;0,0.5,0),0)</f>
        <v/>
      </c>
      <c r="K36" s="5" t="n"/>
      <c r="L36" s="7">
        <f>MIN(J36,8.0)</f>
        <v/>
      </c>
      <c r="M36" s="7">
        <f>MAX(0,MIN(J36,12)-8.0)</f>
        <v/>
      </c>
      <c r="N36" s="7">
        <f>MAX(0,J36-12)</f>
        <v/>
      </c>
      <c r="O36" s="5" t="n"/>
      <c r="P36" s="6">
        <f>E36*(L36+M36*1.5+N36*2+O36*3+N(K36))</f>
        <v/>
      </c>
      <c r="Q36" s="6" t="n">
        <v>1173</v>
      </c>
      <c r="R36" s="6">
        <f>Q36-P36</f>
        <v/>
      </c>
    </row>
    <row r="37">
      <c r="P37" s="2" t="inlineStr">
        <is>
          <t>STUNTCOORD LABOR</t>
        </is>
      </c>
      <c r="R37" s="8">
        <f>SUM(R36:R36)</f>
        <v/>
      </c>
    </row>
    <row r="39">
      <c r="B39" s="2" t="inlineStr">
        <is>
          <t>TEACHER/WELFAREWORKER</t>
        </is>
      </c>
    </row>
    <row r="40">
      <c r="A40" s="5" t="inlineStr">
        <is>
          <t>1412</t>
        </is>
      </c>
      <c r="B40" s="5" t="inlineStr"/>
      <c r="C40" s="5" t="inlineStr">
        <is>
          <t>WELFAREWORKER</t>
        </is>
      </c>
      <c r="D40" s="5" t="inlineStr">
        <is>
          <t>Local884</t>
        </is>
      </c>
      <c r="E40" s="6" t="n">
        <v>25.5</v>
      </c>
      <c r="F40" s="5" t="n"/>
      <c r="G40" s="5" t="n"/>
      <c r="H40" s="5" t="n"/>
      <c r="I40" s="5" t="n"/>
      <c r="J40" s="7">
        <f>IF(AND(N(F40)&gt;0,N(I40)&gt;0),I40-F40-IF(N(G40)&gt;0,0.5,0)-IF(N(H40)&gt;0,0.5,0),0)</f>
        <v/>
      </c>
      <c r="K40" s="5" t="n"/>
      <c r="L40" s="7">
        <f>MIN(J40,8.0)</f>
        <v/>
      </c>
      <c r="M40" s="7">
        <f>MAX(0,MIN(J40,12)-8.0)</f>
        <v/>
      </c>
      <c r="N40" s="7">
        <f>MAX(0,J40-12)</f>
        <v/>
      </c>
      <c r="O40" s="5" t="n"/>
      <c r="P40" s="6">
        <f>E40*(L40+M40*1.5+N40*2+O40*3+N(K40))</f>
        <v/>
      </c>
      <c r="Q40" s="6" t="n">
        <v>280.5</v>
      </c>
      <c r="R40" s="6">
        <f>Q40-P40</f>
        <v/>
      </c>
    </row>
    <row r="41">
      <c r="A41" s="5" t="inlineStr">
        <is>
          <t>1412</t>
        </is>
      </c>
      <c r="B41" s="5" t="inlineStr"/>
      <c r="C41" s="5" t="inlineStr">
        <is>
          <t>ADDLWELFAREWORKER</t>
        </is>
      </c>
      <c r="D41" s="5" t="inlineStr">
        <is>
          <t>Local884</t>
        </is>
      </c>
      <c r="E41" s="6" t="n">
        <v>25.5</v>
      </c>
      <c r="F41" s="5" t="n"/>
      <c r="G41" s="5" t="n"/>
      <c r="H41" s="5" t="n"/>
      <c r="I41" s="5" t="n"/>
      <c r="J41" s="7">
        <f>IF(AND(N(F41)&gt;0,N(I41)&gt;0),I41-F41-IF(N(G41)&gt;0,0.5,0)-IF(N(H41)&gt;0,0.5,0),0)</f>
        <v/>
      </c>
      <c r="K41" s="5" t="n"/>
      <c r="L41" s="7">
        <f>MIN(J41,8.0)</f>
        <v/>
      </c>
      <c r="M41" s="7">
        <f>MAX(0,MIN(J41,12)-8.0)</f>
        <v/>
      </c>
      <c r="N41" s="7">
        <f>MAX(0,J41-12)</f>
        <v/>
      </c>
      <c r="O41" s="5" t="n"/>
      <c r="P41" s="6">
        <f>E41*(L41+M41*1.5+N41*2+O41*3+N(K41))</f>
        <v/>
      </c>
      <c r="Q41" s="6" t="n">
        <v>280.5</v>
      </c>
      <c r="R41" s="6">
        <f>Q41-P41</f>
        <v/>
      </c>
    </row>
    <row r="42">
      <c r="P42" s="2" t="inlineStr">
        <is>
          <t>TEACHER/WELFAREWORKER LABOR</t>
        </is>
      </c>
      <c r="R42" s="8">
        <f>SUM(R40:R41)</f>
        <v/>
      </c>
    </row>
    <row r="44">
      <c r="B44" s="2" t="inlineStr">
        <is>
          <t>CASTINGDIRECTORS</t>
        </is>
      </c>
    </row>
    <row r="45">
      <c r="A45" s="5" t="inlineStr">
        <is>
          <t>1413</t>
        </is>
      </c>
      <c r="B45" s="5" t="inlineStr">
        <is>
          <t>Rich Delia</t>
        </is>
      </c>
      <c r="C45" s="5" t="inlineStr">
        <is>
          <t>CASTINGDIRECTOR</t>
        </is>
      </c>
      <c r="D45" s="5" t="inlineStr"/>
      <c r="E45" s="6" t="n">
        <v>600</v>
      </c>
      <c r="F45" s="5" t="n"/>
      <c r="G45" s="5" t="n"/>
      <c r="H45" s="5" t="n"/>
      <c r="I45" s="5" t="n"/>
      <c r="J45" s="7">
        <f>IF(AND(N(F45)&gt;0,N(I45)&gt;0),I45-F45-IF(N(G45)&gt;0,0.5,0)-IF(N(H45)&gt;0,0.5,0),0)</f>
        <v/>
      </c>
      <c r="K45" s="5" t="n"/>
      <c r="L45" s="7">
        <f>MIN(J45,8.0)</f>
        <v/>
      </c>
      <c r="M45" s="7">
        <f>MAX(0,MIN(J45,12)-8.0)</f>
        <v/>
      </c>
      <c r="N45" s="7">
        <f>MAX(0,J45-12)</f>
        <v/>
      </c>
      <c r="O45" s="5" t="n"/>
      <c r="P45" s="6">
        <f>E45*(L45+M45*1.5+N45*2+O45*3+N(K45))</f>
        <v/>
      </c>
      <c r="Q45" s="5" t="n"/>
      <c r="R45" s="6">
        <f>Q45-P45</f>
        <v/>
      </c>
    </row>
    <row r="46">
      <c r="P46" s="2" t="inlineStr">
        <is>
          <t>CASTINGDIRECTORS LABOR</t>
        </is>
      </c>
      <c r="R46" s="8">
        <f>SUM(R45:R45)</f>
        <v/>
      </c>
    </row>
    <row r="48">
      <c r="B48" s="2" t="inlineStr">
        <is>
          <t>CASTINGASSOCIATES/ASSISTANTS</t>
        </is>
      </c>
    </row>
    <row r="49">
      <c r="A49" s="5" t="inlineStr">
        <is>
          <t>1414</t>
        </is>
      </c>
      <c r="B49" s="5" t="inlineStr">
        <is>
          <t>Adam Richards</t>
        </is>
      </c>
      <c r="C49" s="5" t="inlineStr">
        <is>
          <t>CASTINGASSOCIATE</t>
        </is>
      </c>
      <c r="D49" s="5" t="inlineStr"/>
      <c r="E49" s="6" t="n">
        <v>200</v>
      </c>
      <c r="F49" s="5" t="n"/>
      <c r="G49" s="5" t="n"/>
      <c r="H49" s="5" t="n"/>
      <c r="I49" s="5" t="n"/>
      <c r="J49" s="7">
        <f>IF(AND(N(F49)&gt;0,N(I49)&gt;0),I49-F49-IF(N(G49)&gt;0,0.5,0)-IF(N(H49)&gt;0,0.5,0),0)</f>
        <v/>
      </c>
      <c r="K49" s="5" t="n"/>
      <c r="L49" s="7">
        <f>MIN(J49,8.0)</f>
        <v/>
      </c>
      <c r="M49" s="7">
        <f>MAX(0,MIN(J49,12)-8.0)</f>
        <v/>
      </c>
      <c r="N49" s="7">
        <f>MAX(0,J49-12)</f>
        <v/>
      </c>
      <c r="O49" s="5" t="n"/>
      <c r="P49" s="6">
        <f>E49*(L49+M49*1.5+N49*2+O49*3+N(K49))</f>
        <v/>
      </c>
      <c r="Q49" s="5" t="n"/>
      <c r="R49" s="6">
        <f>Q49-P49</f>
        <v/>
      </c>
    </row>
    <row r="50">
      <c r="P50" s="2" t="inlineStr">
        <is>
          <t>CASTINGASSOCIATES/ASSISTANTS LABOR</t>
        </is>
      </c>
      <c r="R50" s="8">
        <f>SUM(R49:R49)</f>
        <v/>
      </c>
    </row>
    <row r="52">
      <c r="B52" s="2" t="inlineStr">
        <is>
          <t>CASTDRIVERS/VEHICLES</t>
        </is>
      </c>
    </row>
    <row r="53">
      <c r="A53" s="5" t="inlineStr">
        <is>
          <t>1455</t>
        </is>
      </c>
      <c r="B53" s="5" t="inlineStr"/>
      <c r="C53" s="5" t="inlineStr">
        <is>
          <t>CAST 3-RMDRIVER</t>
        </is>
      </c>
      <c r="D53" s="5" t="inlineStr">
        <is>
          <t>Local399</t>
        </is>
      </c>
      <c r="E53" s="6" t="n">
        <v>32.36</v>
      </c>
      <c r="F53" s="5" t="n"/>
      <c r="G53" s="5" t="n"/>
      <c r="H53" s="5" t="n"/>
      <c r="I53" s="5" t="n"/>
      <c r="J53" s="7">
        <f>IF(AND(N(F53)&gt;0,N(I53)&gt;0),I53-F53-IF(N(G53)&gt;0,0.5,0)-IF(N(H53)&gt;0,0.5,0),0)</f>
        <v/>
      </c>
      <c r="K53" s="5" t="n"/>
      <c r="L53" s="7">
        <f>MIN(J53,8.0)</f>
        <v/>
      </c>
      <c r="M53" s="7">
        <f>MAX(0,MIN(J53,12)-8.0)</f>
        <v/>
      </c>
      <c r="N53" s="7">
        <f>MAX(0,J53-12)</f>
        <v/>
      </c>
      <c r="O53" s="5" t="n"/>
      <c r="P53" s="6">
        <f>E53*(L53+M53*1.5+N53*2+O53*3+N(K53))</f>
        <v/>
      </c>
      <c r="Q53" s="6" t="n">
        <v>501.58</v>
      </c>
      <c r="R53" s="6">
        <f>Q53-P53</f>
        <v/>
      </c>
    </row>
    <row r="54">
      <c r="A54" s="5" t="inlineStr">
        <is>
          <t>1455</t>
        </is>
      </c>
      <c r="B54" s="5" t="inlineStr"/>
      <c r="C54" s="5" t="inlineStr">
        <is>
          <t>CASTMINIVANDRIVER</t>
        </is>
      </c>
      <c r="D54" s="5" t="inlineStr">
        <is>
          <t>Local399</t>
        </is>
      </c>
      <c r="E54" s="6" t="n">
        <v>32.36</v>
      </c>
      <c r="F54" s="5" t="n"/>
      <c r="G54" s="5" t="n"/>
      <c r="H54" s="5" t="n"/>
      <c r="I54" s="5" t="n"/>
      <c r="J54" s="7">
        <f>IF(AND(N(F54)&gt;0,N(I54)&gt;0),I54-F54-IF(N(G54)&gt;0,0.5,0)-IF(N(H54)&gt;0,0.5,0),0)</f>
        <v/>
      </c>
      <c r="K54" s="5" t="n"/>
      <c r="L54" s="7">
        <f>MIN(J54,8.0)</f>
        <v/>
      </c>
      <c r="M54" s="7">
        <f>MAX(0,MIN(J54,12)-8.0)</f>
        <v/>
      </c>
      <c r="N54" s="7">
        <f>MAX(0,J54-12)</f>
        <v/>
      </c>
      <c r="O54" s="5" t="n"/>
      <c r="P54" s="6">
        <f>E54*(L54+M54*1.5+N54*2+O54*3+N(K54))</f>
        <v/>
      </c>
      <c r="Q54" s="6" t="n">
        <v>501.58</v>
      </c>
      <c r="R54" s="6">
        <f>Q54-P54</f>
        <v/>
      </c>
    </row>
    <row r="55">
      <c r="P55" s="2" t="inlineStr">
        <is>
          <t>CASTDRIVERS/VEHICLES LABOR</t>
        </is>
      </c>
      <c r="R55" s="8">
        <f>SUM(R53:R54)</f>
        <v/>
      </c>
    </row>
    <row r="57">
      <c r="B57" s="2" t="inlineStr">
        <is>
          <t>PRODUCTIONMANAGER</t>
        </is>
      </c>
    </row>
    <row r="58">
      <c r="A58" s="5" t="inlineStr">
        <is>
          <t>2001</t>
        </is>
      </c>
      <c r="B58" s="5" t="inlineStr">
        <is>
          <t>Carrie Morrow</t>
        </is>
      </c>
      <c r="C58" s="5" t="inlineStr">
        <is>
          <t>UPM</t>
        </is>
      </c>
      <c r="D58" s="5" t="inlineStr">
        <is>
          <t>DGA</t>
        </is>
      </c>
      <c r="E58" s="6" t="n">
        <v>1063.6</v>
      </c>
      <c r="F58" s="5" t="n"/>
      <c r="G58" s="5" t="n"/>
      <c r="H58" s="5" t="n"/>
      <c r="I58" s="5" t="n"/>
      <c r="J58" s="7">
        <f>IF(AND(N(F58)&gt;0,N(I58)&gt;0),I58-F58-IF(N(G58)&gt;0,0.5,0)-IF(N(H58)&gt;0,0.5,0),0)</f>
        <v/>
      </c>
      <c r="K58" s="5" t="n"/>
      <c r="L58" s="7">
        <f>MIN(J58,8.0)</f>
        <v/>
      </c>
      <c r="M58" s="7">
        <f>MAX(0,MIN(J58,12)-8.0)</f>
        <v/>
      </c>
      <c r="N58" s="7">
        <f>MAX(0,J58-12)</f>
        <v/>
      </c>
      <c r="O58" s="5" t="n"/>
      <c r="P58" s="6">
        <f>E58*(L58+M58*1.5+N58*2+O58*3+N(K58))</f>
        <v/>
      </c>
      <c r="Q58" s="6" t="n">
        <v>1063.6</v>
      </c>
      <c r="R58" s="6">
        <f>Q58-P58</f>
        <v/>
      </c>
    </row>
    <row r="59">
      <c r="P59" s="2" t="inlineStr">
        <is>
          <t>PRODUCTIONMANAGER LABOR</t>
        </is>
      </c>
      <c r="R59" s="8">
        <f>SUM(R58:R58)</f>
        <v/>
      </c>
    </row>
    <row r="61">
      <c r="B61" s="2" t="inlineStr">
        <is>
          <t>1STASSTDIRECTOR</t>
        </is>
      </c>
    </row>
    <row r="62">
      <c r="A62" s="5" t="inlineStr">
        <is>
          <t>2002</t>
        </is>
      </c>
      <c r="B62" s="5" t="inlineStr">
        <is>
          <t>James Moran</t>
        </is>
      </c>
      <c r="C62" s="5" t="inlineStr">
        <is>
          <t>1STASSTDIRECTOR</t>
        </is>
      </c>
      <c r="D62" s="5" t="inlineStr">
        <is>
          <t>DGA</t>
        </is>
      </c>
      <c r="E62" s="6" t="n">
        <v>985.6</v>
      </c>
      <c r="F62" s="5" t="n"/>
      <c r="G62" s="5" t="n"/>
      <c r="H62" s="5" t="n"/>
      <c r="I62" s="5" t="n"/>
      <c r="J62" s="7">
        <f>IF(AND(N(F62)&gt;0,N(I62)&gt;0),I62-F62-IF(N(G62)&gt;0,0.5,0)-IF(N(H62)&gt;0,0.5,0),0)</f>
        <v/>
      </c>
      <c r="K62" s="5" t="n"/>
      <c r="L62" s="7">
        <f>MIN(J62,8.0)</f>
        <v/>
      </c>
      <c r="M62" s="7">
        <f>MAX(0,MIN(J62,12)-8.0)</f>
        <v/>
      </c>
      <c r="N62" s="7">
        <f>MAX(0,J62-12)</f>
        <v/>
      </c>
      <c r="O62" s="5" t="n"/>
      <c r="P62" s="6">
        <f>E62*(L62+M62*1.5+N62*2+O62*3+N(K62))</f>
        <v/>
      </c>
      <c r="Q62" s="6" t="n">
        <v>985.6</v>
      </c>
      <c r="R62" s="6">
        <f>Q62-P62</f>
        <v/>
      </c>
    </row>
    <row r="63">
      <c r="P63" s="2" t="inlineStr">
        <is>
          <t>1STASSTDIRECTOR LABOR</t>
        </is>
      </c>
      <c r="R63" s="8">
        <f>SUM(R62:R62)</f>
        <v/>
      </c>
    </row>
    <row r="65">
      <c r="B65" s="2" t="inlineStr">
        <is>
          <t>2NDASSTDIRECTORS</t>
        </is>
      </c>
    </row>
    <row r="66">
      <c r="A66" s="5" t="inlineStr">
        <is>
          <t>2003</t>
        </is>
      </c>
      <c r="B66" s="5" t="inlineStr">
        <is>
          <t>Mark Newland</t>
        </is>
      </c>
      <c r="C66" s="5" t="inlineStr">
        <is>
          <t>KEY 2NDA. D.</t>
        </is>
      </c>
      <c r="D66" s="5" t="inlineStr">
        <is>
          <t>DGA</t>
        </is>
      </c>
      <c r="E66" s="6" t="n">
        <v>674.6</v>
      </c>
      <c r="F66" s="5" t="n"/>
      <c r="G66" s="5" t="n"/>
      <c r="H66" s="5" t="n"/>
      <c r="I66" s="5" t="n"/>
      <c r="J66" s="7">
        <f>IF(AND(N(F66)&gt;0,N(I66)&gt;0),I66-F66-IF(N(G66)&gt;0,0.5,0)-IF(N(H66)&gt;0,0.5,0),0)</f>
        <v/>
      </c>
      <c r="K66" s="5" t="n"/>
      <c r="L66" s="7">
        <f>MIN(J66,8.0)</f>
        <v/>
      </c>
      <c r="M66" s="7">
        <f>MAX(0,MIN(J66,12)-8.0)</f>
        <v/>
      </c>
      <c r="N66" s="7">
        <f>MAX(0,J66-12)</f>
        <v/>
      </c>
      <c r="O66" s="5" t="n"/>
      <c r="P66" s="6">
        <f>E66*(L66+M66*1.5+N66*2+O66*3+N(K66))</f>
        <v/>
      </c>
      <c r="Q66" s="6" t="n">
        <v>674.6</v>
      </c>
      <c r="R66" s="6">
        <f>Q66-P66</f>
        <v/>
      </c>
    </row>
    <row r="67">
      <c r="A67" s="5" t="inlineStr">
        <is>
          <t>2003</t>
        </is>
      </c>
      <c r="B67" s="5" t="inlineStr"/>
      <c r="C67" s="5" t="inlineStr">
        <is>
          <t>2ND 2NDA. D.</t>
        </is>
      </c>
      <c r="D67" s="5" t="inlineStr">
        <is>
          <t>DGA</t>
        </is>
      </c>
      <c r="E67" s="6" t="n">
        <v>526</v>
      </c>
      <c r="F67" s="5" t="n"/>
      <c r="G67" s="5" t="n"/>
      <c r="H67" s="5" t="n"/>
      <c r="I67" s="5" t="n"/>
      <c r="J67" s="7">
        <f>IF(AND(N(F67)&gt;0,N(I67)&gt;0),I67-F67-IF(N(G67)&gt;0,0.5,0)-IF(N(H67)&gt;0,0.5,0),0)</f>
        <v/>
      </c>
      <c r="K67" s="5" t="n"/>
      <c r="L67" s="7">
        <f>MIN(J67,8.0)</f>
        <v/>
      </c>
      <c r="M67" s="7">
        <f>MAX(0,MIN(J67,12)-8.0)</f>
        <v/>
      </c>
      <c r="N67" s="7">
        <f>MAX(0,J67-12)</f>
        <v/>
      </c>
      <c r="O67" s="5" t="n"/>
      <c r="P67" s="6">
        <f>E67*(L67+M67*1.5+N67*2+O67*3+N(K67))</f>
        <v/>
      </c>
      <c r="Q67" s="6" t="n">
        <v>526</v>
      </c>
      <c r="R67" s="6">
        <f>Q67-P67</f>
        <v/>
      </c>
    </row>
    <row r="68">
      <c r="P68" s="2" t="inlineStr">
        <is>
          <t>2NDASSTDIRECTORS LABOR</t>
        </is>
      </c>
      <c r="R68" s="8">
        <f>SUM(R66:R67)</f>
        <v/>
      </c>
    </row>
    <row r="70">
      <c r="B70" s="2" t="inlineStr">
        <is>
          <t>SCRIPTSUPERVISOR</t>
        </is>
      </c>
    </row>
    <row r="71">
      <c r="A71" s="5" t="inlineStr">
        <is>
          <t>2005</t>
        </is>
      </c>
      <c r="B71" s="5" t="inlineStr">
        <is>
          <t>Renata Amador</t>
        </is>
      </c>
      <c r="C71" s="5" t="inlineStr">
        <is>
          <t>SCRIPTSUPERVISOR</t>
        </is>
      </c>
      <c r="D71" s="5" t="inlineStr">
        <is>
          <t>Local871</t>
        </is>
      </c>
      <c r="E71" s="6" t="n">
        <v>25.5</v>
      </c>
      <c r="F71" s="5" t="n"/>
      <c r="G71" s="5" t="n"/>
      <c r="H71" s="5" t="n"/>
      <c r="I71" s="5" t="n"/>
      <c r="J71" s="7">
        <f>IF(AND(N(F71)&gt;0,N(I71)&gt;0),I71-F71-IF(N(G71)&gt;0,0.5,0)-IF(N(H71)&gt;0,0.5,0),0)</f>
        <v/>
      </c>
      <c r="K71" s="5" t="n"/>
      <c r="L71" s="7">
        <f>MIN(J71,10.0)</f>
        <v/>
      </c>
      <c r="M71" s="7">
        <f>MAX(0,MIN(J71,12)-10.0)</f>
        <v/>
      </c>
      <c r="N71" s="7">
        <f>MAX(0,J71-12)</f>
        <v/>
      </c>
      <c r="O71" s="5" t="n"/>
      <c r="P71" s="6">
        <f>E71*(L71+M71*1.5+N71*2+O71*3+N(K71))</f>
        <v/>
      </c>
      <c r="Q71" s="6" t="n">
        <v>439.87</v>
      </c>
      <c r="R71" s="6">
        <f>Q71-P71</f>
        <v/>
      </c>
    </row>
    <row r="72">
      <c r="P72" s="2" t="inlineStr">
        <is>
          <t>SCRIPTSUPERVISOR LABOR</t>
        </is>
      </c>
      <c r="R72" s="8">
        <f>SUM(R71:R71)</f>
        <v/>
      </c>
    </row>
    <row r="74">
      <c r="B74" s="2" t="inlineStr">
        <is>
          <t>LOCATIONMANAGERS</t>
        </is>
      </c>
    </row>
    <row r="75">
      <c r="A75" s="5" t="inlineStr">
        <is>
          <t>2007</t>
        </is>
      </c>
      <c r="B75" s="5" t="inlineStr">
        <is>
          <t>Stacey Brashear-Rodriquez</t>
        </is>
      </c>
      <c r="C75" s="5" t="inlineStr">
        <is>
          <t>LOCATIONMANAGER</t>
        </is>
      </c>
      <c r="D75" s="5" t="inlineStr">
        <is>
          <t>Local399</t>
        </is>
      </c>
      <c r="E75" s="6" t="n">
        <v>557.6</v>
      </c>
      <c r="F75" s="5" t="n"/>
      <c r="G75" s="5" t="n"/>
      <c r="H75" s="5" t="n"/>
      <c r="I75" s="5" t="n"/>
      <c r="J75" s="7">
        <f>IF(AND(N(F75)&gt;0,N(I75)&gt;0),I75-F75-IF(N(G75)&gt;0,0.5,0)-IF(N(H75)&gt;0,0.5,0),0)</f>
        <v/>
      </c>
      <c r="K75" s="5" t="n"/>
      <c r="L75" s="7">
        <f>MIN(J75,8.0)</f>
        <v/>
      </c>
      <c r="M75" s="7">
        <f>MAX(0,MIN(J75,12)-8.0)</f>
        <v/>
      </c>
      <c r="N75" s="7">
        <f>MAX(0,J75-12)</f>
        <v/>
      </c>
      <c r="O75" s="5" t="n"/>
      <c r="P75" s="6">
        <f>E75*(L75+M75*1.5+N75*2+O75*3+N(K75))</f>
        <v/>
      </c>
      <c r="Q75" s="6" t="n">
        <v>557.6</v>
      </c>
      <c r="R75" s="6">
        <f>Q75-P75</f>
        <v/>
      </c>
    </row>
    <row r="76">
      <c r="P76" s="2" t="inlineStr">
        <is>
          <t>LOCATIONMANAGERS LABOR</t>
        </is>
      </c>
      <c r="R76" s="8">
        <f>SUM(R75:R75)</f>
        <v/>
      </c>
    </row>
    <row r="78">
      <c r="B78" s="2" t="inlineStr">
        <is>
          <t>ASSISTANTLOCATIONMANAGERS</t>
        </is>
      </c>
    </row>
    <row r="79">
      <c r="A79" s="5" t="inlineStr">
        <is>
          <t>2008</t>
        </is>
      </c>
      <c r="B79" s="5" t="inlineStr">
        <is>
          <t>Rich Heichel</t>
        </is>
      </c>
      <c r="C79" s="5" t="inlineStr">
        <is>
          <t>KEYASSTLOCATIONMGR#1</t>
        </is>
      </c>
      <c r="D79" s="5" t="inlineStr">
        <is>
          <t>Local399</t>
        </is>
      </c>
      <c r="E79" s="6" t="n">
        <v>334.2</v>
      </c>
      <c r="F79" s="5" t="n"/>
      <c r="G79" s="5" t="n"/>
      <c r="H79" s="5" t="n"/>
      <c r="I79" s="5" t="n"/>
      <c r="J79" s="7">
        <f>IF(AND(N(F79)&gt;0,N(I79)&gt;0),I79-F79-IF(N(G79)&gt;0,0.5,0)-IF(N(H79)&gt;0,0.5,0),0)</f>
        <v/>
      </c>
      <c r="K79" s="5" t="n"/>
      <c r="L79" s="7">
        <f>MIN(J79,8.0)</f>
        <v/>
      </c>
      <c r="M79" s="7">
        <f>MAX(0,MIN(J79,12)-8.0)</f>
        <v/>
      </c>
      <c r="N79" s="7">
        <f>MAX(0,J79-12)</f>
        <v/>
      </c>
      <c r="O79" s="5" t="n"/>
      <c r="P79" s="6">
        <f>E79*(L79+M79*1.5+N79*2+O79*3+N(K79))</f>
        <v/>
      </c>
      <c r="Q79" s="6" t="n">
        <v>334.2</v>
      </c>
      <c r="R79" s="6">
        <f>Q79-P79</f>
        <v/>
      </c>
    </row>
    <row r="80">
      <c r="A80" s="5" t="inlineStr">
        <is>
          <t>2008</t>
        </is>
      </c>
      <c r="B80" s="5" t="inlineStr">
        <is>
          <t>Jason Mc Cauley</t>
        </is>
      </c>
      <c r="C80" s="5" t="inlineStr">
        <is>
          <t>LOCATIONASST</t>
        </is>
      </c>
      <c r="D80" s="5" t="inlineStr">
        <is>
          <t>Local399</t>
        </is>
      </c>
      <c r="E80" s="6" t="n">
        <v>229</v>
      </c>
      <c r="F80" s="5" t="n"/>
      <c r="G80" s="5" t="n"/>
      <c r="H80" s="5" t="n"/>
      <c r="I80" s="5" t="n"/>
      <c r="J80" s="7">
        <f>IF(AND(N(F80)&gt;0,N(I80)&gt;0),I80-F80-IF(N(G80)&gt;0,0.5,0)-IF(N(H80)&gt;0,0.5,0),0)</f>
        <v/>
      </c>
      <c r="K80" s="5" t="n"/>
      <c r="L80" s="7">
        <f>MIN(J80,8.0)</f>
        <v/>
      </c>
      <c r="M80" s="7">
        <f>MAX(0,MIN(J80,12)-8.0)</f>
        <v/>
      </c>
      <c r="N80" s="7">
        <f>MAX(0,J80-12)</f>
        <v/>
      </c>
      <c r="O80" s="5" t="n"/>
      <c r="P80" s="6">
        <f>E80*(L80+M80*1.5+N80*2+O80*3+N(K80))</f>
        <v/>
      </c>
      <c r="Q80" s="6" t="n">
        <v>229</v>
      </c>
      <c r="R80" s="6">
        <f>Q80-P80</f>
        <v/>
      </c>
    </row>
    <row r="81">
      <c r="P81" s="2" t="inlineStr">
        <is>
          <t>ASSISTANTLOCATIONMANAGERS LABOR</t>
        </is>
      </c>
      <c r="R81" s="8">
        <f>SUM(R79:R80)</f>
        <v/>
      </c>
    </row>
    <row r="83">
      <c r="B83" s="2" t="inlineStr">
        <is>
          <t>PRODUCTIONCOORDINATOR</t>
        </is>
      </c>
    </row>
    <row r="84">
      <c r="A84" s="5" t="inlineStr">
        <is>
          <t>2009</t>
        </is>
      </c>
      <c r="B84" s="5" t="inlineStr">
        <is>
          <t>Ali Griffith</t>
        </is>
      </c>
      <c r="C84" s="5" t="inlineStr">
        <is>
          <t>PRODUCTIONOFCCOORD</t>
        </is>
      </c>
      <c r="D84" s="5" t="inlineStr"/>
      <c r="E84" s="6" t="n">
        <v>360</v>
      </c>
      <c r="F84" s="5" t="n"/>
      <c r="G84" s="5" t="n"/>
      <c r="H84" s="5" t="n"/>
      <c r="I84" s="5" t="n"/>
      <c r="J84" s="7">
        <f>IF(AND(N(F84)&gt;0,N(I84)&gt;0),I84-F84-IF(N(G84)&gt;0,0.5,0)-IF(N(H84)&gt;0,0.5,0),0)</f>
        <v/>
      </c>
      <c r="K84" s="5" t="n"/>
      <c r="L84" s="7">
        <f>MIN(J84,8.0)</f>
        <v/>
      </c>
      <c r="M84" s="7">
        <f>MAX(0,MIN(J84,12)-8.0)</f>
        <v/>
      </c>
      <c r="N84" s="7">
        <f>MAX(0,J84-12)</f>
        <v/>
      </c>
      <c r="O84" s="5" t="n"/>
      <c r="P84" s="6">
        <f>E84*(L84+M84*1.5+N84*2+O84*3+N(K84))</f>
        <v/>
      </c>
      <c r="Q84" s="6" t="n">
        <v>360</v>
      </c>
      <c r="R84" s="6">
        <f>Q84-P84</f>
        <v/>
      </c>
    </row>
    <row r="85">
      <c r="P85" s="2" t="inlineStr">
        <is>
          <t>PRODUCTIONCOORDINATOR LABOR</t>
        </is>
      </c>
      <c r="R85" s="8">
        <f>SUM(R84:R84)</f>
        <v/>
      </c>
    </row>
    <row r="87">
      <c r="B87" s="2" t="inlineStr">
        <is>
          <t>ASSTPRODUCTIONCOORDINATOR</t>
        </is>
      </c>
    </row>
    <row r="88">
      <c r="A88" s="5" t="inlineStr">
        <is>
          <t>2010</t>
        </is>
      </c>
      <c r="B88" s="5" t="inlineStr">
        <is>
          <t>Holly Dellocono</t>
        </is>
      </c>
      <c r="C88" s="5" t="inlineStr">
        <is>
          <t>APOC</t>
        </is>
      </c>
      <c r="D88" s="5" t="inlineStr">
        <is>
          <t>Local871</t>
        </is>
      </c>
      <c r="E88" s="6" t="n">
        <v>20.57</v>
      </c>
      <c r="F88" s="5" t="n"/>
      <c r="G88" s="5" t="n"/>
      <c r="H88" s="5" t="n"/>
      <c r="I88" s="5" t="n"/>
      <c r="J88" s="7">
        <f>IF(AND(N(F88)&gt;0,N(I88)&gt;0),I88-F88-IF(N(G88)&gt;0,0.5,0)-IF(N(H88)&gt;0,0.5,0),0)</f>
        <v/>
      </c>
      <c r="K88" s="5" t="n"/>
      <c r="L88" s="7">
        <f>MIN(J88,10.0)</f>
        <v/>
      </c>
      <c r="M88" s="7">
        <f>MAX(0,MIN(J88,12)-10.0)</f>
        <v/>
      </c>
      <c r="N88" s="7">
        <f>MAX(0,J88-12)</f>
        <v/>
      </c>
      <c r="O88" s="5" t="n"/>
      <c r="P88" s="6">
        <f>E88*(L88+M88*1.5+N88*2+O88*3+N(K88))</f>
        <v/>
      </c>
      <c r="Q88" s="6" t="n">
        <v>287.98</v>
      </c>
      <c r="R88" s="6">
        <f>Q88-P88</f>
        <v/>
      </c>
    </row>
    <row r="89">
      <c r="P89" s="2" t="inlineStr">
        <is>
          <t>ASSTPRODUCTIONCOORDINATOR LABOR</t>
        </is>
      </c>
      <c r="R89" s="8">
        <f>SUM(R88:R88)</f>
        <v/>
      </c>
    </row>
    <row r="91">
      <c r="B91" s="2" t="inlineStr">
        <is>
          <t>OFFICESTAFFASSISTANTS</t>
        </is>
      </c>
    </row>
    <row r="92">
      <c r="A92" s="5" t="inlineStr">
        <is>
          <t>2011</t>
        </is>
      </c>
      <c r="B92" s="5" t="inlineStr">
        <is>
          <t>John Humber</t>
        </is>
      </c>
      <c r="C92" s="5" t="inlineStr">
        <is>
          <t>OFFICEPA#1</t>
        </is>
      </c>
      <c r="D92" s="5" t="inlineStr"/>
      <c r="E92" s="6" t="n">
        <v>22.5</v>
      </c>
      <c r="F92" s="5" t="n"/>
      <c r="G92" s="5" t="n"/>
      <c r="H92" s="5" t="n"/>
      <c r="I92" s="5" t="n"/>
      <c r="J92" s="7">
        <f>IF(AND(N(F92)&gt;0,N(I92)&gt;0),I92-F92-IF(N(G92)&gt;0,0.5,0)-IF(N(H92)&gt;0,0.5,0),0)</f>
        <v/>
      </c>
      <c r="K92" s="5" t="n"/>
      <c r="L92" s="7">
        <f>MIN(J92,8.0)</f>
        <v/>
      </c>
      <c r="M92" s="7">
        <f>MAX(0,MIN(J92,12)-8.0)</f>
        <v/>
      </c>
      <c r="N92" s="7">
        <f>MAX(0,J92-12)</f>
        <v/>
      </c>
      <c r="O92" s="5" t="n"/>
      <c r="P92" s="6">
        <f>E92*(L92+M92*1.5+N92*2+O92*3+N(K92))</f>
        <v/>
      </c>
      <c r="Q92" s="6" t="n">
        <v>168</v>
      </c>
      <c r="R92" s="6">
        <f>Q92-P92</f>
        <v/>
      </c>
    </row>
    <row r="93">
      <c r="A93" s="5" t="inlineStr">
        <is>
          <t>2011</t>
        </is>
      </c>
      <c r="B93" s="5" t="inlineStr">
        <is>
          <t>Sarah Semenas</t>
        </is>
      </c>
      <c r="C93" s="5" t="inlineStr">
        <is>
          <t>OFFICEPA#2</t>
        </is>
      </c>
      <c r="D93" s="5" t="inlineStr"/>
      <c r="E93" s="6" t="n">
        <v>22.5</v>
      </c>
      <c r="F93" s="5" t="n"/>
      <c r="G93" s="5" t="n"/>
      <c r="H93" s="5" t="n"/>
      <c r="I93" s="5" t="n"/>
      <c r="J93" s="7">
        <f>IF(AND(N(F93)&gt;0,N(I93)&gt;0),I93-F93-IF(N(G93)&gt;0,0.5,0)-IF(N(H93)&gt;0,0.5,0),0)</f>
        <v/>
      </c>
      <c r="K93" s="5" t="n"/>
      <c r="L93" s="7">
        <f>MIN(J93,8.0)</f>
        <v/>
      </c>
      <c r="M93" s="7">
        <f>MAX(0,MIN(J93,12)-8.0)</f>
        <v/>
      </c>
      <c r="N93" s="7">
        <f>MAX(0,J93-12)</f>
        <v/>
      </c>
      <c r="O93" s="5" t="n"/>
      <c r="P93" s="6">
        <f>E93*(L93+M93*1.5+N93*2+O93*3+N(K93))</f>
        <v/>
      </c>
      <c r="Q93" s="6" t="n">
        <v>168</v>
      </c>
      <c r="R93" s="6">
        <f>Q93-P93</f>
        <v/>
      </c>
    </row>
    <row r="94">
      <c r="P94" s="2" t="inlineStr">
        <is>
          <t>OFFICESTAFFASSISTANTS LABOR</t>
        </is>
      </c>
      <c r="R94" s="8">
        <f>SUM(R92:R93)</f>
        <v/>
      </c>
    </row>
    <row r="96">
      <c r="B96" s="2" t="inlineStr">
        <is>
          <t>SETSTAFFASSISTANTS</t>
        </is>
      </c>
    </row>
    <row r="97">
      <c r="A97" s="5" t="inlineStr">
        <is>
          <t>2012</t>
        </is>
      </c>
      <c r="B97" s="5" t="inlineStr">
        <is>
          <t>Paula Henry</t>
        </is>
      </c>
      <c r="C97" s="5" t="inlineStr">
        <is>
          <t>KEYSETPA</t>
        </is>
      </c>
      <c r="D97" s="5" t="inlineStr"/>
      <c r="E97" s="6" t="n">
        <v>12</v>
      </c>
      <c r="F97" s="5" t="n"/>
      <c r="G97" s="5" t="n"/>
      <c r="H97" s="5" t="n"/>
      <c r="I97" s="5" t="n"/>
      <c r="J97" s="7">
        <f>IF(AND(N(F97)&gt;0,N(I97)&gt;0),I97-F97-IF(N(G97)&gt;0,0.5,0)-IF(N(H97)&gt;0,0.5,0),0)</f>
        <v/>
      </c>
      <c r="K97" s="5" t="n"/>
      <c r="L97" s="7">
        <f>MIN(J97,8.0)</f>
        <v/>
      </c>
      <c r="M97" s="7">
        <f>MAX(0,MIN(J97,12)-8.0)</f>
        <v/>
      </c>
      <c r="N97" s="7">
        <f>MAX(0,J97-12)</f>
        <v/>
      </c>
      <c r="O97" s="5" t="n"/>
      <c r="P97" s="6">
        <f>E97*(L97+M97*1.5+N97*2+O97*3+N(K97))</f>
        <v/>
      </c>
      <c r="Q97" s="6" t="n">
        <v>216</v>
      </c>
      <c r="R97" s="6">
        <f>Q97-P97</f>
        <v/>
      </c>
    </row>
    <row r="98">
      <c r="A98" s="5" t="inlineStr">
        <is>
          <t>2012</t>
        </is>
      </c>
      <c r="B98" s="5" t="inlineStr"/>
      <c r="C98" s="5" t="inlineStr">
        <is>
          <t>SETPA#2</t>
        </is>
      </c>
      <c r="D98" s="5" t="inlineStr"/>
      <c r="E98" s="6" t="n">
        <v>12</v>
      </c>
      <c r="F98" s="5" t="n"/>
      <c r="G98" s="5" t="n"/>
      <c r="H98" s="5" t="n"/>
      <c r="I98" s="5" t="n"/>
      <c r="J98" s="7">
        <f>IF(AND(N(F98)&gt;0,N(I98)&gt;0),I98-F98-IF(N(G98)&gt;0,0.5,0)-IF(N(H98)&gt;0,0.5,0),0)</f>
        <v/>
      </c>
      <c r="K98" s="5" t="n"/>
      <c r="L98" s="7">
        <f>MIN(J98,8.0)</f>
        <v/>
      </c>
      <c r="M98" s="7">
        <f>MAX(0,MIN(J98,12)-8.0)</f>
        <v/>
      </c>
      <c r="N98" s="7">
        <f>MAX(0,J98-12)</f>
        <v/>
      </c>
      <c r="O98" s="5" t="n"/>
      <c r="P98" s="6">
        <f>E98*(L98+M98*1.5+N98*2+O98*3+N(K98))</f>
        <v/>
      </c>
      <c r="Q98" s="6" t="n">
        <v>216</v>
      </c>
      <c r="R98" s="6">
        <f>Q98-P98</f>
        <v/>
      </c>
    </row>
    <row r="99">
      <c r="A99" s="5" t="inlineStr">
        <is>
          <t>2012</t>
        </is>
      </c>
      <c r="B99" s="5" t="inlineStr"/>
      <c r="C99" s="5" t="inlineStr">
        <is>
          <t>SETPA#3</t>
        </is>
      </c>
      <c r="D99" s="5" t="inlineStr"/>
      <c r="E99" s="6" t="n">
        <v>12</v>
      </c>
      <c r="F99" s="5" t="n"/>
      <c r="G99" s="5" t="n"/>
      <c r="H99" s="5" t="n"/>
      <c r="I99" s="5" t="n"/>
      <c r="J99" s="7">
        <f>IF(AND(N(F99)&gt;0,N(I99)&gt;0),I99-F99-IF(N(G99)&gt;0,0.5,0)-IF(N(H99)&gt;0,0.5,0),0)</f>
        <v/>
      </c>
      <c r="K99" s="5" t="n"/>
      <c r="L99" s="7">
        <f>MIN(J99,8.0)</f>
        <v/>
      </c>
      <c r="M99" s="7">
        <f>MAX(0,MIN(J99,12)-8.0)</f>
        <v/>
      </c>
      <c r="N99" s="7">
        <f>MAX(0,J99-12)</f>
        <v/>
      </c>
      <c r="O99" s="5" t="n"/>
      <c r="P99" s="6">
        <f>E99*(L99+M99*1.5+N99*2+O99*3+N(K99))</f>
        <v/>
      </c>
      <c r="Q99" s="6" t="n">
        <v>216</v>
      </c>
      <c r="R99" s="6">
        <f>Q99-P99</f>
        <v/>
      </c>
    </row>
    <row r="100">
      <c r="A100" s="5" t="inlineStr">
        <is>
          <t>2012</t>
        </is>
      </c>
      <c r="B100" s="5" t="inlineStr"/>
      <c r="C100" s="5" t="inlineStr">
        <is>
          <t>SETPA#4</t>
        </is>
      </c>
      <c r="D100" s="5" t="inlineStr"/>
      <c r="E100" s="6" t="n">
        <v>12</v>
      </c>
      <c r="F100" s="5" t="n"/>
      <c r="G100" s="5" t="n"/>
      <c r="H100" s="5" t="n"/>
      <c r="I100" s="5" t="n"/>
      <c r="J100" s="7">
        <f>IF(AND(N(F100)&gt;0,N(I100)&gt;0),I100-F100-IF(N(G100)&gt;0,0.5,0)-IF(N(H100)&gt;0,0.5,0),0)</f>
        <v/>
      </c>
      <c r="K100" s="5" t="n"/>
      <c r="L100" s="7">
        <f>MIN(J100,8.0)</f>
        <v/>
      </c>
      <c r="M100" s="7">
        <f>MAX(0,MIN(J100,12)-8.0)</f>
        <v/>
      </c>
      <c r="N100" s="7">
        <f>MAX(0,J100-12)</f>
        <v/>
      </c>
      <c r="O100" s="5" t="n"/>
      <c r="P100" s="6">
        <f>E100*(L100+M100*1.5+N100*2+O100*3+N(K100))</f>
        <v/>
      </c>
      <c r="Q100" s="6" t="n">
        <v>216</v>
      </c>
      <c r="R100" s="6">
        <f>Q100-P100</f>
        <v/>
      </c>
    </row>
    <row r="101">
      <c r="P101" s="2" t="inlineStr">
        <is>
          <t>SETSTAFFASSISTANTS LABOR</t>
        </is>
      </c>
      <c r="R101" s="8">
        <f>SUM(R97:R100)</f>
        <v/>
      </c>
    </row>
    <row r="103">
      <c r="B103" s="2" t="inlineStr">
        <is>
          <t>PRODUCTIONACCOUNTANT</t>
        </is>
      </c>
    </row>
    <row r="104">
      <c r="A104" s="5" t="inlineStr">
        <is>
          <t>2013</t>
        </is>
      </c>
      <c r="B104" s="5" t="inlineStr">
        <is>
          <t>Joel Tokarsky</t>
        </is>
      </c>
      <c r="C104" s="5" t="inlineStr">
        <is>
          <t>PRODUCTIONACCOUNTANT</t>
        </is>
      </c>
      <c r="D104" s="5" t="inlineStr">
        <is>
          <t>Local871</t>
        </is>
      </c>
      <c r="E104" s="6" t="n">
        <v>740</v>
      </c>
      <c r="F104" s="5" t="n"/>
      <c r="G104" s="5" t="n"/>
      <c r="H104" s="5" t="n"/>
      <c r="I104" s="5" t="n"/>
      <c r="J104" s="7">
        <f>IF(AND(N(F104)&gt;0,N(I104)&gt;0),I104-F104-IF(N(G104)&gt;0,0.5,0)-IF(N(H104)&gt;0,0.5,0),0)</f>
        <v/>
      </c>
      <c r="K104" s="5" t="n"/>
      <c r="L104" s="7">
        <f>MIN(J104,10.0)</f>
        <v/>
      </c>
      <c r="M104" s="7">
        <f>MAX(0,MIN(J104,12)-10.0)</f>
        <v/>
      </c>
      <c r="N104" s="7">
        <f>MAX(0,J104-12)</f>
        <v/>
      </c>
      <c r="O104" s="5" t="n"/>
      <c r="P104" s="6">
        <f>E104*(L104+M104*1.5+N104*2+O104*3+N(K104))</f>
        <v/>
      </c>
      <c r="Q104" s="6" t="n">
        <v>740</v>
      </c>
      <c r="R104" s="6">
        <f>Q104-P104</f>
        <v/>
      </c>
    </row>
    <row r="105">
      <c r="P105" s="2" t="inlineStr">
        <is>
          <t>PRODUCTIONACCOUNTANT LABOR</t>
        </is>
      </c>
      <c r="R105" s="8">
        <f>SUM(R104:R104)</f>
        <v/>
      </c>
    </row>
    <row r="107">
      <c r="B107" s="2" t="inlineStr">
        <is>
          <t>ASSTPRODUCTIONACCOUNTANTS</t>
        </is>
      </c>
    </row>
    <row r="108">
      <c r="A108" s="5" t="inlineStr">
        <is>
          <t>2014</t>
        </is>
      </c>
      <c r="B108" s="5" t="inlineStr">
        <is>
          <t>Co-Co Aiello</t>
        </is>
      </c>
      <c r="C108" s="5" t="inlineStr">
        <is>
          <t>1STASSTACCT</t>
        </is>
      </c>
      <c r="D108" s="5" t="inlineStr">
        <is>
          <t>Local871</t>
        </is>
      </c>
      <c r="E108" s="6" t="n">
        <v>480</v>
      </c>
      <c r="F108" s="5" t="n"/>
      <c r="G108" s="5" t="n"/>
      <c r="H108" s="5" t="n"/>
      <c r="I108" s="5" t="n"/>
      <c r="J108" s="7">
        <f>IF(AND(N(F108)&gt;0,N(I108)&gt;0),I108-F108-IF(N(G108)&gt;0,0.5,0)-IF(N(H108)&gt;0,0.5,0),0)</f>
        <v/>
      </c>
      <c r="K108" s="5" t="n"/>
      <c r="L108" s="7">
        <f>MIN(J108,10.0)</f>
        <v/>
      </c>
      <c r="M108" s="7">
        <f>MAX(0,MIN(J108,12)-10.0)</f>
        <v/>
      </c>
      <c r="N108" s="7">
        <f>MAX(0,J108-12)</f>
        <v/>
      </c>
      <c r="O108" s="5" t="n"/>
      <c r="P108" s="6">
        <f>E108*(L108+M108*1.5+N108*2+O108*3+N(K108))</f>
        <v/>
      </c>
      <c r="Q108" s="6" t="n">
        <v>480</v>
      </c>
      <c r="R108" s="6">
        <f>Q108-P108</f>
        <v/>
      </c>
    </row>
    <row r="109">
      <c r="A109" s="5" t="inlineStr">
        <is>
          <t>2014</t>
        </is>
      </c>
      <c r="B109" s="5" t="inlineStr">
        <is>
          <t>Steve Goldstein</t>
        </is>
      </c>
      <c r="C109" s="5" t="inlineStr">
        <is>
          <t>PAYROLLACCT</t>
        </is>
      </c>
      <c r="D109" s="5" t="inlineStr">
        <is>
          <t>Local871</t>
        </is>
      </c>
      <c r="E109" s="6" t="n">
        <v>420</v>
      </c>
      <c r="F109" s="5" t="n"/>
      <c r="G109" s="5" t="n"/>
      <c r="H109" s="5" t="n"/>
      <c r="I109" s="5" t="n"/>
      <c r="J109" s="7">
        <f>IF(AND(N(F109)&gt;0,N(I109)&gt;0),I109-F109-IF(N(G109)&gt;0,0.5,0)-IF(N(H109)&gt;0,0.5,0),0)</f>
        <v/>
      </c>
      <c r="K109" s="5" t="n"/>
      <c r="L109" s="7">
        <f>MIN(J109,10.0)</f>
        <v/>
      </c>
      <c r="M109" s="7">
        <f>MAX(0,MIN(J109,12)-10.0)</f>
        <v/>
      </c>
      <c r="N109" s="7">
        <f>MAX(0,J109-12)</f>
        <v/>
      </c>
      <c r="O109" s="5" t="n"/>
      <c r="P109" s="6">
        <f>E109*(L109+M109*1.5+N109*2+O109*3+N(K109))</f>
        <v/>
      </c>
      <c r="Q109" s="6" t="n">
        <v>420</v>
      </c>
      <c r="R109" s="6">
        <f>Q109-P109</f>
        <v/>
      </c>
    </row>
    <row r="110">
      <c r="P110" s="2" t="inlineStr">
        <is>
          <t>ASSTPRODUCTIONACCOUNTANTS LABOR</t>
        </is>
      </c>
      <c r="R110" s="8">
        <f>SUM(R108:R109)</f>
        <v/>
      </c>
    </row>
    <row r="112">
      <c r="B112" s="2" t="inlineStr">
        <is>
          <t>CONSTRUCTIONCOORDINATOR</t>
        </is>
      </c>
    </row>
    <row r="113">
      <c r="A113" s="5" t="inlineStr">
        <is>
          <t>2302</t>
        </is>
      </c>
      <c r="B113" s="5" t="inlineStr">
        <is>
          <t>Drew Rebelin</t>
        </is>
      </c>
      <c r="C113" s="5" t="inlineStr">
        <is>
          <t>CONSTCOORDINATOR</t>
        </is>
      </c>
      <c r="D113" s="5" t="inlineStr">
        <is>
          <t>Local44</t>
        </is>
      </c>
      <c r="E113" s="6" t="n">
        <v>400</v>
      </c>
      <c r="F113" s="5" t="n"/>
      <c r="G113" s="5" t="n"/>
      <c r="H113" s="5" t="n"/>
      <c r="I113" s="5" t="n"/>
      <c r="J113" s="7">
        <f>IF(AND(N(F113)&gt;0,N(I113)&gt;0),I113-F113-IF(N(G113)&gt;0,0.5,0)-IF(N(H113)&gt;0,0.5,0),0)</f>
        <v/>
      </c>
      <c r="K113" s="5" t="n"/>
      <c r="L113" s="7">
        <f>MIN(J113,10.0)</f>
        <v/>
      </c>
      <c r="M113" s="7">
        <f>MAX(0,MIN(J113,12)-10.0)</f>
        <v/>
      </c>
      <c r="N113" s="7">
        <f>MAX(0,J113-12)</f>
        <v/>
      </c>
      <c r="O113" s="5" t="n"/>
      <c r="P113" s="6">
        <f>E113*(L113+M113*1.5+N113*2+O113*3+N(K113))</f>
        <v/>
      </c>
      <c r="Q113" s="5" t="n"/>
      <c r="R113" s="6">
        <f>Q113-P113</f>
        <v/>
      </c>
    </row>
    <row r="114">
      <c r="P114" s="2" t="inlineStr">
        <is>
          <t>CONSTRUCTIONCOORDINATOR LABOR</t>
        </is>
      </c>
      <c r="R114" s="8">
        <f>SUM(R113:R113)</f>
        <v/>
      </c>
    </row>
    <row r="116">
      <c r="B116" s="2" t="inlineStr">
        <is>
          <t>PAINTFOREMAN</t>
        </is>
      </c>
    </row>
    <row r="117">
      <c r="A117" s="5" t="inlineStr">
        <is>
          <t>2304</t>
        </is>
      </c>
      <c r="B117" s="5" t="inlineStr">
        <is>
          <t>Kristeen Reimnitz</t>
        </is>
      </c>
      <c r="C117" s="5" t="inlineStr">
        <is>
          <t>PAINTER</t>
        </is>
      </c>
      <c r="D117" s="5" t="inlineStr">
        <is>
          <t>Local729</t>
        </is>
      </c>
      <c r="E117" s="6" t="n">
        <v>23.04</v>
      </c>
      <c r="F117" s="5" t="n"/>
      <c r="G117" s="5" t="n"/>
      <c r="H117" s="5" t="n"/>
      <c r="I117" s="5" t="n"/>
      <c r="J117" s="7">
        <f>IF(AND(N(F117)&gt;0,N(I117)&gt;0),I117-F117-IF(N(G117)&gt;0,0.5,0)-IF(N(H117)&gt;0,0.5,0),0)</f>
        <v/>
      </c>
      <c r="K117" s="5" t="n"/>
      <c r="L117" s="7">
        <f>MIN(J117,10.0)</f>
        <v/>
      </c>
      <c r="M117" s="7">
        <f>MAX(0,MIN(J117,12)-10.0)</f>
        <v/>
      </c>
      <c r="N117" s="7">
        <f>MAX(0,J117-12)</f>
        <v/>
      </c>
      <c r="O117" s="5" t="n"/>
      <c r="P117" s="6">
        <f>E117*(L117+M117*1.5+N117*2+O117*3+N(K117))</f>
        <v/>
      </c>
      <c r="Q117" s="5" t="n"/>
      <c r="R117" s="6">
        <f>Q117-P117</f>
        <v/>
      </c>
    </row>
    <row r="118">
      <c r="P118" s="2" t="inlineStr">
        <is>
          <t>PAINTFOREMAN LABOR</t>
        </is>
      </c>
      <c r="R118" s="8">
        <f>SUM(R117:R117)</f>
        <v/>
      </c>
    </row>
    <row r="120">
      <c r="B120" s="2" t="inlineStr">
        <is>
          <t>FIRSTAIDLABOR</t>
        </is>
      </c>
    </row>
    <row r="121">
      <c r="A121" s="5" t="inlineStr">
        <is>
          <t>2310</t>
        </is>
      </c>
      <c r="B121" s="5" t="inlineStr"/>
      <c r="C121" s="5" t="inlineStr">
        <is>
          <t>CONSTRUCTIONMEDIC</t>
        </is>
      </c>
      <c r="D121" s="5" t="inlineStr">
        <is>
          <t>Local80</t>
        </is>
      </c>
      <c r="E121" s="6" t="n">
        <v>23.04</v>
      </c>
      <c r="F121" s="5" t="n"/>
      <c r="G121" s="5" t="n"/>
      <c r="H121" s="5" t="n"/>
      <c r="I121" s="5" t="n"/>
      <c r="J121" s="7">
        <f>IF(AND(N(F121)&gt;0,N(I121)&gt;0),I121-F121-IF(N(G121)&gt;0,0.5,0)-IF(N(H121)&gt;0,0.5,0),0)</f>
        <v/>
      </c>
      <c r="K121" s="5" t="n"/>
      <c r="L121" s="7">
        <f>MIN(J121,10.0)</f>
        <v/>
      </c>
      <c r="M121" s="7">
        <f>MAX(0,MIN(J121,12)-10.0)</f>
        <v/>
      </c>
      <c r="N121" s="7">
        <f>MAX(0,J121-12)</f>
        <v/>
      </c>
      <c r="O121" s="5" t="n"/>
      <c r="P121" s="6">
        <f>E121*(L121+M121*1.5+N121*2+O121*3+N(K121))</f>
        <v/>
      </c>
      <c r="Q121" s="5" t="n"/>
      <c r="R121" s="6">
        <f>Q121-P121</f>
        <v/>
      </c>
    </row>
    <row r="122">
      <c r="P122" s="2" t="inlineStr">
        <is>
          <t>FIRSTAIDLABOR LABOR</t>
        </is>
      </c>
      <c r="R122" s="8">
        <f>SUM(R121:R121)</f>
        <v/>
      </c>
    </row>
    <row r="124">
      <c r="B124" s="2" t="inlineStr">
        <is>
          <t>KEYGRIP</t>
        </is>
      </c>
    </row>
    <row r="125">
      <c r="A125" s="5" t="inlineStr">
        <is>
          <t>2501</t>
        </is>
      </c>
      <c r="B125" s="5" t="inlineStr">
        <is>
          <t>Pat O'Mara</t>
        </is>
      </c>
      <c r="C125" s="5" t="inlineStr">
        <is>
          <t>KEYGRIP</t>
        </is>
      </c>
      <c r="D125" s="5" t="inlineStr">
        <is>
          <t>Local80</t>
        </is>
      </c>
      <c r="E125" s="6" t="n">
        <v>25.5</v>
      </c>
      <c r="F125" s="5" t="n"/>
      <c r="G125" s="5" t="n"/>
      <c r="H125" s="5" t="n"/>
      <c r="I125" s="5" t="n"/>
      <c r="J125" s="7">
        <f>IF(AND(N(F125)&gt;0,N(I125)&gt;0),I125-F125-IF(N(G125)&gt;0,0.5,0)-IF(N(H125)&gt;0,0.5,0),0)</f>
        <v/>
      </c>
      <c r="K125" s="5" t="n"/>
      <c r="L125" s="7">
        <f>MIN(J125,10.0)</f>
        <v/>
      </c>
      <c r="M125" s="7">
        <f>MAX(0,MIN(J125,12)-10.0)</f>
        <v/>
      </c>
      <c r="N125" s="7">
        <f>MAX(0,J125-12)</f>
        <v/>
      </c>
      <c r="O125" s="5" t="n"/>
      <c r="P125" s="6">
        <f>E125*(L125+M125*1.5+N125*2+O125*3+N(K125))</f>
        <v/>
      </c>
      <c r="Q125" s="6" t="n">
        <v>395.25</v>
      </c>
      <c r="R125" s="6">
        <f>Q125-P125</f>
        <v/>
      </c>
    </row>
    <row r="126">
      <c r="P126" s="2" t="inlineStr">
        <is>
          <t>KEYGRIP LABOR</t>
        </is>
      </c>
      <c r="R126" s="8">
        <f>SUM(R125:R125)</f>
        <v/>
      </c>
    </row>
    <row r="128">
      <c r="B128" s="2" t="inlineStr">
        <is>
          <t>BESTBOYGRIP</t>
        </is>
      </c>
    </row>
    <row r="129">
      <c r="A129" s="5" t="inlineStr">
        <is>
          <t>2502</t>
        </is>
      </c>
      <c r="B129" s="5" t="inlineStr">
        <is>
          <t>Aaron Fairley</t>
        </is>
      </c>
      <c r="C129" s="5" t="inlineStr">
        <is>
          <t>BESTBOYGRIP</t>
        </is>
      </c>
      <c r="D129" s="5" t="inlineStr">
        <is>
          <t>Local80</t>
        </is>
      </c>
      <c r="E129" s="6" t="n">
        <v>23.04</v>
      </c>
      <c r="F129" s="5" t="n"/>
      <c r="G129" s="5" t="n"/>
      <c r="H129" s="5" t="n"/>
      <c r="I129" s="5" t="n"/>
      <c r="J129" s="7">
        <f>IF(AND(N(F129)&gt;0,N(I129)&gt;0),I129-F129-IF(N(G129)&gt;0,0.5,0)-IF(N(H129)&gt;0,0.5,0),0)</f>
        <v/>
      </c>
      <c r="K129" s="5" t="n"/>
      <c r="L129" s="7">
        <f>MIN(J129,10.0)</f>
        <v/>
      </c>
      <c r="M129" s="7">
        <f>MAX(0,MIN(J129,12)-10.0)</f>
        <v/>
      </c>
      <c r="N129" s="7">
        <f>MAX(0,J129-12)</f>
        <v/>
      </c>
      <c r="O129" s="5" t="n"/>
      <c r="P129" s="6">
        <f>E129*(L129+M129*1.5+N129*2+O129*3+N(K129))</f>
        <v/>
      </c>
      <c r="Q129" s="6" t="n">
        <v>357.12</v>
      </c>
      <c r="R129" s="6">
        <f>Q129-P129</f>
        <v/>
      </c>
    </row>
    <row r="130">
      <c r="A130" s="5" t="inlineStr">
        <is>
          <t>2502</t>
        </is>
      </c>
      <c r="B130" s="5" t="inlineStr"/>
      <c r="C130" s="5" t="inlineStr">
        <is>
          <t>STUDIOBESTBOYGRIP</t>
        </is>
      </c>
      <c r="D130" s="5" t="inlineStr">
        <is>
          <t>Local80</t>
        </is>
      </c>
      <c r="E130" s="6" t="n">
        <v>43.05</v>
      </c>
      <c r="F130" s="5" t="n"/>
      <c r="G130" s="5" t="n"/>
      <c r="H130" s="5" t="n"/>
      <c r="I130" s="5" t="n"/>
      <c r="J130" s="7">
        <f>IF(AND(N(F130)&gt;0,N(I130)&gt;0),I130-F130-IF(N(G130)&gt;0,0.5,0)-IF(N(H130)&gt;0,0.5,0),0)</f>
        <v/>
      </c>
      <c r="K130" s="5" t="n"/>
      <c r="L130" s="7">
        <f>MIN(J130,10.0)</f>
        <v/>
      </c>
      <c r="M130" s="7">
        <f>MAX(0,MIN(J130,12)-10.0)</f>
        <v/>
      </c>
      <c r="N130" s="7">
        <f>MAX(0,J130-12)</f>
        <v/>
      </c>
      <c r="O130" s="5" t="n"/>
      <c r="P130" s="6">
        <f>E130*(L130+M130*1.5+N130*2+O130*3+N(K130))</f>
        <v/>
      </c>
      <c r="Q130" s="6" t="n">
        <v>667.27</v>
      </c>
      <c r="R130" s="6">
        <f>Q130-P130</f>
        <v/>
      </c>
    </row>
    <row r="131">
      <c r="P131" s="2" t="inlineStr">
        <is>
          <t>BESTBOYGRIP LABOR</t>
        </is>
      </c>
      <c r="R131" s="8">
        <f>SUM(R129:R130)</f>
        <v/>
      </c>
    </row>
    <row r="133">
      <c r="B133" s="2" t="inlineStr">
        <is>
          <t>DOLLYGRIP</t>
        </is>
      </c>
    </row>
    <row r="134">
      <c r="A134" s="5" t="inlineStr">
        <is>
          <t>2503</t>
        </is>
      </c>
      <c r="B134" s="5" t="inlineStr">
        <is>
          <t>Peter Weidenfeller</t>
        </is>
      </c>
      <c r="C134" s="5" t="inlineStr">
        <is>
          <t>"A"DOLLYGRIP</t>
        </is>
      </c>
      <c r="D134" s="5" t="inlineStr">
        <is>
          <t>Local80</t>
        </is>
      </c>
      <c r="E134" s="6" t="n">
        <v>23.04</v>
      </c>
      <c r="F134" s="5" t="n"/>
      <c r="G134" s="5" t="n"/>
      <c r="H134" s="5" t="n"/>
      <c r="I134" s="5" t="n"/>
      <c r="J134" s="7">
        <f>IF(AND(N(F134)&gt;0,N(I134)&gt;0),I134-F134-IF(N(G134)&gt;0,0.5,0)-IF(N(H134)&gt;0,0.5,0),0)</f>
        <v/>
      </c>
      <c r="K134" s="5" t="n"/>
      <c r="L134" s="7">
        <f>MIN(J134,10.0)</f>
        <v/>
      </c>
      <c r="M134" s="7">
        <f>MAX(0,MIN(J134,12)-10.0)</f>
        <v/>
      </c>
      <c r="N134" s="7">
        <f>MAX(0,J134-12)</f>
        <v/>
      </c>
      <c r="O134" s="5" t="n"/>
      <c r="P134" s="6">
        <f>E134*(L134+M134*1.5+N134*2+O134*3+N(K134))</f>
        <v/>
      </c>
      <c r="Q134" s="6" t="n">
        <v>357.12</v>
      </c>
      <c r="R134" s="6">
        <f>Q134-P134</f>
        <v/>
      </c>
    </row>
    <row r="135">
      <c r="P135" s="2" t="inlineStr">
        <is>
          <t>DOLLYGRIP LABOR</t>
        </is>
      </c>
      <c r="R135" s="8">
        <f>SUM(R134:R134)</f>
        <v/>
      </c>
    </row>
    <row r="137">
      <c r="B137" s="2" t="inlineStr">
        <is>
          <t>CRANEGRIPS</t>
        </is>
      </c>
    </row>
    <row r="138">
      <c r="A138" s="5" t="inlineStr">
        <is>
          <t>2504</t>
        </is>
      </c>
      <c r="B138" s="5" t="inlineStr"/>
      <c r="C138" s="5" t="inlineStr">
        <is>
          <t>CRANEOPERATOR</t>
        </is>
      </c>
      <c r="D138" s="5" t="inlineStr">
        <is>
          <t>Local80</t>
        </is>
      </c>
      <c r="E138" s="6" t="n">
        <v>792</v>
      </c>
      <c r="F138" s="5" t="n"/>
      <c r="G138" s="5" t="n"/>
      <c r="H138" s="5" t="n"/>
      <c r="I138" s="5" t="n"/>
      <c r="J138" s="7">
        <f>IF(AND(N(F138)&gt;0,N(I138)&gt;0),I138-F138-IF(N(G138)&gt;0,0.5,0)-IF(N(H138)&gt;0,0.5,0),0)</f>
        <v/>
      </c>
      <c r="K138" s="5" t="n"/>
      <c r="L138" s="7">
        <f>MIN(J138,10.0)</f>
        <v/>
      </c>
      <c r="M138" s="7">
        <f>MAX(0,MIN(J138,12)-10.0)</f>
        <v/>
      </c>
      <c r="N138" s="7">
        <f>MAX(0,J138-12)</f>
        <v/>
      </c>
      <c r="O138" s="5" t="n"/>
      <c r="P138" s="6">
        <f>E138*(L138+M138*1.5+N138*2+O138*3+N(K138))</f>
        <v/>
      </c>
      <c r="Q138" s="6" t="n">
        <v>924</v>
      </c>
      <c r="R138" s="6">
        <f>Q138-P138</f>
        <v/>
      </c>
    </row>
    <row r="139">
      <c r="A139" s="5" t="inlineStr">
        <is>
          <t>2504</t>
        </is>
      </c>
      <c r="B139" s="5" t="inlineStr"/>
      <c r="C139" s="5" t="inlineStr">
        <is>
          <t>CRANEASSISTANT</t>
        </is>
      </c>
      <c r="D139" s="5" t="inlineStr">
        <is>
          <t>Local80</t>
        </is>
      </c>
      <c r="E139" s="6" t="n">
        <v>660</v>
      </c>
      <c r="F139" s="5" t="n"/>
      <c r="G139" s="5" t="n"/>
      <c r="H139" s="5" t="n"/>
      <c r="I139" s="5" t="n"/>
      <c r="J139" s="7">
        <f>IF(AND(N(F139)&gt;0,N(I139)&gt;0),I139-F139-IF(N(G139)&gt;0,0.5,0)-IF(N(H139)&gt;0,0.5,0),0)</f>
        <v/>
      </c>
      <c r="K139" s="5" t="n"/>
      <c r="L139" s="7">
        <f>MIN(J139,10.0)</f>
        <v/>
      </c>
      <c r="M139" s="7">
        <f>MAX(0,MIN(J139,12)-10.0)</f>
        <v/>
      </c>
      <c r="N139" s="7">
        <f>MAX(0,J139-12)</f>
        <v/>
      </c>
      <c r="O139" s="5" t="n"/>
      <c r="P139" s="6">
        <f>E139*(L139+M139*1.5+N139*2+O139*3+N(K139))</f>
        <v/>
      </c>
      <c r="Q139" s="6" t="n">
        <v>770</v>
      </c>
      <c r="R139" s="6">
        <f>Q139-P139</f>
        <v/>
      </c>
    </row>
    <row r="140">
      <c r="P140" s="2" t="inlineStr">
        <is>
          <t>CRANEGRIPS LABOR</t>
        </is>
      </c>
      <c r="R140" s="8">
        <f>SUM(R138:R139)</f>
        <v/>
      </c>
    </row>
    <row r="142">
      <c r="B142" s="2" t="inlineStr">
        <is>
          <t>COMPANYGRIPS</t>
        </is>
      </c>
    </row>
    <row r="143">
      <c r="A143" s="5" t="inlineStr">
        <is>
          <t>2505</t>
        </is>
      </c>
      <c r="B143" s="5" t="inlineStr"/>
      <c r="C143" s="5" t="inlineStr">
        <is>
          <t>GRIP#1</t>
        </is>
      </c>
      <c r="D143" s="5" t="inlineStr">
        <is>
          <t>Local80</t>
        </is>
      </c>
      <c r="E143" s="6" t="n">
        <v>20.57</v>
      </c>
      <c r="F143" s="5" t="n"/>
      <c r="G143" s="5" t="n"/>
      <c r="H143" s="5" t="n"/>
      <c r="I143" s="5" t="n"/>
      <c r="J143" s="7">
        <f>IF(AND(N(F143)&gt;0,N(I143)&gt;0),I143-F143-IF(N(G143)&gt;0,0.5,0)-IF(N(H143)&gt;0,0.5,0),0)</f>
        <v/>
      </c>
      <c r="K143" s="5" t="n"/>
      <c r="L143" s="7">
        <f>MIN(J143,10.0)</f>
        <v/>
      </c>
      <c r="M143" s="7">
        <f>MAX(0,MIN(J143,12)-10.0)</f>
        <v/>
      </c>
      <c r="N143" s="7">
        <f>MAX(0,J143-12)</f>
        <v/>
      </c>
      <c r="O143" s="5" t="n"/>
      <c r="P143" s="6">
        <f>E143*(L143+M143*1.5+N143*2+O143*3+N(K143))</f>
        <v/>
      </c>
      <c r="Q143" s="6" t="n">
        <v>318.83</v>
      </c>
      <c r="R143" s="6">
        <f>Q143-P143</f>
        <v/>
      </c>
    </row>
    <row r="144">
      <c r="A144" s="5" t="inlineStr">
        <is>
          <t>2505</t>
        </is>
      </c>
      <c r="B144" s="5" t="inlineStr"/>
      <c r="C144" s="5" t="inlineStr">
        <is>
          <t>GRIP#2</t>
        </is>
      </c>
      <c r="D144" s="5" t="inlineStr">
        <is>
          <t>Local80</t>
        </is>
      </c>
      <c r="E144" s="6" t="n">
        <v>20.57</v>
      </c>
      <c r="F144" s="5" t="n"/>
      <c r="G144" s="5" t="n"/>
      <c r="H144" s="5" t="n"/>
      <c r="I144" s="5" t="n"/>
      <c r="J144" s="7">
        <f>IF(AND(N(F144)&gt;0,N(I144)&gt;0),I144-F144-IF(N(G144)&gt;0,0.5,0)-IF(N(H144)&gt;0,0.5,0),0)</f>
        <v/>
      </c>
      <c r="K144" s="5" t="n"/>
      <c r="L144" s="7">
        <f>MIN(J144,10.0)</f>
        <v/>
      </c>
      <c r="M144" s="7">
        <f>MAX(0,MIN(J144,12)-10.0)</f>
        <v/>
      </c>
      <c r="N144" s="7">
        <f>MAX(0,J144-12)</f>
        <v/>
      </c>
      <c r="O144" s="5" t="n"/>
      <c r="P144" s="6">
        <f>E144*(L144+M144*1.5+N144*2+O144*3+N(K144))</f>
        <v/>
      </c>
      <c r="Q144" s="6" t="n">
        <v>318.83</v>
      </c>
      <c r="R144" s="6">
        <f>Q144-P144</f>
        <v/>
      </c>
    </row>
    <row r="145">
      <c r="A145" s="5" t="inlineStr">
        <is>
          <t>2505</t>
        </is>
      </c>
      <c r="B145" s="5" t="inlineStr"/>
      <c r="C145" s="5" t="inlineStr">
        <is>
          <t>GRIP#3</t>
        </is>
      </c>
      <c r="D145" s="5" t="inlineStr">
        <is>
          <t>Local80</t>
        </is>
      </c>
      <c r="E145" s="6" t="n">
        <v>20.57</v>
      </c>
      <c r="F145" s="5" t="n"/>
      <c r="G145" s="5" t="n"/>
      <c r="H145" s="5" t="n"/>
      <c r="I145" s="5" t="n"/>
      <c r="J145" s="7">
        <f>IF(AND(N(F145)&gt;0,N(I145)&gt;0),I145-F145-IF(N(G145)&gt;0,0.5,0)-IF(N(H145)&gt;0,0.5,0),0)</f>
        <v/>
      </c>
      <c r="K145" s="5" t="n"/>
      <c r="L145" s="7">
        <f>MIN(J145,10.0)</f>
        <v/>
      </c>
      <c r="M145" s="7">
        <f>MAX(0,MIN(J145,12)-10.0)</f>
        <v/>
      </c>
      <c r="N145" s="7">
        <f>MAX(0,J145-12)</f>
        <v/>
      </c>
      <c r="O145" s="5" t="n"/>
      <c r="P145" s="6">
        <f>E145*(L145+M145*1.5+N145*2+O145*3+N(K145))</f>
        <v/>
      </c>
      <c r="Q145" s="6" t="n">
        <v>318.83</v>
      </c>
      <c r="R145" s="6">
        <f>Q145-P145</f>
        <v/>
      </c>
    </row>
    <row r="146">
      <c r="P146" s="2" t="inlineStr">
        <is>
          <t>COMPANYGRIPS LABOR</t>
        </is>
      </c>
      <c r="R146" s="8">
        <f>SUM(R143:R145)</f>
        <v/>
      </c>
    </row>
    <row r="148">
      <c r="B148" s="2" t="inlineStr">
        <is>
          <t>OTHERLABOR</t>
        </is>
      </c>
    </row>
    <row r="149">
      <c r="A149" s="5" t="inlineStr">
        <is>
          <t>2506</t>
        </is>
      </c>
      <c r="B149" s="5" t="inlineStr"/>
      <c r="C149" s="5" t="inlineStr">
        <is>
          <t>GRIPMANDAYS&amp;RIGGINGMANDAYS</t>
        </is>
      </c>
      <c r="D149" s="5" t="inlineStr">
        <is>
          <t>Local80</t>
        </is>
      </c>
      <c r="E149" s="6" t="n">
        <v>20.57</v>
      </c>
      <c r="F149" s="5" t="n"/>
      <c r="G149" s="5" t="n"/>
      <c r="H149" s="5" t="n"/>
      <c r="I149" s="5" t="n"/>
      <c r="J149" s="7">
        <f>IF(AND(N(F149)&gt;0,N(I149)&gt;0),I149-F149-IF(N(G149)&gt;0,0.5,0)-IF(N(H149)&gt;0,0.5,0),0)</f>
        <v/>
      </c>
      <c r="K149" s="5" t="n"/>
      <c r="L149" s="7">
        <f>MIN(J149,10.0)</f>
        <v/>
      </c>
      <c r="M149" s="7">
        <f>MAX(0,MIN(J149,12)-10.0)</f>
        <v/>
      </c>
      <c r="N149" s="7">
        <f>MAX(0,J149-12)</f>
        <v/>
      </c>
      <c r="O149" s="5" t="n"/>
      <c r="P149" s="6">
        <f>E149*(L149+M149*1.5+N149*2+O149*3+N(K149))</f>
        <v/>
      </c>
      <c r="Q149" s="6" t="n">
        <v>318.83</v>
      </c>
      <c r="R149" s="6">
        <f>Q149-P149</f>
        <v/>
      </c>
    </row>
    <row r="150">
      <c r="P150" s="2" t="inlineStr">
        <is>
          <t>OTHERLABOR LABOR</t>
        </is>
      </c>
      <c r="R150" s="8">
        <f>SUM(R149:R149)</f>
        <v/>
      </c>
    </row>
    <row r="152">
      <c r="B152" s="2" t="inlineStr">
        <is>
          <t>STANDBYLABOR</t>
        </is>
      </c>
    </row>
    <row r="153">
      <c r="A153" s="5" t="inlineStr">
        <is>
          <t>2510</t>
        </is>
      </c>
      <c r="B153" s="5" t="inlineStr"/>
      <c r="C153" s="5" t="inlineStr">
        <is>
          <t>LAYOUTBOARD</t>
        </is>
      </c>
      <c r="D153" s="5" t="inlineStr">
        <is>
          <t>Local729</t>
        </is>
      </c>
      <c r="E153" s="6" t="n">
        <v>25.5</v>
      </c>
      <c r="F153" s="5" t="n"/>
      <c r="G153" s="5" t="n"/>
      <c r="H153" s="5" t="n"/>
      <c r="I153" s="5" t="n"/>
      <c r="J153" s="7">
        <f>IF(AND(N(F153)&gt;0,N(I153)&gt;0),I153-F153-IF(N(G153)&gt;0,0.5,0)-IF(N(H153)&gt;0,0.5,0),0)</f>
        <v/>
      </c>
      <c r="K153" s="5" t="n"/>
      <c r="L153" s="7">
        <f>MIN(J153,10.0)</f>
        <v/>
      </c>
      <c r="M153" s="7">
        <f>MAX(0,MIN(J153,12)-10.0)</f>
        <v/>
      </c>
      <c r="N153" s="7">
        <f>MAX(0,J153-12)</f>
        <v/>
      </c>
      <c r="O153" s="5" t="n"/>
      <c r="P153" s="6">
        <f>E153*(L153+M153*1.5+N153*2+O153*3+N(K153))</f>
        <v/>
      </c>
      <c r="Q153" s="6" t="n">
        <v>395.25</v>
      </c>
      <c r="R153" s="6">
        <f>Q153-P153</f>
        <v/>
      </c>
    </row>
    <row r="154">
      <c r="P154" s="2" t="inlineStr">
        <is>
          <t>STANDBYLABOR LABOR</t>
        </is>
      </c>
      <c r="R154" s="8">
        <f>SUM(R153:R153)</f>
        <v/>
      </c>
    </row>
    <row r="156">
      <c r="B156" s="2" t="inlineStr">
        <is>
          <t>SETCRAFTSERVICELABOR</t>
        </is>
      </c>
    </row>
    <row r="157">
      <c r="A157" s="5" t="inlineStr">
        <is>
          <t>2511</t>
        </is>
      </c>
      <c r="B157" s="5" t="inlineStr">
        <is>
          <t>Maurico Solis</t>
        </is>
      </c>
      <c r="C157" s="5" t="inlineStr">
        <is>
          <t>KEYCRAFTSERVICE</t>
        </is>
      </c>
      <c r="D157" s="5" t="inlineStr">
        <is>
          <t>Local80</t>
        </is>
      </c>
      <c r="E157" s="6" t="n">
        <v>25.5</v>
      </c>
      <c r="F157" s="5" t="n"/>
      <c r="G157" s="5" t="n"/>
      <c r="H157" s="5" t="n"/>
      <c r="I157" s="5" t="n"/>
      <c r="J157" s="7">
        <f>IF(AND(N(F157)&gt;0,N(I157)&gt;0),I157-F157-IF(N(G157)&gt;0,0.5,0)-IF(N(H157)&gt;0,0.5,0),0)</f>
        <v/>
      </c>
      <c r="K157" s="5" t="n"/>
      <c r="L157" s="7">
        <f>MIN(J157,10.0)</f>
        <v/>
      </c>
      <c r="M157" s="7">
        <f>MAX(0,MIN(J157,12)-10.0)</f>
        <v/>
      </c>
      <c r="N157" s="7">
        <f>MAX(0,J157-12)</f>
        <v/>
      </c>
      <c r="O157" s="5" t="n"/>
      <c r="P157" s="6">
        <f>E157*(L157+M157*1.5+N157*2+O157*3+N(K157))</f>
        <v/>
      </c>
      <c r="Q157" s="6" t="n">
        <v>439.87</v>
      </c>
      <c r="R157" s="6">
        <f>Q157-P157</f>
        <v/>
      </c>
    </row>
    <row r="158">
      <c r="A158" s="5" t="inlineStr">
        <is>
          <t>2511</t>
        </is>
      </c>
      <c r="B158" s="5" t="inlineStr"/>
      <c r="C158" s="5" t="inlineStr">
        <is>
          <t>ASSTCRAFTSERVICE</t>
        </is>
      </c>
      <c r="D158" s="5" t="inlineStr">
        <is>
          <t>Local80</t>
        </is>
      </c>
      <c r="E158" s="6" t="n">
        <v>23.04</v>
      </c>
      <c r="F158" s="5" t="n"/>
      <c r="G158" s="5" t="n"/>
      <c r="H158" s="5" t="n"/>
      <c r="I158" s="5" t="n"/>
      <c r="J158" s="7">
        <f>IF(AND(N(F158)&gt;0,N(I158)&gt;0),I158-F158-IF(N(G158)&gt;0,0.5,0)-IF(N(H158)&gt;0,0.5,0),0)</f>
        <v/>
      </c>
      <c r="K158" s="5" t="n"/>
      <c r="L158" s="7">
        <f>MIN(J158,10.0)</f>
        <v/>
      </c>
      <c r="M158" s="7">
        <f>MAX(0,MIN(J158,12)-10.0)</f>
        <v/>
      </c>
      <c r="N158" s="7">
        <f>MAX(0,J158-12)</f>
        <v/>
      </c>
      <c r="O158" s="5" t="n"/>
      <c r="P158" s="6">
        <f>E158*(L158+M158*1.5+N158*2+O158*3+N(K158))</f>
        <v/>
      </c>
      <c r="Q158" s="6" t="n">
        <v>397.43</v>
      </c>
      <c r="R158" s="6">
        <f>Q158-P158</f>
        <v/>
      </c>
    </row>
    <row r="159">
      <c r="P159" s="2" t="inlineStr">
        <is>
          <t>SETCRAFTSERVICELABOR LABOR</t>
        </is>
      </c>
      <c r="R159" s="8">
        <f>SUM(R157:R158)</f>
        <v/>
      </c>
    </row>
    <row r="161">
      <c r="B161" s="2" t="inlineStr">
        <is>
          <t>SETFIRSTAIDLABOR</t>
        </is>
      </c>
    </row>
    <row r="162">
      <c r="A162" s="5" t="inlineStr">
        <is>
          <t>2514</t>
        </is>
      </c>
      <c r="B162" s="5" t="inlineStr">
        <is>
          <t>Robert Hill</t>
        </is>
      </c>
      <c r="C162" s="5" t="inlineStr">
        <is>
          <t>SETMEDIC</t>
        </is>
      </c>
      <c r="D162" s="5" t="inlineStr">
        <is>
          <t>Local80</t>
        </is>
      </c>
      <c r="E162" s="6" t="n">
        <v>23.04</v>
      </c>
      <c r="F162" s="5" t="n"/>
      <c r="G162" s="5" t="n"/>
      <c r="H162" s="5" t="n"/>
      <c r="I162" s="5" t="n"/>
      <c r="J162" s="7">
        <f>IF(AND(N(F162)&gt;0,N(I162)&gt;0),I162-F162-IF(N(G162)&gt;0,0.5,0)-IF(N(H162)&gt;0,0.5,0),0)</f>
        <v/>
      </c>
      <c r="K162" s="5" t="n"/>
      <c r="L162" s="7">
        <f>MIN(J162,10.0)</f>
        <v/>
      </c>
      <c r="M162" s="7">
        <f>MAX(0,MIN(J162,12)-10.0)</f>
        <v/>
      </c>
      <c r="N162" s="7">
        <f>MAX(0,J162-12)</f>
        <v/>
      </c>
      <c r="O162" s="5" t="n"/>
      <c r="P162" s="6">
        <f>E162*(L162+M162*1.5+N162*2+O162*3+N(K162))</f>
        <v/>
      </c>
      <c r="Q162" s="6" t="n">
        <v>397.43</v>
      </c>
      <c r="R162" s="6">
        <f>Q162-P162</f>
        <v/>
      </c>
    </row>
    <row r="163">
      <c r="A163" s="5" t="inlineStr">
        <is>
          <t>2514</t>
        </is>
      </c>
      <c r="B163" s="5" t="inlineStr"/>
      <c r="C163" s="5" t="inlineStr">
        <is>
          <t>RIGGINGMEDICMANDAYS</t>
        </is>
      </c>
      <c r="D163" s="5" t="inlineStr">
        <is>
          <t>Local80</t>
        </is>
      </c>
      <c r="E163" s="6" t="n">
        <v>23.04</v>
      </c>
      <c r="F163" s="5" t="n"/>
      <c r="G163" s="5" t="n"/>
      <c r="H163" s="5" t="n"/>
      <c r="I163" s="5" t="n"/>
      <c r="J163" s="7">
        <f>IF(AND(N(F163)&gt;0,N(I163)&gt;0),I163-F163-IF(N(G163)&gt;0,0.5,0)-IF(N(H163)&gt;0,0.5,0),0)</f>
        <v/>
      </c>
      <c r="K163" s="5" t="n"/>
      <c r="L163" s="7">
        <f>MIN(J163,10.0)</f>
        <v/>
      </c>
      <c r="M163" s="7">
        <f>MAX(0,MIN(J163,12)-10.0)</f>
        <v/>
      </c>
      <c r="N163" s="7">
        <f>MAX(0,J163-12)</f>
        <v/>
      </c>
      <c r="O163" s="5" t="n"/>
      <c r="P163" s="6">
        <f>E163*(L163+M163*1.5+N163*2+O163*3+N(K163))</f>
        <v/>
      </c>
      <c r="Q163" s="5" t="n"/>
      <c r="R163" s="6">
        <f>Q163-P163</f>
        <v/>
      </c>
    </row>
    <row r="164">
      <c r="P164" s="2" t="inlineStr">
        <is>
          <t>SETFIRSTAIDLABOR LABOR</t>
        </is>
      </c>
      <c r="R164" s="8">
        <f>SUM(R162:R163)</f>
        <v/>
      </c>
    </row>
    <row r="166">
      <c r="B166" s="2" t="inlineStr">
        <is>
          <t>SFXCOORDINATOR</t>
        </is>
      </c>
    </row>
    <row r="167">
      <c r="A167" s="5" t="inlineStr">
        <is>
          <t>2601</t>
        </is>
      </c>
      <c r="B167" s="5" t="inlineStr">
        <is>
          <t>Zak Knight</t>
        </is>
      </c>
      <c r="C167" s="5" t="inlineStr">
        <is>
          <t>SPFXCOORDINATOR</t>
        </is>
      </c>
      <c r="D167" s="5" t="inlineStr">
        <is>
          <t>Local44</t>
        </is>
      </c>
      <c r="E167" s="6" t="n">
        <v>42</v>
      </c>
      <c r="F167" s="5" t="n"/>
      <c r="G167" s="5" t="n"/>
      <c r="H167" s="5" t="n"/>
      <c r="I167" s="5" t="n"/>
      <c r="J167" s="7">
        <f>IF(AND(N(F167)&gt;0,N(I167)&gt;0),I167-F167-IF(N(G167)&gt;0,0.5,0)-IF(N(H167)&gt;0,0.5,0),0)</f>
        <v/>
      </c>
      <c r="K167" s="5" t="n"/>
      <c r="L167" s="7">
        <f>MIN(J167,10.0)</f>
        <v/>
      </c>
      <c r="M167" s="7">
        <f>MAX(0,MIN(J167,12)-10.0)</f>
        <v/>
      </c>
      <c r="N167" s="7">
        <f>MAX(0,J167-12)</f>
        <v/>
      </c>
      <c r="O167" s="5" t="n"/>
      <c r="P167" s="6">
        <f>E167*(L167+M167*1.5+N167*2+O167*3+N(K167))</f>
        <v/>
      </c>
      <c r="Q167" s="6" t="n">
        <v>651</v>
      </c>
      <c r="R167" s="6">
        <f>Q167-P167</f>
        <v/>
      </c>
    </row>
    <row r="168">
      <c r="P168" s="2" t="inlineStr">
        <is>
          <t>SFXCOORDINATOR LABOR</t>
        </is>
      </c>
      <c r="R168" s="8">
        <f>SUM(R167:R167)</f>
        <v/>
      </c>
    </row>
    <row r="170">
      <c r="B170" s="2" t="inlineStr">
        <is>
          <t>SFXTECHMANDAYS</t>
        </is>
      </c>
    </row>
    <row r="171">
      <c r="A171" s="5" t="inlineStr">
        <is>
          <t>2609</t>
        </is>
      </c>
      <c r="B171" s="5" t="inlineStr"/>
      <c r="C171" s="5" t="inlineStr">
        <is>
          <t>SPFXTECHMANDAYS</t>
        </is>
      </c>
      <c r="D171" s="5" t="inlineStr">
        <is>
          <t>Local44</t>
        </is>
      </c>
      <c r="E171" s="6" t="n">
        <v>40</v>
      </c>
      <c r="F171" s="5" t="n"/>
      <c r="G171" s="5" t="n"/>
      <c r="H171" s="5" t="n"/>
      <c r="I171" s="5" t="n"/>
      <c r="J171" s="7">
        <f>IF(AND(N(F171)&gt;0,N(I171)&gt;0),I171-F171-IF(N(G171)&gt;0,0.5,0)-IF(N(H171)&gt;0,0.5,0),0)</f>
        <v/>
      </c>
      <c r="K171" s="5" t="n"/>
      <c r="L171" s="7">
        <f>MIN(J171,10.0)</f>
        <v/>
      </c>
      <c r="M171" s="7">
        <f>MAX(0,MIN(J171,12)-10.0)</f>
        <v/>
      </c>
      <c r="N171" s="7">
        <f>MAX(0,J171-12)</f>
        <v/>
      </c>
      <c r="O171" s="5" t="n"/>
      <c r="P171" s="6">
        <f>E171*(L171+M171*1.5+N171*2+O171*3+N(K171))</f>
        <v/>
      </c>
      <c r="Q171" s="6" t="n">
        <v>620</v>
      </c>
      <c r="R171" s="6">
        <f>Q171-P171</f>
        <v/>
      </c>
    </row>
    <row r="172">
      <c r="A172" s="5" t="inlineStr">
        <is>
          <t>2609</t>
        </is>
      </c>
      <c r="B172" s="5" t="inlineStr"/>
      <c r="C172" s="5" t="inlineStr">
        <is>
          <t>SPFXASSISTANTMANDAYS</t>
        </is>
      </c>
      <c r="D172" s="5" t="inlineStr">
        <is>
          <t>Local44</t>
        </is>
      </c>
      <c r="E172" s="6" t="n">
        <v>25.5</v>
      </c>
      <c r="F172" s="5" t="n"/>
      <c r="G172" s="5" t="n"/>
      <c r="H172" s="5" t="n"/>
      <c r="I172" s="5" t="n"/>
      <c r="J172" s="7">
        <f>IF(AND(N(F172)&gt;0,N(I172)&gt;0),I172-F172-IF(N(G172)&gt;0,0.5,0)-IF(N(H172)&gt;0,0.5,0),0)</f>
        <v/>
      </c>
      <c r="K172" s="5" t="n"/>
      <c r="L172" s="7">
        <f>MIN(J172,10.0)</f>
        <v/>
      </c>
      <c r="M172" s="7">
        <f>MAX(0,MIN(J172,12)-10.0)</f>
        <v/>
      </c>
      <c r="N172" s="7">
        <f>MAX(0,J172-12)</f>
        <v/>
      </c>
      <c r="O172" s="5" t="n"/>
      <c r="P172" s="6">
        <f>E172*(L172+M172*1.5+N172*2+O172*3+N(K172))</f>
        <v/>
      </c>
      <c r="Q172" s="6" t="n">
        <v>395.25</v>
      </c>
      <c r="R172" s="6">
        <f>Q172-P172</f>
        <v/>
      </c>
    </row>
    <row r="173">
      <c r="A173" s="5" t="inlineStr">
        <is>
          <t>2609</t>
        </is>
      </c>
      <c r="B173" s="5" t="inlineStr"/>
      <c r="C173" s="5" t="inlineStr">
        <is>
          <t>PYROMANDAYS</t>
        </is>
      </c>
      <c r="D173" s="5" t="inlineStr">
        <is>
          <t>Local44</t>
        </is>
      </c>
      <c r="E173" s="6" t="n">
        <v>68.18000000000001</v>
      </c>
      <c r="F173" s="5" t="n"/>
      <c r="G173" s="5" t="n"/>
      <c r="H173" s="5" t="n"/>
      <c r="I173" s="5" t="n"/>
      <c r="J173" s="7">
        <f>IF(AND(N(F173)&gt;0,N(I173)&gt;0),I173-F173-IF(N(G173)&gt;0,0.5,0)-IF(N(H173)&gt;0,0.5,0),0)</f>
        <v/>
      </c>
      <c r="K173" s="5" t="n"/>
      <c r="L173" s="7">
        <f>MIN(J173,10.0)</f>
        <v/>
      </c>
      <c r="M173" s="7">
        <f>MAX(0,MIN(J173,12)-10.0)</f>
        <v/>
      </c>
      <c r="N173" s="7">
        <f>MAX(0,J173-12)</f>
        <v/>
      </c>
      <c r="O173" s="5" t="n"/>
      <c r="P173" s="6">
        <f>E173*(L173+M173*1.5+N173*2+O173*3+N(K173))</f>
        <v/>
      </c>
      <c r="Q173" s="6" t="n">
        <v>749.98</v>
      </c>
      <c r="R173" s="6">
        <f>Q173-P173</f>
        <v/>
      </c>
    </row>
    <row r="174">
      <c r="P174" s="2" t="inlineStr">
        <is>
          <t>SFXTECHMANDAYS LABOR</t>
        </is>
      </c>
      <c r="R174" s="8">
        <f>SUM(R171:R173)</f>
        <v/>
      </c>
    </row>
    <row r="176">
      <c r="B176" s="2" t="inlineStr">
        <is>
          <t>SETDECORATOR</t>
        </is>
      </c>
    </row>
    <row r="177">
      <c r="A177" s="5" t="inlineStr">
        <is>
          <t>2701</t>
        </is>
      </c>
      <c r="B177" s="5" t="inlineStr">
        <is>
          <t>Sandy Skora</t>
        </is>
      </c>
      <c r="C177" s="5" t="inlineStr">
        <is>
          <t>SETDECORATOR</t>
        </is>
      </c>
      <c r="D177" s="5" t="inlineStr">
        <is>
          <t>Local44</t>
        </is>
      </c>
      <c r="E177" s="6" t="n">
        <v>400</v>
      </c>
      <c r="F177" s="5" t="n"/>
      <c r="G177" s="5" t="n"/>
      <c r="H177" s="5" t="n"/>
      <c r="I177" s="5" t="n"/>
      <c r="J177" s="7">
        <f>IF(AND(N(F177)&gt;0,N(I177)&gt;0),I177-F177-IF(N(G177)&gt;0,0.5,0)-IF(N(H177)&gt;0,0.5,0),0)</f>
        <v/>
      </c>
      <c r="K177" s="5" t="n"/>
      <c r="L177" s="7">
        <f>MIN(J177,10.0)</f>
        <v/>
      </c>
      <c r="M177" s="7">
        <f>MAX(0,MIN(J177,12)-10.0)</f>
        <v/>
      </c>
      <c r="N177" s="7">
        <f>MAX(0,J177-12)</f>
        <v/>
      </c>
      <c r="O177" s="5" t="n"/>
      <c r="P177" s="6">
        <f>E177*(L177+M177*1.5+N177*2+O177*3+N(K177))</f>
        <v/>
      </c>
      <c r="Q177" s="6" t="n">
        <v>400</v>
      </c>
      <c r="R177" s="6">
        <f>Q177-P177</f>
        <v/>
      </c>
    </row>
    <row r="178">
      <c r="P178" s="2" t="inlineStr">
        <is>
          <t>SETDECORATOR LABOR</t>
        </is>
      </c>
      <c r="R178" s="8">
        <f>SUM(R177:R177)</f>
        <v/>
      </c>
    </row>
    <row r="180">
      <c r="B180" s="2" t="inlineStr">
        <is>
          <t>LEADPERSON</t>
        </is>
      </c>
    </row>
    <row r="181">
      <c r="A181" s="5" t="inlineStr">
        <is>
          <t>2702</t>
        </is>
      </c>
      <c r="B181" s="5" t="inlineStr">
        <is>
          <t>Josh Richmond</t>
        </is>
      </c>
      <c r="C181" s="5" t="inlineStr">
        <is>
          <t>LEADPERSON</t>
        </is>
      </c>
      <c r="D181" s="5" t="inlineStr">
        <is>
          <t>Local44</t>
        </is>
      </c>
      <c r="E181" s="6" t="n">
        <v>23.04</v>
      </c>
      <c r="F181" s="5" t="n"/>
      <c r="G181" s="5" t="n"/>
      <c r="H181" s="5" t="n"/>
      <c r="I181" s="5" t="n"/>
      <c r="J181" s="7">
        <f>IF(AND(N(F181)&gt;0,N(I181)&gt;0),I181-F181-IF(N(G181)&gt;0,0.5,0)-IF(N(H181)&gt;0,0.5,0),0)</f>
        <v/>
      </c>
      <c r="K181" s="5" t="n"/>
      <c r="L181" s="7">
        <f>MIN(J181,10.0)</f>
        <v/>
      </c>
      <c r="M181" s="7">
        <f>MAX(0,MIN(J181,12)-10.0)</f>
        <v/>
      </c>
      <c r="N181" s="7">
        <f>MAX(0,J181-12)</f>
        <v/>
      </c>
      <c r="O181" s="5" t="n"/>
      <c r="P181" s="6">
        <f>E181*(L181+M181*1.5+N181*2+O181*3+N(K181))</f>
        <v/>
      </c>
      <c r="Q181" s="6" t="n">
        <v>322.56</v>
      </c>
      <c r="R181" s="6">
        <f>Q181-P181</f>
        <v/>
      </c>
    </row>
    <row r="182">
      <c r="P182" s="2" t="inlineStr">
        <is>
          <t>LEADPERSON LABOR</t>
        </is>
      </c>
      <c r="R182" s="8">
        <f>SUM(R181:R181)</f>
        <v/>
      </c>
    </row>
    <row r="184">
      <c r="B184" s="2" t="inlineStr">
        <is>
          <t>SWINGLABOR</t>
        </is>
      </c>
    </row>
    <row r="185">
      <c r="A185" s="5" t="inlineStr">
        <is>
          <t>2703</t>
        </is>
      </c>
      <c r="B185" s="5" t="inlineStr">
        <is>
          <t>Tim Dodge</t>
        </is>
      </c>
      <c r="C185" s="5" t="inlineStr">
        <is>
          <t>SWING#1</t>
        </is>
      </c>
      <c r="D185" s="5" t="inlineStr">
        <is>
          <t>Local44</t>
        </is>
      </c>
      <c r="E185" s="6" t="n">
        <v>20.57</v>
      </c>
      <c r="F185" s="5" t="n"/>
      <c r="G185" s="5" t="n"/>
      <c r="H185" s="5" t="n"/>
      <c r="I185" s="5" t="n"/>
      <c r="J185" s="7">
        <f>IF(AND(N(F185)&gt;0,N(I185)&gt;0),I185-F185-IF(N(G185)&gt;0,0.5,0)-IF(N(H185)&gt;0,0.5,0),0)</f>
        <v/>
      </c>
      <c r="K185" s="5" t="n"/>
      <c r="L185" s="7">
        <f>MIN(J185,10.0)</f>
        <v/>
      </c>
      <c r="M185" s="7">
        <f>MAX(0,MIN(J185,12)-10.0)</f>
        <v/>
      </c>
      <c r="N185" s="7">
        <f>MAX(0,J185-12)</f>
        <v/>
      </c>
      <c r="O185" s="5" t="n"/>
      <c r="P185" s="6">
        <f>E185*(L185+M185*1.5+N185*2+O185*3+N(K185))</f>
        <v/>
      </c>
      <c r="Q185" s="6" t="n">
        <v>287.98</v>
      </c>
      <c r="R185" s="6">
        <f>Q185-P185</f>
        <v/>
      </c>
    </row>
    <row r="186">
      <c r="A186" s="5" t="inlineStr">
        <is>
          <t>2703</t>
        </is>
      </c>
      <c r="B186" s="5" t="inlineStr"/>
      <c r="C186" s="5" t="inlineStr">
        <is>
          <t>SWING#2</t>
        </is>
      </c>
      <c r="D186" s="5" t="inlineStr">
        <is>
          <t>Local44</t>
        </is>
      </c>
      <c r="E186" s="6" t="n">
        <v>20.57</v>
      </c>
      <c r="F186" s="5" t="n"/>
      <c r="G186" s="5" t="n"/>
      <c r="H186" s="5" t="n"/>
      <c r="I186" s="5" t="n"/>
      <c r="J186" s="7">
        <f>IF(AND(N(F186)&gt;0,N(I186)&gt;0),I186-F186-IF(N(G186)&gt;0,0.5,0)-IF(N(H186)&gt;0,0.5,0),0)</f>
        <v/>
      </c>
      <c r="K186" s="5" t="n"/>
      <c r="L186" s="7">
        <f>MIN(J186,10.0)</f>
        <v/>
      </c>
      <c r="M186" s="7">
        <f>MAX(0,MIN(J186,12)-10.0)</f>
        <v/>
      </c>
      <c r="N186" s="7">
        <f>MAX(0,J186-12)</f>
        <v/>
      </c>
      <c r="O186" s="5" t="n"/>
      <c r="P186" s="6">
        <f>E186*(L186+M186*1.5+N186*2+O186*3+N(K186))</f>
        <v/>
      </c>
      <c r="Q186" s="6" t="n">
        <v>287.98</v>
      </c>
      <c r="R186" s="6">
        <f>Q186-P186</f>
        <v/>
      </c>
    </row>
    <row r="187">
      <c r="A187" s="5" t="inlineStr">
        <is>
          <t>2703</t>
        </is>
      </c>
      <c r="B187" s="5" t="inlineStr"/>
      <c r="C187" s="5" t="inlineStr">
        <is>
          <t>ADDITIONALSWINGMANDAYS</t>
        </is>
      </c>
      <c r="D187" s="5" t="inlineStr">
        <is>
          <t>Local44</t>
        </is>
      </c>
      <c r="E187" s="6" t="n">
        <v>20.57</v>
      </c>
      <c r="F187" s="5" t="n"/>
      <c r="G187" s="5" t="n"/>
      <c r="H187" s="5" t="n"/>
      <c r="I187" s="5" t="n"/>
      <c r="J187" s="7">
        <f>IF(AND(N(F187)&gt;0,N(I187)&gt;0),I187-F187-IF(N(G187)&gt;0,0.5,0)-IF(N(H187)&gt;0,0.5,0),0)</f>
        <v/>
      </c>
      <c r="K187" s="5" t="n"/>
      <c r="L187" s="7">
        <f>MIN(J187,10.0)</f>
        <v/>
      </c>
      <c r="M187" s="7">
        <f>MAX(0,MIN(J187,12)-10.0)</f>
        <v/>
      </c>
      <c r="N187" s="7">
        <f>MAX(0,J187-12)</f>
        <v/>
      </c>
      <c r="O187" s="5" t="n"/>
      <c r="P187" s="6">
        <f>E187*(L187+M187*1.5+N187*2+O187*3+N(K187))</f>
        <v/>
      </c>
      <c r="Q187" s="6" t="n">
        <v>287.98</v>
      </c>
      <c r="R187" s="6">
        <f>Q187-P187</f>
        <v/>
      </c>
    </row>
    <row r="188">
      <c r="P188" s="2" t="inlineStr">
        <is>
          <t>SWINGLABOR LABOR</t>
        </is>
      </c>
      <c r="R188" s="8">
        <f>SUM(R185:R187)</f>
        <v/>
      </c>
    </row>
    <row r="190">
      <c r="B190" s="2" t="inlineStr">
        <is>
          <t>ON-SETDRESSER</t>
        </is>
      </c>
    </row>
    <row r="191">
      <c r="A191" s="5" t="inlineStr">
        <is>
          <t>2705</t>
        </is>
      </c>
      <c r="B191" s="5" t="inlineStr">
        <is>
          <t>Khamisi Thurman</t>
        </is>
      </c>
      <c r="C191" s="5" t="inlineStr">
        <is>
          <t>ON-SETDRESSER</t>
        </is>
      </c>
      <c r="D191" s="5" t="inlineStr">
        <is>
          <t>Local44</t>
        </is>
      </c>
      <c r="E191" s="6" t="n">
        <v>20.57</v>
      </c>
      <c r="F191" s="5" t="n"/>
      <c r="G191" s="5" t="n"/>
      <c r="H191" s="5" t="n"/>
      <c r="I191" s="5" t="n"/>
      <c r="J191" s="7">
        <f>IF(AND(N(F191)&gt;0,N(I191)&gt;0),I191-F191-IF(N(G191)&gt;0,0.5,0)-IF(N(H191)&gt;0,0.5,0),0)</f>
        <v/>
      </c>
      <c r="K191" s="5" t="n"/>
      <c r="L191" s="7">
        <f>MIN(J191,10.0)</f>
        <v/>
      </c>
      <c r="M191" s="7">
        <f>MAX(0,MIN(J191,12)-10.0)</f>
        <v/>
      </c>
      <c r="N191" s="7">
        <f>MAX(0,J191-12)</f>
        <v/>
      </c>
      <c r="O191" s="5" t="n"/>
      <c r="P191" s="6">
        <f>E191*(L191+M191*1.5+N191*2+O191*3+N(K191))</f>
        <v/>
      </c>
      <c r="Q191" s="6" t="n">
        <v>318.83</v>
      </c>
      <c r="R191" s="6">
        <f>Q191-P191</f>
        <v/>
      </c>
    </row>
    <row r="192">
      <c r="P192" s="2" t="inlineStr">
        <is>
          <t>ON-SETDRESSER LABOR</t>
        </is>
      </c>
      <c r="R192" s="8">
        <f>SUM(R191:R191)</f>
        <v/>
      </c>
    </row>
    <row r="194">
      <c r="B194" s="2" t="inlineStr">
        <is>
          <t>BUYERS</t>
        </is>
      </c>
    </row>
    <row r="195">
      <c r="A195" s="5" t="inlineStr">
        <is>
          <t>2706</t>
        </is>
      </c>
      <c r="B195" s="5" t="inlineStr">
        <is>
          <t>Sarah Hickman</t>
        </is>
      </c>
      <c r="C195" s="5" t="inlineStr">
        <is>
          <t>BUYER</t>
        </is>
      </c>
      <c r="D195" s="5" t="inlineStr">
        <is>
          <t>Local44</t>
        </is>
      </c>
      <c r="E195" s="6" t="n">
        <v>23.04</v>
      </c>
      <c r="F195" s="5" t="n"/>
      <c r="G195" s="5" t="n"/>
      <c r="H195" s="5" t="n"/>
      <c r="I195" s="5" t="n"/>
      <c r="J195" s="7">
        <f>IF(AND(N(F195)&gt;0,N(I195)&gt;0),I195-F195-IF(N(G195)&gt;0,0.5,0)-IF(N(H195)&gt;0,0.5,0),0)</f>
        <v/>
      </c>
      <c r="K195" s="5" t="n"/>
      <c r="L195" s="7">
        <f>MIN(J195,10.0)</f>
        <v/>
      </c>
      <c r="M195" s="7">
        <f>MAX(0,MIN(J195,12)-10.0)</f>
        <v/>
      </c>
      <c r="N195" s="7">
        <f>MAX(0,J195-12)</f>
        <v/>
      </c>
      <c r="O195" s="5" t="n"/>
      <c r="P195" s="6">
        <f>E195*(L195+M195*1.5+N195*2+O195*3+N(K195))</f>
        <v/>
      </c>
      <c r="Q195" s="5" t="n"/>
      <c r="R195" s="6">
        <f>Q195-P195</f>
        <v/>
      </c>
    </row>
    <row r="196">
      <c r="P196" s="2" t="inlineStr">
        <is>
          <t>BUYERS LABOR</t>
        </is>
      </c>
      <c r="R196" s="8">
        <f>SUM(R195:R195)</f>
        <v/>
      </c>
    </row>
    <row r="198">
      <c r="B198" s="2" t="inlineStr">
        <is>
          <t>PROPMASTER</t>
        </is>
      </c>
    </row>
    <row r="199">
      <c r="A199" s="5" t="inlineStr">
        <is>
          <t>2801</t>
        </is>
      </c>
      <c r="B199" s="5" t="inlineStr">
        <is>
          <t>Annie Brandt</t>
        </is>
      </c>
      <c r="C199" s="5" t="inlineStr">
        <is>
          <t>PROPMASTER</t>
        </is>
      </c>
      <c r="D199" s="5" t="inlineStr">
        <is>
          <t>Local44</t>
        </is>
      </c>
      <c r="E199" s="6" t="n">
        <v>25.5</v>
      </c>
      <c r="F199" s="5" t="n"/>
      <c r="G199" s="5" t="n"/>
      <c r="H199" s="5" t="n"/>
      <c r="I199" s="5" t="n"/>
      <c r="J199" s="7">
        <f>IF(AND(N(F199)&gt;0,N(I199)&gt;0),I199-F199-IF(N(G199)&gt;0,0.5,0)-IF(N(H199)&gt;0,0.5,0),0)</f>
        <v/>
      </c>
      <c r="K199" s="5" t="n"/>
      <c r="L199" s="7">
        <f>MIN(J199,10.0)</f>
        <v/>
      </c>
      <c r="M199" s="7">
        <f>MAX(0,MIN(J199,12)-10.0)</f>
        <v/>
      </c>
      <c r="N199" s="7">
        <f>MAX(0,J199-12)</f>
        <v/>
      </c>
      <c r="O199" s="5" t="n"/>
      <c r="P199" s="6">
        <f>E199*(L199+M199*1.5+N199*2+O199*3+N(K199))</f>
        <v/>
      </c>
      <c r="Q199" s="6" t="n">
        <v>395.25</v>
      </c>
      <c r="R199" s="6">
        <f>Q199-P199</f>
        <v/>
      </c>
    </row>
    <row r="200">
      <c r="P200" s="2" t="inlineStr">
        <is>
          <t>PROPMASTER LABOR</t>
        </is>
      </c>
      <c r="R200" s="8">
        <f>SUM(R199:R199)</f>
        <v/>
      </c>
    </row>
    <row r="202">
      <c r="B202" s="2" t="inlineStr">
        <is>
          <t>ASSTPROPMASTER</t>
        </is>
      </c>
    </row>
    <row r="203">
      <c r="A203" s="5" t="inlineStr">
        <is>
          <t>2802</t>
        </is>
      </c>
      <c r="B203" s="5" t="inlineStr">
        <is>
          <t>Nate Bakes</t>
        </is>
      </c>
      <c r="C203" s="5" t="inlineStr">
        <is>
          <t>ASSTPROPMASTER</t>
        </is>
      </c>
      <c r="D203" s="5" t="inlineStr">
        <is>
          <t>Local44</t>
        </is>
      </c>
      <c r="E203" s="6" t="n">
        <v>23.04</v>
      </c>
      <c r="F203" s="5" t="n"/>
      <c r="G203" s="5" t="n"/>
      <c r="H203" s="5" t="n"/>
      <c r="I203" s="5" t="n"/>
      <c r="J203" s="7">
        <f>IF(AND(N(F203)&gt;0,N(I203)&gt;0),I203-F203-IF(N(G203)&gt;0,0.5,0)-IF(N(H203)&gt;0,0.5,0),0)</f>
        <v/>
      </c>
      <c r="K203" s="5" t="n"/>
      <c r="L203" s="7">
        <f>MIN(J203,10.0)</f>
        <v/>
      </c>
      <c r="M203" s="7">
        <f>MAX(0,MIN(J203,12)-10.0)</f>
        <v/>
      </c>
      <c r="N203" s="7">
        <f>MAX(0,J203-12)</f>
        <v/>
      </c>
      <c r="O203" s="5" t="n"/>
      <c r="P203" s="6">
        <f>E203*(L203+M203*1.5+N203*2+O203*3+N(K203))</f>
        <v/>
      </c>
      <c r="Q203" s="6" t="n">
        <v>357.12</v>
      </c>
      <c r="R203" s="6">
        <f>Q203-P203</f>
        <v/>
      </c>
    </row>
    <row r="204">
      <c r="P204" s="2" t="inlineStr">
        <is>
          <t>ASSTPROPMASTER LABOR</t>
        </is>
      </c>
      <c r="R204" s="8">
        <f>SUM(R203:R203)</f>
        <v/>
      </c>
    </row>
    <row r="206">
      <c r="B206" s="2" t="inlineStr">
        <is>
          <t>COSTUMEDESIGNER</t>
        </is>
      </c>
    </row>
    <row r="207">
      <c r="A207" s="5" t="inlineStr">
        <is>
          <t>2901</t>
        </is>
      </c>
      <c r="B207" s="5" t="inlineStr">
        <is>
          <t>Megan Spatz</t>
        </is>
      </c>
      <c r="C207" s="5" t="inlineStr">
        <is>
          <t>COSTUMEDESIGNER</t>
        </is>
      </c>
      <c r="D207" s="5" t="inlineStr">
        <is>
          <t>Local892</t>
        </is>
      </c>
      <c r="E207" s="6" t="n">
        <v>540</v>
      </c>
      <c r="F207" s="5" t="n"/>
      <c r="G207" s="5" t="n"/>
      <c r="H207" s="5" t="n"/>
      <c r="I207" s="5" t="n"/>
      <c r="J207" s="7">
        <f>IF(AND(N(F207)&gt;0,N(I207)&gt;0),I207-F207-IF(N(G207)&gt;0,0.5,0)-IF(N(H207)&gt;0,0.5,0),0)</f>
        <v/>
      </c>
      <c r="K207" s="5" t="n"/>
      <c r="L207" s="7">
        <f>MIN(J207,8.0)</f>
        <v/>
      </c>
      <c r="M207" s="7">
        <f>MAX(0,MIN(J207,12)-8.0)</f>
        <v/>
      </c>
      <c r="N207" s="7">
        <f>MAX(0,J207-12)</f>
        <v/>
      </c>
      <c r="O207" s="5" t="n"/>
      <c r="P207" s="6">
        <f>E207*(L207+M207*1.5+N207*2+O207*3+N(K207))</f>
        <v/>
      </c>
      <c r="Q207" s="6" t="n">
        <v>540</v>
      </c>
      <c r="R207" s="6">
        <f>Q207-P207</f>
        <v/>
      </c>
    </row>
    <row r="208">
      <c r="P208" s="2" t="inlineStr">
        <is>
          <t>COSTUMEDESIGNER LABOR</t>
        </is>
      </c>
      <c r="R208" s="8">
        <f>SUM(R207:R207)</f>
        <v/>
      </c>
    </row>
    <row r="210">
      <c r="B210" s="2" t="inlineStr">
        <is>
          <t>COSTUMESUPERVISOR</t>
        </is>
      </c>
    </row>
    <row r="211">
      <c r="A211" s="5" t="inlineStr">
        <is>
          <t>2903</t>
        </is>
      </c>
      <c r="B211" s="5" t="inlineStr">
        <is>
          <t>Danielle Schuck</t>
        </is>
      </c>
      <c r="C211" s="5" t="inlineStr">
        <is>
          <t>COSTUMESUPERVISOR</t>
        </is>
      </c>
      <c r="D211" s="5" t="inlineStr">
        <is>
          <t>Local705</t>
        </is>
      </c>
      <c r="E211" s="6" t="n">
        <v>25.5</v>
      </c>
      <c r="F211" s="5" t="n"/>
      <c r="G211" s="5" t="n"/>
      <c r="H211" s="5" t="n"/>
      <c r="I211" s="5" t="n"/>
      <c r="J211" s="7">
        <f>IF(AND(N(F211)&gt;0,N(I211)&gt;0),I211-F211-IF(N(G211)&gt;0,0.5,0)-IF(N(H211)&gt;0,0.5,0),0)</f>
        <v/>
      </c>
      <c r="K211" s="5" t="n"/>
      <c r="L211" s="7">
        <f>MIN(J211,8.0)</f>
        <v/>
      </c>
      <c r="M211" s="7">
        <f>MAX(0,MIN(J211,12)-8.0)</f>
        <v/>
      </c>
      <c r="N211" s="7">
        <f>MAX(0,J211-12)</f>
        <v/>
      </c>
      <c r="O211" s="5" t="n"/>
      <c r="P211" s="6">
        <f>E211*(L211+M211*1.5+N211*2+O211*3+N(K211))</f>
        <v/>
      </c>
      <c r="Q211" s="6" t="n">
        <v>395.25</v>
      </c>
      <c r="R211" s="6">
        <f>Q211-P211</f>
        <v/>
      </c>
    </row>
    <row r="212">
      <c r="P212" s="2" t="inlineStr">
        <is>
          <t>COSTUMESUPERVISOR LABOR</t>
        </is>
      </c>
      <c r="R212" s="8">
        <f>SUM(R211:R211)</f>
        <v/>
      </c>
    </row>
    <row r="214">
      <c r="B214" s="2" t="inlineStr">
        <is>
          <t>SETCOSTUMERS</t>
        </is>
      </c>
    </row>
    <row r="215">
      <c r="A215" s="5" t="inlineStr">
        <is>
          <t>2905</t>
        </is>
      </c>
      <c r="B215" s="5" t="inlineStr">
        <is>
          <t>Monavie Tutop</t>
        </is>
      </c>
      <c r="C215" s="5" t="inlineStr">
        <is>
          <t>COSTUMER#1</t>
        </is>
      </c>
      <c r="D215" s="5" t="inlineStr">
        <is>
          <t>Local705</t>
        </is>
      </c>
      <c r="E215" s="6" t="n">
        <v>23.04</v>
      </c>
      <c r="F215" s="5" t="n"/>
      <c r="G215" s="5" t="n"/>
      <c r="H215" s="5" t="n"/>
      <c r="I215" s="5" t="n"/>
      <c r="J215" s="7">
        <f>IF(AND(N(F215)&gt;0,N(I215)&gt;0),I215-F215-IF(N(G215)&gt;0,0.5,0)-IF(N(H215)&gt;0,0.5,0),0)</f>
        <v/>
      </c>
      <c r="K215" s="5" t="n"/>
      <c r="L215" s="7">
        <f>MIN(J215,8.0)</f>
        <v/>
      </c>
      <c r="M215" s="7">
        <f>MAX(0,MIN(J215,12)-8.0)</f>
        <v/>
      </c>
      <c r="N215" s="7">
        <f>MAX(0,J215-12)</f>
        <v/>
      </c>
      <c r="O215" s="5" t="n"/>
      <c r="P215" s="6">
        <f>E215*(L215+M215*1.5+N215*2+O215*3+N(K215))</f>
        <v/>
      </c>
      <c r="Q215" s="6" t="n">
        <v>397.43</v>
      </c>
      <c r="R215" s="6">
        <f>Q215-P215</f>
        <v/>
      </c>
    </row>
    <row r="216">
      <c r="A216" s="5" t="inlineStr">
        <is>
          <t>2905</t>
        </is>
      </c>
      <c r="B216" s="5" t="inlineStr"/>
      <c r="C216" s="5" t="inlineStr">
        <is>
          <t>COSTUMER#2</t>
        </is>
      </c>
      <c r="D216" s="5" t="inlineStr">
        <is>
          <t>Local705</t>
        </is>
      </c>
      <c r="E216" s="6" t="n">
        <v>20.57</v>
      </c>
      <c r="F216" s="5" t="n"/>
      <c r="G216" s="5" t="n"/>
      <c r="H216" s="5" t="n"/>
      <c r="I216" s="5" t="n"/>
      <c r="J216" s="7">
        <f>IF(AND(N(F216)&gt;0,N(I216)&gt;0),I216-F216-IF(N(G216)&gt;0,0.5,0)-IF(N(H216)&gt;0,0.5,0),0)</f>
        <v/>
      </c>
      <c r="K216" s="5" t="n"/>
      <c r="L216" s="7">
        <f>MIN(J216,8.0)</f>
        <v/>
      </c>
      <c r="M216" s="7">
        <f>MAX(0,MIN(J216,12)-8.0)</f>
        <v/>
      </c>
      <c r="N216" s="7">
        <f>MAX(0,J216-12)</f>
        <v/>
      </c>
      <c r="O216" s="5" t="n"/>
      <c r="P216" s="6">
        <f>E216*(L216+M216*1.5+N216*2+O216*3+N(K216))</f>
        <v/>
      </c>
      <c r="Q216" s="6" t="n">
        <v>354.83</v>
      </c>
      <c r="R216" s="6">
        <f>Q216-P216</f>
        <v/>
      </c>
    </row>
    <row r="217">
      <c r="P217" s="2" t="inlineStr">
        <is>
          <t>SETCOSTUMERS LABOR</t>
        </is>
      </c>
      <c r="R217" s="8">
        <f>SUM(R215:R216)</f>
        <v/>
      </c>
    </row>
    <row r="219">
      <c r="B219" s="2" t="inlineStr">
        <is>
          <t>KEYMAKE-UP</t>
        </is>
      </c>
    </row>
    <row r="220">
      <c r="A220" s="5" t="inlineStr">
        <is>
          <t>3101</t>
        </is>
      </c>
      <c r="B220" s="5" t="inlineStr">
        <is>
          <t>Eleanor Sabaduquia</t>
        </is>
      </c>
      <c r="C220" s="5" t="inlineStr">
        <is>
          <t>KEYMAKEUPARTIST</t>
        </is>
      </c>
      <c r="D220" s="5" t="inlineStr">
        <is>
          <t>Local706</t>
        </is>
      </c>
      <c r="E220" s="6" t="n">
        <v>25.5</v>
      </c>
      <c r="F220" s="5" t="n"/>
      <c r="G220" s="5" t="n"/>
      <c r="H220" s="5" t="n"/>
      <c r="I220" s="5" t="n"/>
      <c r="J220" s="7">
        <f>IF(AND(N(F220)&gt;0,N(I220)&gt;0),I220-F220-IF(N(G220)&gt;0,0.5,0)-IF(N(H220)&gt;0,0.5,0),0)</f>
        <v/>
      </c>
      <c r="K220" s="5" t="n"/>
      <c r="L220" s="7">
        <f>MIN(J220,10.0)</f>
        <v/>
      </c>
      <c r="M220" s="7">
        <f>MAX(0,MIN(J220,12)-10.0)</f>
        <v/>
      </c>
      <c r="N220" s="7">
        <f>MAX(0,J220-12)</f>
        <v/>
      </c>
      <c r="O220" s="5" t="n"/>
      <c r="P220" s="6">
        <f>E220*(L220+M220*1.5+N220*2+O220*3+N(K220))</f>
        <v/>
      </c>
      <c r="Q220" s="6" t="n">
        <v>439.87</v>
      </c>
      <c r="R220" s="6">
        <f>Q220-P220</f>
        <v/>
      </c>
    </row>
    <row r="221">
      <c r="P221" s="2" t="inlineStr">
        <is>
          <t>KEYMAKE-UP LABOR</t>
        </is>
      </c>
      <c r="R221" s="8">
        <f>SUM(R220:R220)</f>
        <v/>
      </c>
    </row>
    <row r="223">
      <c r="B223" s="2" t="inlineStr">
        <is>
          <t>ASSTMAKE-UP</t>
        </is>
      </c>
    </row>
    <row r="224">
      <c r="A224" s="5" t="inlineStr">
        <is>
          <t>3102</t>
        </is>
      </c>
      <c r="B224" s="5" t="inlineStr">
        <is>
          <t>Yoko Nobushi</t>
        </is>
      </c>
      <c r="C224" s="5" t="inlineStr">
        <is>
          <t>ASSTMAKEUPARTIST#1</t>
        </is>
      </c>
      <c r="D224" s="5" t="inlineStr">
        <is>
          <t>Local706</t>
        </is>
      </c>
      <c r="E224" s="6" t="n">
        <v>23.04</v>
      </c>
      <c r="F224" s="5" t="n"/>
      <c r="G224" s="5" t="n"/>
      <c r="H224" s="5" t="n"/>
      <c r="I224" s="5" t="n"/>
      <c r="J224" s="7">
        <f>IF(AND(N(F224)&gt;0,N(I224)&gt;0),I224-F224-IF(N(G224)&gt;0,0.5,0)-IF(N(H224)&gt;0,0.5,0),0)</f>
        <v/>
      </c>
      <c r="K224" s="5" t="n"/>
      <c r="L224" s="7">
        <f>MIN(J224,10.0)</f>
        <v/>
      </c>
      <c r="M224" s="7">
        <f>MAX(0,MIN(J224,12)-10.0)</f>
        <v/>
      </c>
      <c r="N224" s="7">
        <f>MAX(0,J224-12)</f>
        <v/>
      </c>
      <c r="O224" s="5" t="n"/>
      <c r="P224" s="6">
        <f>E224*(L224+M224*1.5+N224*2+O224*3+N(K224))</f>
        <v/>
      </c>
      <c r="Q224" s="6" t="n">
        <v>397.43</v>
      </c>
      <c r="R224" s="6">
        <f>Q224-P224</f>
        <v/>
      </c>
    </row>
    <row r="225">
      <c r="P225" s="2" t="inlineStr">
        <is>
          <t>ASSTMAKE-UP LABOR</t>
        </is>
      </c>
      <c r="R225" s="8">
        <f>SUM(R224:R224)</f>
        <v/>
      </c>
    </row>
    <row r="227">
      <c r="B227" s="2" t="inlineStr">
        <is>
          <t>ADDITIONALMAKE-UPLABOR</t>
        </is>
      </c>
    </row>
    <row r="228">
      <c r="A228" s="5" t="inlineStr">
        <is>
          <t>3103</t>
        </is>
      </c>
      <c r="B228" s="5" t="inlineStr"/>
      <c r="C228" s="5" t="inlineStr">
        <is>
          <t>ADDLMAKEUPARTISTDAYS</t>
        </is>
      </c>
      <c r="D228" s="5" t="inlineStr">
        <is>
          <t>Local706</t>
        </is>
      </c>
      <c r="E228" s="6" t="n">
        <v>23.04</v>
      </c>
      <c r="F228" s="5" t="n"/>
      <c r="G228" s="5" t="n"/>
      <c r="H228" s="5" t="n"/>
      <c r="I228" s="5" t="n"/>
      <c r="J228" s="7">
        <f>IF(AND(N(F228)&gt;0,N(I228)&gt;0),I228-F228-IF(N(G228)&gt;0,0.5,0)-IF(N(H228)&gt;0,0.5,0),0)</f>
        <v/>
      </c>
      <c r="K228" s="5" t="n"/>
      <c r="L228" s="7">
        <f>MIN(J228,10.0)</f>
        <v/>
      </c>
      <c r="M228" s="7">
        <f>MAX(0,MIN(J228,12)-10.0)</f>
        <v/>
      </c>
      <c r="N228" s="7">
        <f>MAX(0,J228-12)</f>
        <v/>
      </c>
      <c r="O228" s="5" t="n"/>
      <c r="P228" s="6">
        <f>E228*(L228+M228*1.5+N228*2+O228*3+N(K228))</f>
        <v/>
      </c>
      <c r="Q228" s="6" t="n">
        <v>397.43</v>
      </c>
      <c r="R228" s="6">
        <f>Q228-P228</f>
        <v/>
      </c>
    </row>
    <row r="229">
      <c r="P229" s="2" t="inlineStr">
        <is>
          <t>ADDITIONALMAKE-UPLABOR LABOR</t>
        </is>
      </c>
      <c r="R229" s="8">
        <f>SUM(R228:R228)</f>
        <v/>
      </c>
    </row>
    <row r="231">
      <c r="B231" s="2" t="inlineStr">
        <is>
          <t>PROSTHETICS</t>
        </is>
      </c>
    </row>
    <row r="232">
      <c r="A232" s="5" t="inlineStr">
        <is>
          <t>3105</t>
        </is>
      </c>
      <c r="B232" s="5" t="inlineStr"/>
      <c r="C232" s="5" t="inlineStr">
        <is>
          <t>PROSTHETICMAKEUPARTIST</t>
        </is>
      </c>
      <c r="D232" s="5" t="inlineStr">
        <is>
          <t>Local706</t>
        </is>
      </c>
      <c r="E232" s="6" t="n">
        <v>25.5</v>
      </c>
      <c r="F232" s="5" t="n"/>
      <c r="G232" s="5" t="n"/>
      <c r="H232" s="5" t="n"/>
      <c r="I232" s="5" t="n"/>
      <c r="J232" s="7">
        <f>IF(AND(N(F232)&gt;0,N(I232)&gt;0),I232-F232-IF(N(G232)&gt;0,0.5,0)-IF(N(H232)&gt;0,0.5,0),0)</f>
        <v/>
      </c>
      <c r="K232" s="5" t="n"/>
      <c r="L232" s="7">
        <f>MIN(J232,10.0)</f>
        <v/>
      </c>
      <c r="M232" s="7">
        <f>MAX(0,MIN(J232,12)-10.0)</f>
        <v/>
      </c>
      <c r="N232" s="7">
        <f>MAX(0,J232-12)</f>
        <v/>
      </c>
      <c r="O232" s="5" t="n"/>
      <c r="P232" s="6">
        <f>E232*(L232+M232*1.5+N232*2+O232*3+N(K232))</f>
        <v/>
      </c>
      <c r="Q232" s="6" t="n">
        <v>439.87</v>
      </c>
      <c r="R232" s="6">
        <f>Q232-P232</f>
        <v/>
      </c>
    </row>
    <row r="233">
      <c r="A233" s="5" t="inlineStr">
        <is>
          <t>3105</t>
        </is>
      </c>
      <c r="B233" s="5" t="inlineStr"/>
      <c r="C233" s="5" t="inlineStr">
        <is>
          <t>LENSCONSULTANT</t>
        </is>
      </c>
      <c r="D233" s="5" t="inlineStr"/>
      <c r="E233" s="6" t="n">
        <v>50</v>
      </c>
      <c r="F233" s="5" t="n"/>
      <c r="G233" s="5" t="n"/>
      <c r="H233" s="5" t="n"/>
      <c r="I233" s="5" t="n"/>
      <c r="J233" s="7">
        <f>IF(AND(N(F233)&gt;0,N(I233)&gt;0),I233-F233-IF(N(G233)&gt;0,0.5,0)-IF(N(H233)&gt;0,0.5,0),0)</f>
        <v/>
      </c>
      <c r="K233" s="5" t="n"/>
      <c r="L233" s="7">
        <f>MIN(J233,8.0)</f>
        <v/>
      </c>
      <c r="M233" s="7">
        <f>MAX(0,MIN(J233,12)-8.0)</f>
        <v/>
      </c>
      <c r="N233" s="7">
        <f>MAX(0,J233-12)</f>
        <v/>
      </c>
      <c r="O233" s="5" t="n"/>
      <c r="P233" s="6">
        <f>E233*(L233+M233*1.5+N233*2+O233*3+N(K233))</f>
        <v/>
      </c>
      <c r="Q233" s="6" t="n">
        <v>862.53</v>
      </c>
      <c r="R233" s="6">
        <f>Q233-P233</f>
        <v/>
      </c>
    </row>
    <row r="234">
      <c r="P234" s="2" t="inlineStr">
        <is>
          <t>PROSTHETICS LABOR</t>
        </is>
      </c>
      <c r="R234" s="8">
        <f>SUM(R232:R233)</f>
        <v/>
      </c>
    </row>
    <row r="236">
      <c r="B236" s="2" t="inlineStr">
        <is>
          <t>KEYHAIR</t>
        </is>
      </c>
    </row>
    <row r="237">
      <c r="A237" s="5" t="inlineStr">
        <is>
          <t>3111</t>
        </is>
      </c>
      <c r="B237" s="5" t="inlineStr">
        <is>
          <t>Traci Smithe</t>
        </is>
      </c>
      <c r="C237" s="5" t="inlineStr">
        <is>
          <t>KEYHAIR</t>
        </is>
      </c>
      <c r="D237" s="5" t="inlineStr">
        <is>
          <t>Local706</t>
        </is>
      </c>
      <c r="E237" s="6" t="n">
        <v>25.5</v>
      </c>
      <c r="F237" s="5" t="n"/>
      <c r="G237" s="5" t="n"/>
      <c r="H237" s="5" t="n"/>
      <c r="I237" s="5" t="n"/>
      <c r="J237" s="7">
        <f>IF(AND(N(F237)&gt;0,N(I237)&gt;0),I237-F237-IF(N(G237)&gt;0,0.5,0)-IF(N(H237)&gt;0,0.5,0),0)</f>
        <v/>
      </c>
      <c r="K237" s="5" t="n"/>
      <c r="L237" s="7">
        <f>MIN(J237,10.0)</f>
        <v/>
      </c>
      <c r="M237" s="7">
        <f>MAX(0,MIN(J237,12)-10.0)</f>
        <v/>
      </c>
      <c r="N237" s="7">
        <f>MAX(0,J237-12)</f>
        <v/>
      </c>
      <c r="O237" s="5" t="n"/>
      <c r="P237" s="6">
        <f>E237*(L237+M237*1.5+N237*2+O237*3+N(K237))</f>
        <v/>
      </c>
      <c r="Q237" s="6" t="n">
        <v>439.87</v>
      </c>
      <c r="R237" s="6">
        <f>Q237-P237</f>
        <v/>
      </c>
    </row>
    <row r="238">
      <c r="P238" s="2" t="inlineStr">
        <is>
          <t>KEYHAIR LABOR</t>
        </is>
      </c>
      <c r="R238" s="8">
        <f>SUM(R237:R237)</f>
        <v/>
      </c>
    </row>
    <row r="240">
      <c r="B240" s="2" t="inlineStr">
        <is>
          <t>ASSTHAIR</t>
        </is>
      </c>
    </row>
    <row r="241">
      <c r="A241" s="5" t="inlineStr">
        <is>
          <t>3112</t>
        </is>
      </c>
      <c r="B241" s="5" t="inlineStr">
        <is>
          <t>Yunea Cruz</t>
        </is>
      </c>
      <c r="C241" s="5" t="inlineStr">
        <is>
          <t>ASSTHAIRSTYLIST#1</t>
        </is>
      </c>
      <c r="D241" s="5" t="inlineStr">
        <is>
          <t>Local706</t>
        </is>
      </c>
      <c r="E241" s="6" t="n">
        <v>23.04</v>
      </c>
      <c r="F241" s="5" t="n"/>
      <c r="G241" s="5" t="n"/>
      <c r="H241" s="5" t="n"/>
      <c r="I241" s="5" t="n"/>
      <c r="J241" s="7">
        <f>IF(AND(N(F241)&gt;0,N(I241)&gt;0),I241-F241-IF(N(G241)&gt;0,0.5,0)-IF(N(H241)&gt;0,0.5,0),0)</f>
        <v/>
      </c>
      <c r="K241" s="5" t="n"/>
      <c r="L241" s="7">
        <f>MIN(J241,10.0)</f>
        <v/>
      </c>
      <c r="M241" s="7">
        <f>MAX(0,MIN(J241,12)-10.0)</f>
        <v/>
      </c>
      <c r="N241" s="7">
        <f>MAX(0,J241-12)</f>
        <v/>
      </c>
      <c r="O241" s="5" t="n"/>
      <c r="P241" s="6">
        <f>E241*(L241+M241*1.5+N241*2+O241*3+N(K241))</f>
        <v/>
      </c>
      <c r="Q241" s="6" t="n">
        <v>397.43</v>
      </c>
      <c r="R241" s="6">
        <f>Q241-P241</f>
        <v/>
      </c>
    </row>
    <row r="242">
      <c r="P242" s="2" t="inlineStr">
        <is>
          <t>ASSTHAIR LABOR</t>
        </is>
      </c>
      <c r="R242" s="8">
        <f>SUM(R241:R241)</f>
        <v/>
      </c>
    </row>
    <row r="244">
      <c r="B244" s="2" t="inlineStr">
        <is>
          <t>ADDITIONALHAIRLABOR</t>
        </is>
      </c>
    </row>
    <row r="245">
      <c r="A245" s="5" t="inlineStr">
        <is>
          <t>3113</t>
        </is>
      </c>
      <c r="B245" s="5" t="inlineStr"/>
      <c r="C245" s="5" t="inlineStr">
        <is>
          <t>ADDLHAIRSTYLISTDAYS</t>
        </is>
      </c>
      <c r="D245" s="5" t="inlineStr">
        <is>
          <t>Local706</t>
        </is>
      </c>
      <c r="E245" s="6" t="n">
        <v>23.04</v>
      </c>
      <c r="F245" s="5" t="n"/>
      <c r="G245" s="5" t="n"/>
      <c r="H245" s="5" t="n"/>
      <c r="I245" s="5" t="n"/>
      <c r="J245" s="7">
        <f>IF(AND(N(F245)&gt;0,N(I245)&gt;0),I245-F245-IF(N(G245)&gt;0,0.5,0)-IF(N(H245)&gt;0,0.5,0),0)</f>
        <v/>
      </c>
      <c r="K245" s="5" t="n"/>
      <c r="L245" s="7">
        <f>MIN(J245,10.0)</f>
        <v/>
      </c>
      <c r="M245" s="7">
        <f>MAX(0,MIN(J245,12)-10.0)</f>
        <v/>
      </c>
      <c r="N245" s="7">
        <f>MAX(0,J245-12)</f>
        <v/>
      </c>
      <c r="O245" s="5" t="n"/>
      <c r="P245" s="6">
        <f>E245*(L245+M245*1.5+N245*2+O245*3+N(K245))</f>
        <v/>
      </c>
      <c r="Q245" s="6" t="n">
        <v>397.43</v>
      </c>
      <c r="R245" s="6">
        <f>Q245-P245</f>
        <v/>
      </c>
    </row>
    <row r="246">
      <c r="P246" s="2" t="inlineStr">
        <is>
          <t>ADDITIONALHAIRLABOR LABOR</t>
        </is>
      </c>
      <c r="R246" s="8">
        <f>SUM(R245:R245)</f>
        <v/>
      </c>
    </row>
    <row r="248">
      <c r="B248" s="2" t="inlineStr">
        <is>
          <t>GAFFER</t>
        </is>
      </c>
    </row>
    <row r="249">
      <c r="A249" s="5" t="inlineStr">
        <is>
          <t>3201</t>
        </is>
      </c>
      <c r="B249" s="5" t="inlineStr">
        <is>
          <t>Nicholas Kaat</t>
        </is>
      </c>
      <c r="C249" s="5" t="inlineStr">
        <is>
          <t>GAFFER</t>
        </is>
      </c>
      <c r="D249" s="5" t="inlineStr">
        <is>
          <t>Local728</t>
        </is>
      </c>
      <c r="E249" s="6" t="n">
        <v>25.5</v>
      </c>
      <c r="F249" s="5" t="n"/>
      <c r="G249" s="5" t="n"/>
      <c r="H249" s="5" t="n"/>
      <c r="I249" s="5" t="n"/>
      <c r="J249" s="7">
        <f>IF(AND(N(F249)&gt;0,N(I249)&gt;0),I249-F249-IF(N(G249)&gt;0,0.5,0)-IF(N(H249)&gt;0,0.5,0),0)</f>
        <v/>
      </c>
      <c r="K249" s="5" t="n"/>
      <c r="L249" s="7">
        <f>MIN(J249,10.0)</f>
        <v/>
      </c>
      <c r="M249" s="7">
        <f>MAX(0,MIN(J249,12)-10.0)</f>
        <v/>
      </c>
      <c r="N249" s="7">
        <f>MAX(0,J249-12)</f>
        <v/>
      </c>
      <c r="O249" s="5" t="n"/>
      <c r="P249" s="6">
        <f>E249*(L249+M249*1.5+N249*2+O249*3+N(K249))</f>
        <v/>
      </c>
      <c r="Q249" s="6" t="n">
        <v>395.25</v>
      </c>
      <c r="R249" s="6">
        <f>Q249-P249</f>
        <v/>
      </c>
    </row>
    <row r="250">
      <c r="P250" s="2" t="inlineStr">
        <is>
          <t>GAFFER LABOR</t>
        </is>
      </c>
      <c r="R250" s="8">
        <f>SUM(R249:R249)</f>
        <v/>
      </c>
    </row>
    <row r="252">
      <c r="B252" s="2" t="inlineStr">
        <is>
          <t>BESTBOYELECTRIC</t>
        </is>
      </c>
    </row>
    <row r="253">
      <c r="A253" s="5" t="inlineStr">
        <is>
          <t>3202</t>
        </is>
      </c>
      <c r="B253" s="5" t="inlineStr">
        <is>
          <t>Nathan Fetzer</t>
        </is>
      </c>
      <c r="C253" s="5" t="inlineStr">
        <is>
          <t>BESTBOYELECTRIC</t>
        </is>
      </c>
      <c r="D253" s="5" t="inlineStr">
        <is>
          <t>Local728</t>
        </is>
      </c>
      <c r="E253" s="6" t="n">
        <v>23.04</v>
      </c>
      <c r="F253" s="5" t="n"/>
      <c r="G253" s="5" t="n"/>
      <c r="H253" s="5" t="n"/>
      <c r="I253" s="5" t="n"/>
      <c r="J253" s="7">
        <f>IF(AND(N(F253)&gt;0,N(I253)&gt;0),I253-F253-IF(N(G253)&gt;0,0.5,0)-IF(N(H253)&gt;0,0.5,0),0)</f>
        <v/>
      </c>
      <c r="K253" s="5" t="n"/>
      <c r="L253" s="7">
        <f>MIN(J253,10.0)</f>
        <v/>
      </c>
      <c r="M253" s="7">
        <f>MAX(0,MIN(J253,12)-10.0)</f>
        <v/>
      </c>
      <c r="N253" s="7">
        <f>MAX(0,J253-12)</f>
        <v/>
      </c>
      <c r="O253" s="5" t="n"/>
      <c r="P253" s="6">
        <f>E253*(L253+M253*1.5+N253*2+O253*3+N(K253))</f>
        <v/>
      </c>
      <c r="Q253" s="6" t="n">
        <v>357.12</v>
      </c>
      <c r="R253" s="6">
        <f>Q253-P253</f>
        <v/>
      </c>
    </row>
    <row r="254">
      <c r="A254" s="5" t="inlineStr">
        <is>
          <t>3202</t>
        </is>
      </c>
      <c r="B254" s="5" t="inlineStr"/>
      <c r="C254" s="5" t="inlineStr">
        <is>
          <t>STUDIOBESTBOYELECTRIC</t>
        </is>
      </c>
      <c r="D254" s="5" t="inlineStr">
        <is>
          <t>Local728</t>
        </is>
      </c>
      <c r="E254" s="6" t="n">
        <v>43.05</v>
      </c>
      <c r="F254" s="5" t="n"/>
      <c r="G254" s="5" t="n"/>
      <c r="H254" s="5" t="n"/>
      <c r="I254" s="5" t="n"/>
      <c r="J254" s="7">
        <f>IF(AND(N(F254)&gt;0,N(I254)&gt;0),I254-F254-IF(N(G254)&gt;0,0.5,0)-IF(N(H254)&gt;0,0.5,0),0)</f>
        <v/>
      </c>
      <c r="K254" s="5" t="n"/>
      <c r="L254" s="7">
        <f>MIN(J254,10.0)</f>
        <v/>
      </c>
      <c r="M254" s="7">
        <f>MAX(0,MIN(J254,12)-10.0)</f>
        <v/>
      </c>
      <c r="N254" s="7">
        <f>MAX(0,J254-12)</f>
        <v/>
      </c>
      <c r="O254" s="5" t="n"/>
      <c r="P254" s="6">
        <f>E254*(L254+M254*1.5+N254*2+O254*3+N(K254))</f>
        <v/>
      </c>
      <c r="Q254" s="6" t="n">
        <v>667.27</v>
      </c>
      <c r="R254" s="6">
        <f>Q254-P254</f>
        <v/>
      </c>
    </row>
    <row r="255">
      <c r="P255" s="2" t="inlineStr">
        <is>
          <t>BESTBOYELECTRIC LABOR</t>
        </is>
      </c>
      <c r="R255" s="8">
        <f>SUM(R253:R254)</f>
        <v/>
      </c>
    </row>
    <row r="257">
      <c r="B257" s="2" t="inlineStr">
        <is>
          <t>ELECTRICIANS</t>
        </is>
      </c>
    </row>
    <row r="258">
      <c r="A258" s="5" t="inlineStr">
        <is>
          <t>3204</t>
        </is>
      </c>
      <c r="B258" s="5" t="inlineStr"/>
      <c r="C258" s="5" t="inlineStr">
        <is>
          <t>ELECTRICIAN#1</t>
        </is>
      </c>
      <c r="D258" s="5" t="inlineStr">
        <is>
          <t>Local728</t>
        </is>
      </c>
      <c r="E258" s="6" t="n">
        <v>20.57</v>
      </c>
      <c r="F258" s="5" t="n"/>
      <c r="G258" s="5" t="n"/>
      <c r="H258" s="5" t="n"/>
      <c r="I258" s="5" t="n"/>
      <c r="J258" s="7">
        <f>IF(AND(N(F258)&gt;0,N(I258)&gt;0),I258-F258-IF(N(G258)&gt;0,0.5,0)-IF(N(H258)&gt;0,0.5,0),0)</f>
        <v/>
      </c>
      <c r="K258" s="5" t="n"/>
      <c r="L258" s="7">
        <f>MIN(J258,10.0)</f>
        <v/>
      </c>
      <c r="M258" s="7">
        <f>MAX(0,MIN(J258,12)-10.0)</f>
        <v/>
      </c>
      <c r="N258" s="7">
        <f>MAX(0,J258-12)</f>
        <v/>
      </c>
      <c r="O258" s="5" t="n"/>
      <c r="P258" s="6">
        <f>E258*(L258+M258*1.5+N258*2+O258*3+N(K258))</f>
        <v/>
      </c>
      <c r="Q258" s="6" t="n">
        <v>318.83</v>
      </c>
      <c r="R258" s="6">
        <f>Q258-P258</f>
        <v/>
      </c>
    </row>
    <row r="259">
      <c r="A259" s="5" t="inlineStr">
        <is>
          <t>3204</t>
        </is>
      </c>
      <c r="B259" s="5" t="inlineStr"/>
      <c r="C259" s="5" t="inlineStr">
        <is>
          <t>ELECTRICIAN#2</t>
        </is>
      </c>
      <c r="D259" s="5" t="inlineStr">
        <is>
          <t>Local728</t>
        </is>
      </c>
      <c r="E259" s="6" t="n">
        <v>20.57</v>
      </c>
      <c r="F259" s="5" t="n"/>
      <c r="G259" s="5" t="n"/>
      <c r="H259" s="5" t="n"/>
      <c r="I259" s="5" t="n"/>
      <c r="J259" s="7">
        <f>IF(AND(N(F259)&gt;0,N(I259)&gt;0),I259-F259-IF(N(G259)&gt;0,0.5,0)-IF(N(H259)&gt;0,0.5,0),0)</f>
        <v/>
      </c>
      <c r="K259" s="5" t="n"/>
      <c r="L259" s="7">
        <f>MIN(J259,10.0)</f>
        <v/>
      </c>
      <c r="M259" s="7">
        <f>MAX(0,MIN(J259,12)-10.0)</f>
        <v/>
      </c>
      <c r="N259" s="7">
        <f>MAX(0,J259-12)</f>
        <v/>
      </c>
      <c r="O259" s="5" t="n"/>
      <c r="P259" s="6">
        <f>E259*(L259+M259*1.5+N259*2+O259*3+N(K259))</f>
        <v/>
      </c>
      <c r="Q259" s="6" t="n">
        <v>318.83</v>
      </c>
      <c r="R259" s="6">
        <f>Q259-P259</f>
        <v/>
      </c>
    </row>
    <row r="260">
      <c r="A260" s="5" t="inlineStr">
        <is>
          <t>3204</t>
        </is>
      </c>
      <c r="B260" s="5" t="inlineStr"/>
      <c r="C260" s="5" t="inlineStr">
        <is>
          <t>ELECTRICIAN#3</t>
        </is>
      </c>
      <c r="D260" s="5" t="inlineStr">
        <is>
          <t>Local728</t>
        </is>
      </c>
      <c r="E260" s="6" t="n">
        <v>20.57</v>
      </c>
      <c r="F260" s="5" t="n"/>
      <c r="G260" s="5" t="n"/>
      <c r="H260" s="5" t="n"/>
      <c r="I260" s="5" t="n"/>
      <c r="J260" s="7">
        <f>IF(AND(N(F260)&gt;0,N(I260)&gt;0),I260-F260-IF(N(G260)&gt;0,0.5,0)-IF(N(H260)&gt;0,0.5,0),0)</f>
        <v/>
      </c>
      <c r="K260" s="5" t="n"/>
      <c r="L260" s="7">
        <f>MIN(J260,10.0)</f>
        <v/>
      </c>
      <c r="M260" s="7">
        <f>MAX(0,MIN(J260,12)-10.0)</f>
        <v/>
      </c>
      <c r="N260" s="7">
        <f>MAX(0,J260-12)</f>
        <v/>
      </c>
      <c r="O260" s="5" t="n"/>
      <c r="P260" s="6">
        <f>E260*(L260+M260*1.5+N260*2+O260*3+N(K260))</f>
        <v/>
      </c>
      <c r="Q260" s="6" t="n">
        <v>318.83</v>
      </c>
      <c r="R260" s="6">
        <f>Q260-P260</f>
        <v/>
      </c>
    </row>
    <row r="261">
      <c r="P261" s="2" t="inlineStr">
        <is>
          <t>ELECTRICIANS LABOR</t>
        </is>
      </c>
      <c r="R261" s="8">
        <f>SUM(R258:R260)</f>
        <v/>
      </c>
    </row>
    <row r="263">
      <c r="B263" s="2" t="inlineStr">
        <is>
          <t>ADDITIONALELECTRICLABOR</t>
        </is>
      </c>
    </row>
    <row r="264">
      <c r="A264" s="5" t="inlineStr">
        <is>
          <t>3206</t>
        </is>
      </c>
      <c r="B264" s="5" t="inlineStr"/>
      <c r="C264" s="5" t="inlineStr">
        <is>
          <t>ELECTRICMANDAYS&amp;RIGGINGMANDAYS</t>
        </is>
      </c>
      <c r="D264" s="5" t="inlineStr">
        <is>
          <t>Local728</t>
        </is>
      </c>
      <c r="E264" s="6" t="n">
        <v>20.57</v>
      </c>
      <c r="F264" s="5" t="n"/>
      <c r="G264" s="5" t="n"/>
      <c r="H264" s="5" t="n"/>
      <c r="I264" s="5" t="n"/>
      <c r="J264" s="7">
        <f>IF(AND(N(F264)&gt;0,N(I264)&gt;0),I264-F264-IF(N(G264)&gt;0,0.5,0)-IF(N(H264)&gt;0,0.5,0),0)</f>
        <v/>
      </c>
      <c r="K264" s="5" t="n"/>
      <c r="L264" s="7">
        <f>MIN(J264,10.0)</f>
        <v/>
      </c>
      <c r="M264" s="7">
        <f>MAX(0,MIN(J264,12)-10.0)</f>
        <v/>
      </c>
      <c r="N264" s="7">
        <f>MAX(0,J264-12)</f>
        <v/>
      </c>
      <c r="O264" s="5" t="n"/>
      <c r="P264" s="6">
        <f>E264*(L264+M264*1.5+N264*2+O264*3+N(K264))</f>
        <v/>
      </c>
      <c r="Q264" s="6" t="n">
        <v>318.83</v>
      </c>
      <c r="R264" s="6">
        <f>Q264-P264</f>
        <v/>
      </c>
    </row>
    <row r="265">
      <c r="P265" s="2" t="inlineStr">
        <is>
          <t>ADDITIONALELECTRICLABOR LABOR</t>
        </is>
      </c>
      <c r="R265" s="8">
        <f>SUM(R264:R264)</f>
        <v/>
      </c>
    </row>
    <row r="267">
      <c r="B267" s="2" t="inlineStr">
        <is>
          <t>DIRECTOROFPHOTOGRAPHY</t>
        </is>
      </c>
    </row>
    <row r="268">
      <c r="A268" s="5" t="inlineStr">
        <is>
          <t>3301</t>
        </is>
      </c>
      <c r="B268" s="5" t="inlineStr">
        <is>
          <t>Michael Burgess</t>
        </is>
      </c>
      <c r="C268" s="5" t="inlineStr">
        <is>
          <t>DIRECTOROFPHOTOGRAPHY</t>
        </is>
      </c>
      <c r="D268" s="5" t="inlineStr">
        <is>
          <t>Local600</t>
        </is>
      </c>
      <c r="E268" s="6" t="n">
        <v>700</v>
      </c>
      <c r="F268" s="5" t="n"/>
      <c r="G268" s="5" t="n"/>
      <c r="H268" s="5" t="n"/>
      <c r="I268" s="5" t="n"/>
      <c r="J268" s="7">
        <f>IF(AND(N(F268)&gt;0,N(I268)&gt;0),I268-F268-IF(N(G268)&gt;0,0.5,0)-IF(N(H268)&gt;0,0.5,0),0)</f>
        <v/>
      </c>
      <c r="K268" s="5" t="n"/>
      <c r="L268" s="7">
        <f>MIN(J268,8.0)</f>
        <v/>
      </c>
      <c r="M268" s="7">
        <f>MAX(0,MIN(J268,12)-8.0)</f>
        <v/>
      </c>
      <c r="N268" s="7">
        <f>MAX(0,J268-12)</f>
        <v/>
      </c>
      <c r="O268" s="5" t="n"/>
      <c r="P268" s="6">
        <f>E268*(L268+M268*1.5+N268*2+O268*3+N(K268))</f>
        <v/>
      </c>
      <c r="Q268" s="6" t="n">
        <v>700</v>
      </c>
      <c r="R268" s="6">
        <f>Q268-P268</f>
        <v/>
      </c>
    </row>
    <row r="269">
      <c r="P269" s="2" t="inlineStr">
        <is>
          <t>DIRECTOROFPHOTOGRAPHY LABOR</t>
        </is>
      </c>
      <c r="R269" s="8">
        <f>SUM(R268:R268)</f>
        <v/>
      </c>
    </row>
    <row r="271">
      <c r="B271" s="2" t="inlineStr">
        <is>
          <t>CAMERAOPERATORS</t>
        </is>
      </c>
    </row>
    <row r="272">
      <c r="A272" s="5" t="inlineStr">
        <is>
          <t>3302</t>
        </is>
      </c>
      <c r="B272" s="5" t="inlineStr">
        <is>
          <t>Craig Bauer</t>
        </is>
      </c>
      <c r="C272" s="5" t="inlineStr">
        <is>
          <t>"B"CAMERAOP</t>
        </is>
      </c>
      <c r="D272" s="5" t="inlineStr">
        <is>
          <t>Local600</t>
        </is>
      </c>
      <c r="E272" s="6" t="n">
        <v>45</v>
      </c>
      <c r="F272" s="5" t="n"/>
      <c r="G272" s="5" t="n"/>
      <c r="H272" s="5" t="n"/>
      <c r="I272" s="5" t="n"/>
      <c r="J272" s="7">
        <f>IF(AND(N(F272)&gt;0,N(I272)&gt;0),I272-F272-IF(N(G272)&gt;0,0.5,0)-IF(N(H272)&gt;0,0.5,0),0)</f>
        <v/>
      </c>
      <c r="K272" s="5" t="n"/>
      <c r="L272" s="7">
        <f>MIN(J272,8.0)</f>
        <v/>
      </c>
      <c r="M272" s="7">
        <f>MAX(0,MIN(J272,12)-8.0)</f>
        <v/>
      </c>
      <c r="N272" s="7">
        <f>MAX(0,J272-12)</f>
        <v/>
      </c>
      <c r="O272" s="5" t="n"/>
      <c r="P272" s="6">
        <f>E272*(L272+M272*1.5+N272*2+O272*3+N(K272))</f>
        <v/>
      </c>
      <c r="Q272" s="6" t="n">
        <v>630</v>
      </c>
      <c r="R272" s="6">
        <f>Q272-P272</f>
        <v/>
      </c>
    </row>
    <row r="273">
      <c r="P273" s="2" t="inlineStr">
        <is>
          <t>CAMERAOPERATORS LABOR</t>
        </is>
      </c>
      <c r="R273" s="8">
        <f>SUM(R272:R272)</f>
        <v/>
      </c>
    </row>
    <row r="275">
      <c r="B275" s="2" t="inlineStr">
        <is>
          <t>DIGITALIMAGINGTECHS</t>
        </is>
      </c>
    </row>
    <row r="276">
      <c r="A276" s="5" t="inlineStr">
        <is>
          <t>3304</t>
        </is>
      </c>
      <c r="B276" s="5" t="inlineStr">
        <is>
          <t>Oliver Mancebo</t>
        </is>
      </c>
      <c r="C276" s="5" t="inlineStr">
        <is>
          <t>DIT</t>
        </is>
      </c>
      <c r="D276" s="5" t="inlineStr">
        <is>
          <t>Local600</t>
        </is>
      </c>
      <c r="E276" s="6" t="n">
        <v>35</v>
      </c>
      <c r="F276" s="5" t="n"/>
      <c r="G276" s="5" t="n"/>
      <c r="H276" s="5" t="n"/>
      <c r="I276" s="5" t="n"/>
      <c r="J276" s="7">
        <f>IF(AND(N(F276)&gt;0,N(I276)&gt;0),I276-F276-IF(N(G276)&gt;0,0.5,0)-IF(N(H276)&gt;0,0.5,0),0)</f>
        <v/>
      </c>
      <c r="K276" s="5" t="n"/>
      <c r="L276" s="7">
        <f>MIN(J276,8.0)</f>
        <v/>
      </c>
      <c r="M276" s="7">
        <f>MAX(0,MIN(J276,12)-8.0)</f>
        <v/>
      </c>
      <c r="N276" s="7">
        <f>MAX(0,J276-12)</f>
        <v/>
      </c>
      <c r="O276" s="5" t="n"/>
      <c r="P276" s="6">
        <f>E276*(L276+M276*1.5+N276*2+O276*3+N(K276))</f>
        <v/>
      </c>
      <c r="Q276" s="6" t="n">
        <v>542.5</v>
      </c>
      <c r="R276" s="6">
        <f>Q276-P276</f>
        <v/>
      </c>
    </row>
    <row r="277">
      <c r="P277" s="2" t="inlineStr">
        <is>
          <t>DIGITALIMAGINGTECHS LABOR</t>
        </is>
      </c>
      <c r="R277" s="8">
        <f>SUM(R276:R276)</f>
        <v/>
      </c>
    </row>
    <row r="279">
      <c r="B279" s="2" t="inlineStr">
        <is>
          <t>1STASSTCAMERA</t>
        </is>
      </c>
    </row>
    <row r="280">
      <c r="A280" s="5" t="inlineStr">
        <is>
          <t>3305</t>
        </is>
      </c>
      <c r="B280" s="5" t="inlineStr">
        <is>
          <t>Steve Cueva</t>
        </is>
      </c>
      <c r="C280" s="5" t="inlineStr">
        <is>
          <t>"A"CAMERA 1STAC</t>
        </is>
      </c>
      <c r="D280" s="5" t="inlineStr">
        <is>
          <t>Local600</t>
        </is>
      </c>
      <c r="E280" s="6" t="n">
        <v>25.5</v>
      </c>
      <c r="F280" s="5" t="n"/>
      <c r="G280" s="5" t="n"/>
      <c r="H280" s="5" t="n"/>
      <c r="I280" s="5" t="n"/>
      <c r="J280" s="7">
        <f>IF(AND(N(F280)&gt;0,N(I280)&gt;0),I280-F280-IF(N(G280)&gt;0,0.5,0)-IF(N(H280)&gt;0,0.5,0),0)</f>
        <v/>
      </c>
      <c r="K280" s="5" t="n"/>
      <c r="L280" s="7">
        <f>MIN(J280,8.0)</f>
        <v/>
      </c>
      <c r="M280" s="7">
        <f>MAX(0,MIN(J280,12)-8.0)</f>
        <v/>
      </c>
      <c r="N280" s="7">
        <f>MAX(0,J280-12)</f>
        <v/>
      </c>
      <c r="O280" s="5" t="n"/>
      <c r="P280" s="6">
        <f>E280*(L280+M280*1.5+N280*2+O280*3+N(K280))</f>
        <v/>
      </c>
      <c r="Q280" s="6" t="n">
        <v>395.25</v>
      </c>
      <c r="R280" s="6">
        <f>Q280-P280</f>
        <v/>
      </c>
    </row>
    <row r="281">
      <c r="A281" s="5" t="inlineStr">
        <is>
          <t>3305</t>
        </is>
      </c>
      <c r="B281" s="5" t="inlineStr">
        <is>
          <t>Chris Garcia</t>
        </is>
      </c>
      <c r="C281" s="5" t="inlineStr">
        <is>
          <t>"B"CAMERA 1STAC</t>
        </is>
      </c>
      <c r="D281" s="5" t="inlineStr">
        <is>
          <t>Local600</t>
        </is>
      </c>
      <c r="E281" s="6" t="n">
        <v>25.5</v>
      </c>
      <c r="F281" s="5" t="n"/>
      <c r="G281" s="5" t="n"/>
      <c r="H281" s="5" t="n"/>
      <c r="I281" s="5" t="n"/>
      <c r="J281" s="7">
        <f>IF(AND(N(F281)&gt;0,N(I281)&gt;0),I281-F281-IF(N(G281)&gt;0,0.5,0)-IF(N(H281)&gt;0,0.5,0),0)</f>
        <v/>
      </c>
      <c r="K281" s="5" t="n"/>
      <c r="L281" s="7">
        <f>MIN(J281,8.0)</f>
        <v/>
      </c>
      <c r="M281" s="7">
        <f>MAX(0,MIN(J281,12)-8.0)</f>
        <v/>
      </c>
      <c r="N281" s="7">
        <f>MAX(0,J281-12)</f>
        <v/>
      </c>
      <c r="O281" s="5" t="n"/>
      <c r="P281" s="6">
        <f>E281*(L281+M281*1.5+N281*2+O281*3+N(K281))</f>
        <v/>
      </c>
      <c r="Q281" s="6" t="n">
        <v>395.25</v>
      </c>
      <c r="R281" s="6">
        <f>Q281-P281</f>
        <v/>
      </c>
    </row>
    <row r="282">
      <c r="P282" s="2" t="inlineStr">
        <is>
          <t>1STASSTCAMERA LABOR</t>
        </is>
      </c>
      <c r="R282" s="8">
        <f>SUM(R280:R281)</f>
        <v/>
      </c>
    </row>
    <row r="284">
      <c r="B284" s="2" t="inlineStr">
        <is>
          <t>2NDASSTCAMERA</t>
        </is>
      </c>
    </row>
    <row r="285">
      <c r="A285" s="5" t="inlineStr">
        <is>
          <t>3306</t>
        </is>
      </c>
      <c r="B285" s="5" t="inlineStr">
        <is>
          <t>Manny Serrano</t>
        </is>
      </c>
      <c r="C285" s="5" t="inlineStr">
        <is>
          <t>"A"CAMERA 2NDAC</t>
        </is>
      </c>
      <c r="D285" s="5" t="inlineStr">
        <is>
          <t>Local600</t>
        </is>
      </c>
      <c r="E285" s="6" t="n">
        <v>23.04</v>
      </c>
      <c r="F285" s="5" t="n"/>
      <c r="G285" s="5" t="n"/>
      <c r="H285" s="5" t="n"/>
      <c r="I285" s="5" t="n"/>
      <c r="J285" s="7">
        <f>IF(AND(N(F285)&gt;0,N(I285)&gt;0),I285-F285-IF(N(G285)&gt;0,0.5,0)-IF(N(H285)&gt;0,0.5,0),0)</f>
        <v/>
      </c>
      <c r="K285" s="5" t="n"/>
      <c r="L285" s="7">
        <f>MIN(J285,8.0)</f>
        <v/>
      </c>
      <c r="M285" s="7">
        <f>MAX(0,MIN(J285,12)-8.0)</f>
        <v/>
      </c>
      <c r="N285" s="7">
        <f>MAX(0,J285-12)</f>
        <v/>
      </c>
      <c r="O285" s="5" t="n"/>
      <c r="P285" s="6">
        <f>E285*(L285+M285*1.5+N285*2+O285*3+N(K285))</f>
        <v/>
      </c>
      <c r="Q285" s="6" t="n">
        <v>357.12</v>
      </c>
      <c r="R285" s="6">
        <f>Q285-P285</f>
        <v/>
      </c>
    </row>
    <row r="286">
      <c r="A286" s="5" t="inlineStr">
        <is>
          <t>3306</t>
        </is>
      </c>
      <c r="B286" s="5" t="inlineStr"/>
      <c r="C286" s="5" t="inlineStr">
        <is>
          <t>"B"CAMERA 2NDAC</t>
        </is>
      </c>
      <c r="D286" s="5" t="inlineStr">
        <is>
          <t>Local600</t>
        </is>
      </c>
      <c r="E286" s="6" t="n">
        <v>23.04</v>
      </c>
      <c r="F286" s="5" t="n"/>
      <c r="G286" s="5" t="n"/>
      <c r="H286" s="5" t="n"/>
      <c r="I286" s="5" t="n"/>
      <c r="J286" s="7">
        <f>IF(AND(N(F286)&gt;0,N(I286)&gt;0),I286-F286-IF(N(G286)&gt;0,0.5,0)-IF(N(H286)&gt;0,0.5,0),0)</f>
        <v/>
      </c>
      <c r="K286" s="5" t="n"/>
      <c r="L286" s="7">
        <f>MIN(J286,8.0)</f>
        <v/>
      </c>
      <c r="M286" s="7">
        <f>MAX(0,MIN(J286,12)-8.0)</f>
        <v/>
      </c>
      <c r="N286" s="7">
        <f>MAX(0,J286-12)</f>
        <v/>
      </c>
      <c r="O286" s="5" t="n"/>
      <c r="P286" s="6">
        <f>E286*(L286+M286*1.5+N286*2+O286*3+N(K286))</f>
        <v/>
      </c>
      <c r="Q286" s="6" t="n">
        <v>357.12</v>
      </c>
      <c r="R286" s="6">
        <f>Q286-P286</f>
        <v/>
      </c>
    </row>
    <row r="287">
      <c r="P287" s="2" t="inlineStr">
        <is>
          <t>2NDASSTCAMERA LABOR</t>
        </is>
      </c>
      <c r="R287" s="8">
        <f>SUM(R285:R286)</f>
        <v/>
      </c>
    </row>
    <row r="289">
      <c r="B289" s="2" t="inlineStr">
        <is>
          <t>STILLPHOTOGRAPHER</t>
        </is>
      </c>
    </row>
    <row r="290">
      <c r="A290" s="5" t="inlineStr">
        <is>
          <t>3308</t>
        </is>
      </c>
      <c r="B290" s="5" t="inlineStr">
        <is>
          <t>Scott Patrick Green</t>
        </is>
      </c>
      <c r="C290" s="5" t="inlineStr">
        <is>
          <t>STILLPHOTOGRAPHER</t>
        </is>
      </c>
      <c r="D290" s="5" t="inlineStr">
        <is>
          <t>Local600</t>
        </is>
      </c>
      <c r="E290" s="6" t="n">
        <v>26.5</v>
      </c>
      <c r="F290" s="5" t="n"/>
      <c r="G290" s="5" t="n"/>
      <c r="H290" s="5" t="n"/>
      <c r="I290" s="5" t="n"/>
      <c r="J290" s="7">
        <f>IF(AND(N(F290)&gt;0,N(I290)&gt;0),I290-F290-IF(N(G290)&gt;0,0.5,0)-IF(N(H290)&gt;0,0.5,0),0)</f>
        <v/>
      </c>
      <c r="K290" s="5" t="n"/>
      <c r="L290" s="7">
        <f>MIN(J290,8.0)</f>
        <v/>
      </c>
      <c r="M290" s="7">
        <f>MAX(0,MIN(J290,12)-8.0)</f>
        <v/>
      </c>
      <c r="N290" s="7">
        <f>MAX(0,J290-12)</f>
        <v/>
      </c>
      <c r="O290" s="5" t="n"/>
      <c r="P290" s="6">
        <f>E290*(L290+M290*1.5+N290*2+O290*3+N(K290))</f>
        <v/>
      </c>
      <c r="Q290" s="6" t="n">
        <v>291.5</v>
      </c>
      <c r="R290" s="6">
        <f>Q290-P290</f>
        <v/>
      </c>
    </row>
    <row r="291">
      <c r="P291" s="2" t="inlineStr">
        <is>
          <t>STILLPHOTOGRAPHER LABOR</t>
        </is>
      </c>
      <c r="R291" s="8">
        <f>SUM(R290:R290)</f>
        <v/>
      </c>
    </row>
    <row r="293">
      <c r="B293" s="2" t="inlineStr">
        <is>
          <t>AERIAL/UNDERWATERPHOTOGRAPHY</t>
        </is>
      </c>
    </row>
    <row r="294">
      <c r="A294" s="5" t="inlineStr">
        <is>
          <t>3385</t>
        </is>
      </c>
      <c r="B294" s="5" t="inlineStr"/>
      <c r="C294" s="5" t="inlineStr">
        <is>
          <t>UNDERWATEROPERATOR</t>
        </is>
      </c>
      <c r="D294" s="5" t="inlineStr">
        <is>
          <t>Local600</t>
        </is>
      </c>
      <c r="E294" s="6" t="n">
        <v>65</v>
      </c>
      <c r="F294" s="5" t="n"/>
      <c r="G294" s="5" t="n"/>
      <c r="H294" s="5" t="n"/>
      <c r="I294" s="5" t="n"/>
      <c r="J294" s="7">
        <f>IF(AND(N(F294)&gt;0,N(I294)&gt;0),I294-F294-IF(N(G294)&gt;0,0.5,0)-IF(N(H294)&gt;0,0.5,0),0)</f>
        <v/>
      </c>
      <c r="K294" s="5" t="n"/>
      <c r="L294" s="7">
        <f>MIN(J294,8.0)</f>
        <v/>
      </c>
      <c r="M294" s="7">
        <f>MAX(0,MIN(J294,12)-8.0)</f>
        <v/>
      </c>
      <c r="N294" s="7">
        <f>MAX(0,J294-12)</f>
        <v/>
      </c>
      <c r="O294" s="5" t="n"/>
      <c r="P294" s="6">
        <f>E294*(L294+M294*1.5+N294*2+O294*3+N(K294))</f>
        <v/>
      </c>
      <c r="Q294" s="6" t="n">
        <v>910</v>
      </c>
      <c r="R294" s="6">
        <f>Q294-P294</f>
        <v/>
      </c>
    </row>
    <row r="295">
      <c r="P295" s="2" t="inlineStr">
        <is>
          <t>AERIAL/UNDERWATERPHOTOGRAPHY LABOR</t>
        </is>
      </c>
      <c r="R295" s="8">
        <f>SUM(R294:R294)</f>
        <v/>
      </c>
    </row>
    <row r="297">
      <c r="B297" s="2" t="inlineStr">
        <is>
          <t>SOUNDMIXER</t>
        </is>
      </c>
    </row>
    <row r="298">
      <c r="A298" s="5" t="inlineStr">
        <is>
          <t>3401</t>
        </is>
      </c>
      <c r="B298" s="5" t="inlineStr">
        <is>
          <t>Julian Howarth</t>
        </is>
      </c>
      <c r="C298" s="5" t="inlineStr">
        <is>
          <t>SOUNDMIXER</t>
        </is>
      </c>
      <c r="D298" s="5" t="inlineStr">
        <is>
          <t>Local695</t>
        </is>
      </c>
      <c r="E298" s="6" t="n">
        <v>26.5</v>
      </c>
      <c r="F298" s="5" t="n"/>
      <c r="G298" s="5" t="n"/>
      <c r="H298" s="5" t="n"/>
      <c r="I298" s="5" t="n"/>
      <c r="J298" s="7">
        <f>IF(AND(N(F298)&gt;0,N(I298)&gt;0),I298-F298-IF(N(G298)&gt;0,0.5,0)-IF(N(H298)&gt;0,0.5,0),0)</f>
        <v/>
      </c>
      <c r="K298" s="5" t="n"/>
      <c r="L298" s="7">
        <f>MIN(J298,10.0)</f>
        <v/>
      </c>
      <c r="M298" s="7">
        <f>MAX(0,MIN(J298,12)-10.0)</f>
        <v/>
      </c>
      <c r="N298" s="7">
        <f>MAX(0,J298-12)</f>
        <v/>
      </c>
      <c r="O298" s="5" t="n"/>
      <c r="P298" s="6">
        <f>E298*(L298+M298*1.5+N298*2+O298*3+N(K298))</f>
        <v/>
      </c>
      <c r="Q298" s="6" t="n">
        <v>410.75</v>
      </c>
      <c r="R298" s="6">
        <f>Q298-P298</f>
        <v/>
      </c>
    </row>
    <row r="299">
      <c r="P299" s="2" t="inlineStr">
        <is>
          <t>SOUNDMIXER LABOR</t>
        </is>
      </c>
      <c r="R299" s="8">
        <f>SUM(R298:R298)</f>
        <v/>
      </c>
    </row>
    <row r="301">
      <c r="B301" s="2" t="inlineStr">
        <is>
          <t>BOOMOPERATOR</t>
        </is>
      </c>
    </row>
    <row r="302">
      <c r="A302" s="5" t="inlineStr">
        <is>
          <t>3402</t>
        </is>
      </c>
      <c r="B302" s="5" t="inlineStr">
        <is>
          <t>Tim Song Jones</t>
        </is>
      </c>
      <c r="C302" s="5" t="inlineStr">
        <is>
          <t>BOOMOPERATOR</t>
        </is>
      </c>
      <c r="D302" s="5" t="inlineStr">
        <is>
          <t>Local695</t>
        </is>
      </c>
      <c r="E302" s="6" t="n">
        <v>23.04</v>
      </c>
      <c r="F302" s="5" t="n"/>
      <c r="G302" s="5" t="n"/>
      <c r="H302" s="5" t="n"/>
      <c r="I302" s="5" t="n"/>
      <c r="J302" s="7">
        <f>IF(AND(N(F302)&gt;0,N(I302)&gt;0),I302-F302-IF(N(G302)&gt;0,0.5,0)-IF(N(H302)&gt;0,0.5,0),0)</f>
        <v/>
      </c>
      <c r="K302" s="5" t="n"/>
      <c r="L302" s="7">
        <f>MIN(J302,10.0)</f>
        <v/>
      </c>
      <c r="M302" s="7">
        <f>MAX(0,MIN(J302,12)-10.0)</f>
        <v/>
      </c>
      <c r="N302" s="7">
        <f>MAX(0,J302-12)</f>
        <v/>
      </c>
      <c r="O302" s="5" t="n"/>
      <c r="P302" s="6">
        <f>E302*(L302+M302*1.5+N302*2+O302*3+N(K302))</f>
        <v/>
      </c>
      <c r="Q302" s="6" t="n">
        <v>357.12</v>
      </c>
      <c r="R302" s="6">
        <f>Q302-P302</f>
        <v/>
      </c>
    </row>
    <row r="303">
      <c r="P303" s="2" t="inlineStr">
        <is>
          <t>BOOMOPERATOR LABOR</t>
        </is>
      </c>
      <c r="R303" s="8">
        <f>SUM(R302:R302)</f>
        <v/>
      </c>
    </row>
    <row r="305">
      <c r="B305" s="2" t="inlineStr">
        <is>
          <t>CABLEPERSON</t>
        </is>
      </c>
    </row>
    <row r="306">
      <c r="A306" s="5" t="inlineStr">
        <is>
          <t>3403</t>
        </is>
      </c>
      <c r="B306" s="5" t="inlineStr"/>
      <c r="C306" s="5" t="inlineStr">
        <is>
          <t>UTILITYSOUND</t>
        </is>
      </c>
      <c r="D306" s="5" t="inlineStr">
        <is>
          <t>Local695</t>
        </is>
      </c>
      <c r="E306" s="6" t="n">
        <v>20.57</v>
      </c>
      <c r="F306" s="5" t="n"/>
      <c r="G306" s="5" t="n"/>
      <c r="H306" s="5" t="n"/>
      <c r="I306" s="5" t="n"/>
      <c r="J306" s="7">
        <f>IF(AND(N(F306)&gt;0,N(I306)&gt;0),I306-F306-IF(N(G306)&gt;0,0.5,0)-IF(N(H306)&gt;0,0.5,0),0)</f>
        <v/>
      </c>
      <c r="K306" s="5" t="n"/>
      <c r="L306" s="7">
        <f>MIN(J306,10.0)</f>
        <v/>
      </c>
      <c r="M306" s="7">
        <f>MAX(0,MIN(J306,12)-10.0)</f>
        <v/>
      </c>
      <c r="N306" s="7">
        <f>MAX(0,J306-12)</f>
        <v/>
      </c>
      <c r="O306" s="5" t="n"/>
      <c r="P306" s="6">
        <f>E306*(L306+M306*1.5+N306*2+O306*3+N(K306))</f>
        <v/>
      </c>
      <c r="Q306" s="6" t="n">
        <v>318.83</v>
      </c>
      <c r="R306" s="6">
        <f>Q306-P306</f>
        <v/>
      </c>
    </row>
    <row r="307">
      <c r="P307" s="2" t="inlineStr">
        <is>
          <t>CABLEPERSON LABOR</t>
        </is>
      </c>
      <c r="R307" s="8">
        <f>SUM(R306:R306)</f>
        <v/>
      </c>
    </row>
    <row r="309">
      <c r="B309" s="2" t="inlineStr">
        <is>
          <t>VIDEOASSIST</t>
        </is>
      </c>
    </row>
    <row r="310">
      <c r="A310" s="5" t="inlineStr">
        <is>
          <t>3404</t>
        </is>
      </c>
      <c r="B310" s="5" t="inlineStr">
        <is>
          <t>Jeff Snyder</t>
        </is>
      </c>
      <c r="C310" s="5" t="inlineStr">
        <is>
          <t>VIDEOASSISTOPERATOR</t>
        </is>
      </c>
      <c r="D310" s="5" t="inlineStr">
        <is>
          <t>Local695</t>
        </is>
      </c>
      <c r="E310" s="6" t="n">
        <v>23.04</v>
      </c>
      <c r="F310" s="5" t="n"/>
      <c r="G310" s="5" t="n"/>
      <c r="H310" s="5" t="n"/>
      <c r="I310" s="5" t="n"/>
      <c r="J310" s="7">
        <f>IF(AND(N(F310)&gt;0,N(I310)&gt;0),I310-F310-IF(N(G310)&gt;0,0.5,0)-IF(N(H310)&gt;0,0.5,0),0)</f>
        <v/>
      </c>
      <c r="K310" s="5" t="n"/>
      <c r="L310" s="7">
        <f>MIN(J310,10.0)</f>
        <v/>
      </c>
      <c r="M310" s="7">
        <f>MAX(0,MIN(J310,12)-10.0)</f>
        <v/>
      </c>
      <c r="N310" s="7">
        <f>MAX(0,J310-12)</f>
        <v/>
      </c>
      <c r="O310" s="5" t="n"/>
      <c r="P310" s="6">
        <f>E310*(L310+M310*1.5+N310*2+O310*3+N(K310))</f>
        <v/>
      </c>
      <c r="Q310" s="6" t="n">
        <v>357.12</v>
      </c>
      <c r="R310" s="6">
        <f>Q310-P310</f>
        <v/>
      </c>
    </row>
    <row r="311">
      <c r="P311" s="2" t="inlineStr">
        <is>
          <t>VIDEOASSIST LABOR</t>
        </is>
      </c>
      <c r="R311" s="8">
        <f>SUM(R310:R310)</f>
        <v/>
      </c>
    </row>
    <row r="313">
      <c r="B313" s="2" t="inlineStr">
        <is>
          <t>CAPTAIN</t>
        </is>
      </c>
    </row>
    <row r="314">
      <c r="A314" s="5" t="inlineStr">
        <is>
          <t>3502</t>
        </is>
      </c>
      <c r="B314" s="5" t="inlineStr">
        <is>
          <t>Kevin Caira</t>
        </is>
      </c>
      <c r="C314" s="5" t="inlineStr">
        <is>
          <t>TRANSPOCAPTAIN(LA)</t>
        </is>
      </c>
      <c r="D314" s="5" t="inlineStr">
        <is>
          <t>Local399</t>
        </is>
      </c>
      <c r="E314" s="6" t="n">
        <v>37.21</v>
      </c>
      <c r="F314" s="5" t="n"/>
      <c r="G314" s="5" t="n"/>
      <c r="H314" s="5" t="n"/>
      <c r="I314" s="5" t="n"/>
      <c r="J314" s="7">
        <f>IF(AND(N(F314)&gt;0,N(I314)&gt;0),I314-F314-IF(N(G314)&gt;0,0.5,0)-IF(N(H314)&gt;0,0.5,0),0)</f>
        <v/>
      </c>
      <c r="K314" s="5" t="n"/>
      <c r="L314" s="7">
        <f>MIN(J314,8.0)</f>
        <v/>
      </c>
      <c r="M314" s="7">
        <f>MAX(0,MIN(J314,12)-8.0)</f>
        <v/>
      </c>
      <c r="N314" s="7">
        <f>MAX(0,J314-12)</f>
        <v/>
      </c>
      <c r="O314" s="5" t="n"/>
      <c r="P314" s="6">
        <f>E314*(L314+M314*1.5+N314*2+O314*3+N(K314))</f>
        <v/>
      </c>
      <c r="Q314" s="6" t="n">
        <v>651.17</v>
      </c>
      <c r="R314" s="6">
        <f>Q314-P314</f>
        <v/>
      </c>
    </row>
    <row r="315">
      <c r="A315" s="5" t="inlineStr">
        <is>
          <t>3502</t>
        </is>
      </c>
      <c r="B315" s="5" t="inlineStr">
        <is>
          <t>Tina Peterson</t>
        </is>
      </c>
      <c r="C315" s="5" t="inlineStr">
        <is>
          <t>CO-CAPTAIN</t>
        </is>
      </c>
      <c r="D315" s="5" t="inlineStr">
        <is>
          <t>Local399</t>
        </is>
      </c>
      <c r="E315" s="6" t="n">
        <v>37.21</v>
      </c>
      <c r="F315" s="5" t="n"/>
      <c r="G315" s="5" t="n"/>
      <c r="H315" s="5" t="n"/>
      <c r="I315" s="5" t="n"/>
      <c r="J315" s="7">
        <f>IF(AND(N(F315)&gt;0,N(I315)&gt;0),I315-F315-IF(N(G315)&gt;0,0.5,0)-IF(N(H315)&gt;0,0.5,0),0)</f>
        <v/>
      </c>
      <c r="K315" s="5" t="n"/>
      <c r="L315" s="7">
        <f>MIN(J315,8.0)</f>
        <v/>
      </c>
      <c r="M315" s="7">
        <f>MAX(0,MIN(J315,12)-8.0)</f>
        <v/>
      </c>
      <c r="N315" s="7">
        <f>MAX(0,J315-12)</f>
        <v/>
      </c>
      <c r="O315" s="5" t="n"/>
      <c r="P315" s="6">
        <f>E315*(L315+M315*1.5+N315*2+O315*3+N(K315))</f>
        <v/>
      </c>
      <c r="Q315" s="6" t="n">
        <v>576.75</v>
      </c>
      <c r="R315" s="6">
        <f>Q315-P315</f>
        <v/>
      </c>
    </row>
    <row r="316">
      <c r="P316" s="2" t="inlineStr">
        <is>
          <t>CAPTAIN LABOR</t>
        </is>
      </c>
      <c r="R316" s="8">
        <f>SUM(R314:R315)</f>
        <v/>
      </c>
    </row>
    <row r="318">
      <c r="B318" s="2" t="inlineStr">
        <is>
          <t>DRIVERS</t>
        </is>
      </c>
    </row>
    <row r="319">
      <c r="A319" s="5" t="inlineStr">
        <is>
          <t>3503</t>
        </is>
      </c>
      <c r="B319" s="5" t="inlineStr"/>
      <c r="C319" s="5" t="inlineStr">
        <is>
          <t>GRIPTRUCK 48'TRACTORTRAILERDRIVER</t>
        </is>
      </c>
      <c r="D319" s="5" t="inlineStr"/>
      <c r="E319" s="6" t="n">
        <v>32.36</v>
      </c>
      <c r="F319" s="5" t="n"/>
      <c r="G319" s="5" t="n"/>
      <c r="H319" s="5" t="n"/>
      <c r="I319" s="5" t="n"/>
      <c r="J319" s="7">
        <f>IF(AND(N(F319)&gt;0,N(I319)&gt;0),I319-F319-IF(N(G319)&gt;0,0.5,0)-IF(N(H319)&gt;0,0.5,0),0)</f>
        <v/>
      </c>
      <c r="K319" s="5" t="n"/>
      <c r="L319" s="7">
        <f>MIN(J319,8.0)</f>
        <v/>
      </c>
      <c r="M319" s="7">
        <f>MAX(0,MIN(J319,12)-8.0)</f>
        <v/>
      </c>
      <c r="N319" s="7">
        <f>MAX(0,J319-12)</f>
        <v/>
      </c>
      <c r="O319" s="5" t="n"/>
      <c r="P319" s="6">
        <f>E319*(L319+M319*1.5+N319*2+O319*3+N(K319))</f>
        <v/>
      </c>
      <c r="Q319" s="6" t="n">
        <v>501.58</v>
      </c>
      <c r="R319" s="6">
        <f>Q319-P319</f>
        <v/>
      </c>
    </row>
    <row r="320">
      <c r="A320" s="5" t="inlineStr">
        <is>
          <t>3503</t>
        </is>
      </c>
      <c r="B320" s="5" t="inlineStr">
        <is>
          <t>Donald Wilson</t>
        </is>
      </c>
      <c r="C320" s="5" t="inlineStr">
        <is>
          <t>PROP 5-TON(ENCLOSED)</t>
        </is>
      </c>
      <c r="D320" s="5" t="inlineStr"/>
      <c r="E320" s="6" t="n">
        <v>32.36</v>
      </c>
      <c r="F320" s="5" t="n"/>
      <c r="G320" s="5" t="n"/>
      <c r="H320" s="5" t="n"/>
      <c r="I320" s="5" t="n"/>
      <c r="J320" s="7">
        <f>IF(AND(N(F320)&gt;0,N(I320)&gt;0),I320-F320-IF(N(G320)&gt;0,0.5,0)-IF(N(H320)&gt;0,0.5,0),0)</f>
        <v/>
      </c>
      <c r="K320" s="5" t="n"/>
      <c r="L320" s="7">
        <f>MIN(J320,8.0)</f>
        <v/>
      </c>
      <c r="M320" s="7">
        <f>MAX(0,MIN(J320,12)-8.0)</f>
        <v/>
      </c>
      <c r="N320" s="7">
        <f>MAX(0,J320-12)</f>
        <v/>
      </c>
      <c r="O320" s="5" t="n"/>
      <c r="P320" s="6">
        <f>E320*(L320+M320*1.5+N320*2+O320*3+N(K320))</f>
        <v/>
      </c>
      <c r="Q320" s="6" t="n">
        <v>501.58</v>
      </c>
      <c r="R320" s="6">
        <f>Q320-P320</f>
        <v/>
      </c>
    </row>
    <row r="321">
      <c r="A321" s="5" t="inlineStr">
        <is>
          <t>3503</t>
        </is>
      </c>
      <c r="B321" s="5" t="inlineStr"/>
      <c r="C321" s="5" t="inlineStr">
        <is>
          <t>WARDROBESTAKEBEDDRIVER#1</t>
        </is>
      </c>
      <c r="D321" s="5" t="inlineStr"/>
      <c r="E321" s="6" t="n">
        <v>37.99</v>
      </c>
      <c r="F321" s="5" t="n"/>
      <c r="G321" s="5" t="n"/>
      <c r="H321" s="5" t="n"/>
      <c r="I321" s="5" t="n"/>
      <c r="J321" s="7">
        <f>IF(AND(N(F321)&gt;0,N(I321)&gt;0),I321-F321-IF(N(G321)&gt;0,0.5,0)-IF(N(H321)&gt;0,0.5,0),0)</f>
        <v/>
      </c>
      <c r="K321" s="5" t="n"/>
      <c r="L321" s="7">
        <f>MIN(J321,8.0)</f>
        <v/>
      </c>
      <c r="M321" s="7">
        <f>MAX(0,MIN(J321,12)-8.0)</f>
        <v/>
      </c>
      <c r="N321" s="7">
        <f>MAX(0,J321-12)</f>
        <v/>
      </c>
      <c r="O321" s="5" t="n"/>
      <c r="P321" s="6">
        <f>E321*(L321+M321*1.5+N321*2+O321*3+N(K321))</f>
        <v/>
      </c>
      <c r="Q321" s="6" t="n">
        <v>588.85</v>
      </c>
      <c r="R321" s="6">
        <f>Q321-P321</f>
        <v/>
      </c>
    </row>
    <row r="322">
      <c r="A322" s="5" t="inlineStr">
        <is>
          <t>3503</t>
        </is>
      </c>
      <c r="B322" s="5" t="inlineStr"/>
      <c r="C322" s="5" t="inlineStr">
        <is>
          <t>MAKEUPHAIRTRAILERDRIVER</t>
        </is>
      </c>
      <c r="D322" s="5" t="inlineStr"/>
      <c r="E322" s="6" t="n">
        <v>32.36</v>
      </c>
      <c r="F322" s="5" t="n"/>
      <c r="G322" s="5" t="n"/>
      <c r="H322" s="5" t="n"/>
      <c r="I322" s="5" t="n"/>
      <c r="J322" s="7">
        <f>IF(AND(N(F322)&gt;0,N(I322)&gt;0),I322-F322-IF(N(G322)&gt;0,0.5,0)-IF(N(H322)&gt;0,0.5,0),0)</f>
        <v/>
      </c>
      <c r="K322" s="5" t="n"/>
      <c r="L322" s="7">
        <f>MIN(J322,8.0)</f>
        <v/>
      </c>
      <c r="M322" s="7">
        <f>MAX(0,MIN(J322,12)-8.0)</f>
        <v/>
      </c>
      <c r="N322" s="7">
        <f>MAX(0,J322-12)</f>
        <v/>
      </c>
      <c r="O322" s="5" t="n"/>
      <c r="P322" s="6">
        <f>E322*(L322+M322*1.5+N322*2+O322*3+N(K322))</f>
        <v/>
      </c>
      <c r="Q322" s="6" t="n">
        <v>501.58</v>
      </c>
      <c r="R322" s="6">
        <f>Q322-P322</f>
        <v/>
      </c>
    </row>
    <row r="323">
      <c r="A323" s="5" t="inlineStr">
        <is>
          <t>3503</t>
        </is>
      </c>
      <c r="B323" s="5" t="inlineStr"/>
      <c r="C323" s="5" t="inlineStr">
        <is>
          <t>ELECTRIC 10TONDRIVER(GENIEOPERATOR)</t>
        </is>
      </c>
      <c r="D323" s="5" t="inlineStr"/>
      <c r="E323" s="6" t="n">
        <v>37.99</v>
      </c>
      <c r="F323" s="5" t="n"/>
      <c r="G323" s="5" t="n"/>
      <c r="H323" s="5" t="n"/>
      <c r="I323" s="5" t="n"/>
      <c r="J323" s="7">
        <f>IF(AND(N(F323)&gt;0,N(I323)&gt;0),I323-F323-IF(N(G323)&gt;0,0.5,0)-IF(N(H323)&gt;0,0.5,0),0)</f>
        <v/>
      </c>
      <c r="K323" s="5" t="n"/>
      <c r="L323" s="7">
        <f>MIN(J323,8.0)</f>
        <v/>
      </c>
      <c r="M323" s="7">
        <f>MAX(0,MIN(J323,12)-8.0)</f>
        <v/>
      </c>
      <c r="N323" s="7">
        <f>MAX(0,J323-12)</f>
        <v/>
      </c>
      <c r="O323" s="5" t="n"/>
      <c r="P323" s="6">
        <f>E323*(L323+M323*1.5+N323*2+O323*3+N(K323))</f>
        <v/>
      </c>
      <c r="Q323" s="6" t="n">
        <v>588.85</v>
      </c>
      <c r="R323" s="6">
        <f>Q323-P323</f>
        <v/>
      </c>
    </row>
    <row r="324">
      <c r="A324" s="5" t="inlineStr">
        <is>
          <t>3503</t>
        </is>
      </c>
      <c r="B324" s="5" t="inlineStr"/>
      <c r="C324" s="5" t="inlineStr">
        <is>
          <t>SOUNDCCSTAKEBEDFUELTRUCKDRIVER</t>
        </is>
      </c>
      <c r="D324" s="5" t="inlineStr"/>
      <c r="E324" s="6" t="n">
        <v>32.36</v>
      </c>
      <c r="F324" s="5" t="n"/>
      <c r="G324" s="5" t="n"/>
      <c r="H324" s="5" t="n"/>
      <c r="I324" s="5" t="n"/>
      <c r="J324" s="7">
        <f>IF(AND(N(F324)&gt;0,N(I324)&gt;0),I324-F324-IF(N(G324)&gt;0,0.5,0)-IF(N(H324)&gt;0,0.5,0),0)</f>
        <v/>
      </c>
      <c r="K324" s="5" t="n"/>
      <c r="L324" s="7">
        <f>MIN(J324,8.0)</f>
        <v/>
      </c>
      <c r="M324" s="7">
        <f>MAX(0,MIN(J324,12)-8.0)</f>
        <v/>
      </c>
      <c r="N324" s="7">
        <f>MAX(0,J324-12)</f>
        <v/>
      </c>
      <c r="O324" s="5" t="n"/>
      <c r="P324" s="6">
        <f>E324*(L324+M324*1.5+N324*2+O324*3+N(K324))</f>
        <v/>
      </c>
      <c r="Q324" s="6" t="n">
        <v>501.58</v>
      </c>
      <c r="R324" s="6">
        <f>Q324-P324</f>
        <v/>
      </c>
    </row>
    <row r="325">
      <c r="A325" s="5" t="inlineStr">
        <is>
          <t>3503</t>
        </is>
      </c>
      <c r="B325" s="5" t="inlineStr"/>
      <c r="C325" s="5" t="inlineStr">
        <is>
          <t>9-ROOMHONEYWAGONTRACTORDRIVER</t>
        </is>
      </c>
      <c r="D325" s="5" t="inlineStr"/>
      <c r="E325" s="6" t="n">
        <v>32.36</v>
      </c>
      <c r="F325" s="5" t="n"/>
      <c r="G325" s="5" t="n"/>
      <c r="H325" s="5" t="n"/>
      <c r="I325" s="5" t="n"/>
      <c r="J325" s="7">
        <f>IF(AND(N(F325)&gt;0,N(I325)&gt;0),I325-F325-IF(N(G325)&gt;0,0.5,0)-IF(N(H325)&gt;0,0.5,0),0)</f>
        <v/>
      </c>
      <c r="K325" s="5" t="n"/>
      <c r="L325" s="7">
        <f>MIN(J325,8.0)</f>
        <v/>
      </c>
      <c r="M325" s="7">
        <f>MAX(0,MIN(J325,12)-8.0)</f>
        <v/>
      </c>
      <c r="N325" s="7">
        <f>MAX(0,J325-12)</f>
        <v/>
      </c>
      <c r="O325" s="5" t="n"/>
      <c r="P325" s="6">
        <f>E325*(L325+M325*1.5+N325*2+O325*3+N(K325))</f>
        <v/>
      </c>
      <c r="Q325" s="6" t="n">
        <v>501.58</v>
      </c>
      <c r="R325" s="6">
        <f>Q325-P325</f>
        <v/>
      </c>
    </row>
    <row r="326">
      <c r="A326" s="5" t="inlineStr">
        <is>
          <t>3503</t>
        </is>
      </c>
      <c r="B326" s="5" t="inlineStr"/>
      <c r="C326" s="5" t="inlineStr">
        <is>
          <t>FORDTRANSITVANDRIVER#1</t>
        </is>
      </c>
      <c r="D326" s="5" t="inlineStr"/>
      <c r="E326" s="6" t="n">
        <v>32.36</v>
      </c>
      <c r="F326" s="5" t="n"/>
      <c r="G326" s="5" t="n"/>
      <c r="H326" s="5" t="n"/>
      <c r="I326" s="5" t="n"/>
      <c r="J326" s="7">
        <f>IF(AND(N(F326)&gt;0,N(I326)&gt;0),I326-F326-IF(N(G326)&gt;0,0.5,0)-IF(N(H326)&gt;0,0.5,0),0)</f>
        <v/>
      </c>
      <c r="K326" s="5" t="n"/>
      <c r="L326" s="7">
        <f>MIN(J326,8.0)</f>
        <v/>
      </c>
      <c r="M326" s="7">
        <f>MAX(0,MIN(J326,12)-8.0)</f>
        <v/>
      </c>
      <c r="N326" s="7">
        <f>MAX(0,J326-12)</f>
        <v/>
      </c>
      <c r="O326" s="5" t="n"/>
      <c r="P326" s="6">
        <f>E326*(L326+M326*1.5+N326*2+O326*3+N(K326))</f>
        <v/>
      </c>
      <c r="Q326" s="6" t="n">
        <v>501.58</v>
      </c>
      <c r="R326" s="6">
        <f>Q326-P326</f>
        <v/>
      </c>
    </row>
    <row r="327">
      <c r="A327" s="5" t="inlineStr">
        <is>
          <t>3503</t>
        </is>
      </c>
      <c r="B327" s="5" t="inlineStr">
        <is>
          <t>Kaiser Clark</t>
        </is>
      </c>
      <c r="C327" s="5" t="inlineStr">
        <is>
          <t>CSETDECTRUCKDRIVER#1</t>
        </is>
      </c>
      <c r="D327" s="5" t="inlineStr"/>
      <c r="E327" s="6" t="n">
        <v>32.36</v>
      </c>
      <c r="F327" s="5" t="n"/>
      <c r="G327" s="5" t="n"/>
      <c r="H327" s="5" t="n"/>
      <c r="I327" s="5" t="n"/>
      <c r="J327" s="7">
        <f>IF(AND(N(F327)&gt;0,N(I327)&gt;0),I327-F327-IF(N(G327)&gt;0,0.5,0)-IF(N(H327)&gt;0,0.5,0),0)</f>
        <v/>
      </c>
      <c r="K327" s="5" t="n"/>
      <c r="L327" s="7">
        <f>MIN(J327,8.0)</f>
        <v/>
      </c>
      <c r="M327" s="7">
        <f>MAX(0,MIN(J327,12)-8.0)</f>
        <v/>
      </c>
      <c r="N327" s="7">
        <f>MAX(0,J327-12)</f>
        <v/>
      </c>
      <c r="O327" s="5" t="n"/>
      <c r="P327" s="6">
        <f>E327*(L327+M327*1.5+N327*2+O327*3+N(K327))</f>
        <v/>
      </c>
      <c r="Q327" s="6" t="n">
        <v>501.58</v>
      </c>
      <c r="R327" s="6">
        <f>Q327-P327</f>
        <v/>
      </c>
    </row>
    <row r="328">
      <c r="A328" s="5" t="inlineStr">
        <is>
          <t>3503</t>
        </is>
      </c>
      <c r="B328" s="5" t="inlineStr"/>
      <c r="C328" s="5" t="inlineStr">
        <is>
          <t>C 5-TONENCLOSEDRIGGINGGRIPDRIVER</t>
        </is>
      </c>
      <c r="D328" s="5" t="inlineStr"/>
      <c r="E328" s="6" t="n">
        <v>32.36</v>
      </c>
      <c r="F328" s="5" t="n"/>
      <c r="G328" s="5" t="n"/>
      <c r="H328" s="5" t="n"/>
      <c r="I328" s="5" t="n"/>
      <c r="J328" s="7">
        <f>IF(AND(N(F328)&gt;0,N(I328)&gt;0),I328-F328-IF(N(G328)&gt;0,0.5,0)-IF(N(H328)&gt;0,0.5,0),0)</f>
        <v/>
      </c>
      <c r="K328" s="5" t="n"/>
      <c r="L328" s="7">
        <f>MIN(J328,8.0)</f>
        <v/>
      </c>
      <c r="M328" s="7">
        <f>MAX(0,MIN(J328,12)-8.0)</f>
        <v/>
      </c>
      <c r="N328" s="7">
        <f>MAX(0,J328-12)</f>
        <v/>
      </c>
      <c r="O328" s="5" t="n"/>
      <c r="P328" s="6">
        <f>E328*(L328+M328*1.5+N328*2+O328*3+N(K328))</f>
        <v/>
      </c>
      <c r="Q328" s="5" t="n"/>
      <c r="R328" s="6">
        <f>Q328-P328</f>
        <v/>
      </c>
    </row>
    <row r="329">
      <c r="A329" s="5" t="inlineStr">
        <is>
          <t>3503</t>
        </is>
      </c>
      <c r="B329" s="5" t="inlineStr"/>
      <c r="C329" s="5" t="inlineStr">
        <is>
          <t>SCOUTBUS</t>
        </is>
      </c>
      <c r="D329" s="5" t="inlineStr"/>
      <c r="E329" s="6" t="n">
        <v>32.36</v>
      </c>
      <c r="F329" s="5" t="n"/>
      <c r="G329" s="5" t="n"/>
      <c r="H329" s="5" t="n"/>
      <c r="I329" s="5" t="n"/>
      <c r="J329" s="7">
        <f>IF(AND(N(F329)&gt;0,N(I329)&gt;0),I329-F329-IF(N(G329)&gt;0,0.5,0)-IF(N(H329)&gt;0,0.5,0),0)</f>
        <v/>
      </c>
      <c r="K329" s="5" t="n"/>
      <c r="L329" s="7">
        <f>MIN(J329,8.0)</f>
        <v/>
      </c>
      <c r="M329" s="7">
        <f>MAX(0,MIN(J329,12)-8.0)</f>
        <v/>
      </c>
      <c r="N329" s="7">
        <f>MAX(0,J329-12)</f>
        <v/>
      </c>
      <c r="O329" s="5" t="n"/>
      <c r="P329" s="6">
        <f>E329*(L329+M329*1.5+N329*2+O329*3+N(K329))</f>
        <v/>
      </c>
      <c r="Q329" s="5" t="n"/>
      <c r="R329" s="6">
        <f>Q329-P329</f>
        <v/>
      </c>
    </row>
    <row r="330">
      <c r="A330" s="5" t="inlineStr">
        <is>
          <t>3503</t>
        </is>
      </c>
      <c r="B330" s="5" t="inlineStr"/>
      <c r="C330" s="5" t="inlineStr">
        <is>
          <t>DRIVERMANDAYS</t>
        </is>
      </c>
      <c r="D330" s="5" t="inlineStr"/>
      <c r="E330" s="6" t="n">
        <v>32.36</v>
      </c>
      <c r="F330" s="5" t="n"/>
      <c r="G330" s="5" t="n"/>
      <c r="H330" s="5" t="n"/>
      <c r="I330" s="5" t="n"/>
      <c r="J330" s="7">
        <f>IF(AND(N(F330)&gt;0,N(I330)&gt;0),I330-F330-IF(N(G330)&gt;0,0.5,0)-IF(N(H330)&gt;0,0.5,0),0)</f>
        <v/>
      </c>
      <c r="K330" s="5" t="n"/>
      <c r="L330" s="7">
        <f>MIN(J330,8.0)</f>
        <v/>
      </c>
      <c r="M330" s="7">
        <f>MAX(0,MIN(J330,12)-8.0)</f>
        <v/>
      </c>
      <c r="N330" s="7">
        <f>MAX(0,J330-12)</f>
        <v/>
      </c>
      <c r="O330" s="5" t="n"/>
      <c r="P330" s="6">
        <f>E330*(L330+M330*1.5+N330*2+O330*3+N(K330))</f>
        <v/>
      </c>
      <c r="Q330" s="5" t="n"/>
      <c r="R330" s="6">
        <f>Q330-P330</f>
        <v/>
      </c>
    </row>
    <row r="331">
      <c r="P331" s="2" t="inlineStr">
        <is>
          <t>DRIVERS LABOR</t>
        </is>
      </c>
      <c r="R331" s="8">
        <f>SUM(R319:R330)</f>
        <v/>
      </c>
    </row>
    <row r="333">
      <c r="B333" s="2" t="inlineStr">
        <is>
          <t>LOCATIONSITEFEES</t>
        </is>
      </c>
    </row>
    <row r="334">
      <c r="A334" s="5" t="inlineStr">
        <is>
          <t>3607</t>
        </is>
      </c>
      <c r="B334" s="5" t="inlineStr"/>
      <c r="C334" s="5" t="inlineStr">
        <is>
          <t>Location#1(Hospital ER, LACountry Childrens Shelter, Shelter Dorm, Dept...</t>
        </is>
      </c>
      <c r="D334" s="5" t="inlineStr">
        <is>
          <t>Local400</t>
        </is>
      </c>
      <c r="E334" s="6" t="n">
        <v>50000</v>
      </c>
      <c r="F334" s="5" t="n"/>
      <c r="G334" s="5" t="n"/>
      <c r="H334" s="5" t="n"/>
      <c r="I334" s="5" t="n"/>
      <c r="J334" s="7">
        <f>IF(AND(N(F334)&gt;0,N(I334)&gt;0),I334-F334-IF(N(G334)&gt;0,0.5,0)-IF(N(H334)&gt;0,0.5,0),0)</f>
        <v/>
      </c>
      <c r="K334" s="5" t="n"/>
      <c r="L334" s="7">
        <f>MIN(J334,8.0)</f>
        <v/>
      </c>
      <c r="M334" s="7">
        <f>MAX(0,MIN(J334,12)-8.0)</f>
        <v/>
      </c>
      <c r="N334" s="7">
        <f>MAX(0,J334-12)</f>
        <v/>
      </c>
      <c r="O334" s="5" t="n"/>
      <c r="P334" s="6">
        <f>E334*(L334+M334*1.5+N334*2+O334*3+N(K334))</f>
        <v/>
      </c>
      <c r="Q334" s="6" t="n">
        <v>50000</v>
      </c>
      <c r="R334" s="6">
        <f>Q334-P334</f>
        <v/>
      </c>
    </row>
    <row r="335">
      <c r="P335" s="2" t="inlineStr">
        <is>
          <t>LOCATIONSITEFEES LABOR</t>
        </is>
      </c>
      <c r="R335" s="8">
        <f>SUM(R334:R334)</f>
        <v/>
      </c>
    </row>
    <row r="337">
      <c r="B337" s="2" t="inlineStr">
        <is>
          <t>CATERINGLABOR</t>
        </is>
      </c>
    </row>
    <row r="338">
      <c r="A338" s="5" t="inlineStr">
        <is>
          <t>3621</t>
        </is>
      </c>
      <c r="B338" s="5" t="inlineStr"/>
      <c r="C338" s="5" t="inlineStr">
        <is>
          <t>COOKDRIVER#1</t>
        </is>
      </c>
      <c r="D338" s="5" t="inlineStr">
        <is>
          <t>Local399</t>
        </is>
      </c>
      <c r="E338" s="6" t="n">
        <v>32.36</v>
      </c>
      <c r="F338" s="5" t="n"/>
      <c r="G338" s="5" t="n"/>
      <c r="H338" s="5" t="n"/>
      <c r="I338" s="5" t="n"/>
      <c r="J338" s="7">
        <f>IF(AND(N(F338)&gt;0,N(I338)&gt;0),I338-F338-IF(N(G338)&gt;0,0.5,0)-IF(N(H338)&gt;0,0.5,0),0)</f>
        <v/>
      </c>
      <c r="K338" s="5" t="n"/>
      <c r="L338" s="7">
        <f>MIN(J338,8.0)</f>
        <v/>
      </c>
      <c r="M338" s="7">
        <f>MAX(0,MIN(J338,12)-8.0)</f>
        <v/>
      </c>
      <c r="N338" s="7">
        <f>MAX(0,J338-12)</f>
        <v/>
      </c>
      <c r="O338" s="5" t="n"/>
      <c r="P338" s="6">
        <f>E338*(L338+M338*1.5+N338*2+O338*3+N(K338))</f>
        <v/>
      </c>
      <c r="Q338" s="6" t="n">
        <v>647.2</v>
      </c>
      <c r="R338" s="6">
        <f>Q338-P338</f>
        <v/>
      </c>
    </row>
    <row r="339">
      <c r="A339" s="5" t="inlineStr">
        <is>
          <t>3621</t>
        </is>
      </c>
      <c r="B339" s="5" t="inlineStr"/>
      <c r="C339" s="5" t="inlineStr">
        <is>
          <t>1STASSTCATERER#1</t>
        </is>
      </c>
      <c r="D339" s="5" t="inlineStr"/>
      <c r="E339" s="6" t="n">
        <v>17</v>
      </c>
      <c r="F339" s="5" t="n"/>
      <c r="G339" s="5" t="n"/>
      <c r="H339" s="5" t="n"/>
      <c r="I339" s="5" t="n"/>
      <c r="J339" s="7">
        <f>IF(AND(N(F339)&gt;0,N(I339)&gt;0),I339-F339-IF(N(G339)&gt;0,0.5,0)-IF(N(H339)&gt;0,0.5,0),0)</f>
        <v/>
      </c>
      <c r="K339" s="5" t="n"/>
      <c r="L339" s="7">
        <f>MIN(J339,8.0)</f>
        <v/>
      </c>
      <c r="M339" s="7">
        <f>MAX(0,MIN(J339,12)-8.0)</f>
        <v/>
      </c>
      <c r="N339" s="7">
        <f>MAX(0,J339-12)</f>
        <v/>
      </c>
      <c r="O339" s="5" t="n"/>
      <c r="P339" s="6">
        <f>E339*(L339+M339*1.5+N339*2+O339*3+N(K339))</f>
        <v/>
      </c>
      <c r="Q339" s="6" t="n">
        <v>340</v>
      </c>
      <c r="R339" s="6">
        <f>Q339-P339</f>
        <v/>
      </c>
    </row>
    <row r="340">
      <c r="A340" s="5" t="inlineStr">
        <is>
          <t>3621</t>
        </is>
      </c>
      <c r="B340" s="5" t="inlineStr"/>
      <c r="C340" s="5" t="inlineStr">
        <is>
          <t>1STASSTCATERER#2</t>
        </is>
      </c>
      <c r="D340" s="5" t="inlineStr"/>
      <c r="E340" s="6" t="n">
        <v>16</v>
      </c>
      <c r="F340" s="5" t="n"/>
      <c r="G340" s="5" t="n"/>
      <c r="H340" s="5" t="n"/>
      <c r="I340" s="5" t="n"/>
      <c r="J340" s="7">
        <f>IF(AND(N(F340)&gt;0,N(I340)&gt;0),I340-F340-IF(N(G340)&gt;0,0.5,0)-IF(N(H340)&gt;0,0.5,0),0)</f>
        <v/>
      </c>
      <c r="K340" s="5" t="n"/>
      <c r="L340" s="7">
        <f>MIN(J340,8.0)</f>
        <v/>
      </c>
      <c r="M340" s="7">
        <f>MAX(0,MIN(J340,12)-8.0)</f>
        <v/>
      </c>
      <c r="N340" s="7">
        <f>MAX(0,J340-12)</f>
        <v/>
      </c>
      <c r="O340" s="5" t="n"/>
      <c r="P340" s="6">
        <f>E340*(L340+M340*1.5+N340*2+O340*3+N(K340))</f>
        <v/>
      </c>
      <c r="Q340" s="6" t="n">
        <v>320</v>
      </c>
      <c r="R340" s="6">
        <f>Q340-P340</f>
        <v/>
      </c>
    </row>
    <row r="341">
      <c r="P341" s="2" t="inlineStr">
        <is>
          <t>CATERINGLABOR LABOR</t>
        </is>
      </c>
      <c r="R341" s="8">
        <f>SUM(R338:R340)</f>
        <v/>
      </c>
    </row>
    <row r="343">
      <c r="K343" s="9" t="inlineStr">
        <is>
          <t>TOTAL</t>
        </is>
      </c>
      <c r="P343" s="9" t="inlineStr">
        <is>
          <t>ACTUAL</t>
        </is>
      </c>
      <c r="Q343" s="9" t="inlineStr">
        <is>
          <t>BUDGET</t>
        </is>
      </c>
      <c r="R343" s="9" t="inlineStr">
        <is>
          <t>TOTAL VAR</t>
        </is>
      </c>
    </row>
    <row r="344">
      <c r="P344" s="9" t="inlineStr">
        <is>
          <t>DAY COST</t>
        </is>
      </c>
      <c r="Q344" s="9" t="inlineStr">
        <is>
          <t>DY COST</t>
        </is>
      </c>
      <c r="R344" s="9" t="inlineStr">
        <is>
          <t>(OVER) / UNDER</t>
        </is>
      </c>
    </row>
    <row r="345">
      <c r="P345" s="10">
        <f>SUM(P6:P6)+SUM(P10:P11)+SUM(P15:P17)+SUM(P21:P22)+SUM(P26:P32)+SUM(P36:P36)+SUM(P40:P41)+SUM(P45:P45)+SUM(P49:P49)+SUM(P53:P54)+SUM(P58:P58)+SUM(P62:P62)+SUM(P66:P67)+SUM(P71:P71)+SUM(P75:P75)+SUM(P79:P80)+SUM(P84:P84)+SUM(P88:P88)+SUM(P92:P93)+SUM(P97:P100)+SUM(P104:P104)+SUM(P108:P109)+SUM(P113:P113)+SUM(P117:P117)+SUM(P121:P121)+SUM(P125:P125)+SUM(P129:P130)+SUM(P134:P134)+SUM(P138:P139)+SUM(P143:P145)+SUM(P149:P149)+SUM(P153:P153)+SUM(P157:P158)+SUM(P162:P163)+SUM(P167:P167)+SUM(P171:P173)+SUM(P177:P177)+SUM(P181:P181)+SUM(P185:P187)+SUM(P191:P191)+SUM(P195:P195)+SUM(P199:P199)+SUM(P203:P203)+SUM(P207:P207)+SUM(P211:P211)+SUM(P215:P216)+SUM(P220:P220)+SUM(P224:P224)+SUM(P228:P228)+SUM(P232:P233)+SUM(P237:P237)+SUM(P241:P241)+SUM(P245:P245)+SUM(P249:P249)+SUM(P253:P254)+SUM(P258:P260)+SUM(P264:P264)+SUM(P268:P268)+SUM(P272:P272)+SUM(P276:P276)+SUM(P280:P281)+SUM(P285:P286)+SUM(P290:P290)+SUM(P294:P294)+SUM(P298:P298)+SUM(P302:P302)+SUM(P306:P306)+SUM(P310:P310)+SUM(P314:P315)+SUM(P319:P330)+SUM(P334:P334)+SUM(P338:P340)</f>
        <v/>
      </c>
      <c r="Q345" s="10">
        <f>SUM(Q6:Q6)+SUM(Q10:Q11)+SUM(Q15:Q17)+SUM(Q21:Q22)+SUM(Q26:Q32)+SUM(Q36:Q36)+SUM(Q40:Q41)+SUM(Q45:Q45)+SUM(Q49:Q49)+SUM(Q53:Q54)+SUM(Q58:Q58)+SUM(Q62:Q62)+SUM(Q66:Q67)+SUM(Q71:Q71)+SUM(Q75:Q75)+SUM(Q79:Q80)+SUM(Q84:Q84)+SUM(Q88:Q88)+SUM(Q92:Q93)+SUM(Q97:Q100)+SUM(Q104:Q104)+SUM(Q108:Q109)+SUM(Q113:Q113)+SUM(Q117:Q117)+SUM(Q121:Q121)+SUM(Q125:Q125)+SUM(Q129:Q130)+SUM(Q134:Q134)+SUM(Q138:Q139)+SUM(Q143:Q145)+SUM(Q149:Q149)+SUM(Q153:Q153)+SUM(Q157:Q158)+SUM(Q162:Q163)+SUM(Q167:Q167)+SUM(Q171:Q173)+SUM(Q177:Q177)+SUM(Q181:Q181)+SUM(Q185:Q187)+SUM(Q191:Q191)+SUM(Q195:Q195)+SUM(Q199:Q199)+SUM(Q203:Q203)+SUM(Q207:Q207)+SUM(Q211:Q211)+SUM(Q215:Q216)+SUM(Q220:Q220)+SUM(Q224:Q224)+SUM(Q228:Q228)+SUM(Q232:Q233)+SUM(Q237:Q237)+SUM(Q241:Q241)+SUM(Q245:Q245)+SUM(Q249:Q249)+SUM(Q253:Q254)+SUM(Q258:Q260)+SUM(Q264:Q264)+SUM(Q268:Q268)+SUM(Q272:Q272)+SUM(Q276:Q276)+SUM(Q280:Q281)+SUM(Q285:Q286)+SUM(Q290:Q290)+SUM(Q294:Q294)+SUM(Q298:Q298)+SUM(Q302:Q302)+SUM(Q306:Q306)+SUM(Q310:Q310)+SUM(Q314:Q315)+SUM(Q319:Q330)+SUM(Q334:Q334)+SUM(Q338:Q340)</f>
        <v/>
      </c>
      <c r="R345" s="10">
        <f>SUM(R6:R6)+SUM(R10:R11)+SUM(R15:R17)+SUM(R21:R22)+SUM(R26:R32)+SUM(R36:R36)+SUM(R40:R41)+SUM(R45:R45)+SUM(R49:R49)+SUM(R53:R54)+SUM(R58:R58)+SUM(R62:R62)+SUM(R66:R67)+SUM(R71:R71)+SUM(R75:R75)+SUM(R79:R80)+SUM(R84:R84)+SUM(R88:R88)+SUM(R92:R93)+SUM(R97:R100)+SUM(R104:R104)+SUM(R108:R109)+SUM(R113:R113)+SUM(R117:R117)+SUM(R121:R121)+SUM(R125:R125)+SUM(R129:R130)+SUM(R134:R134)+SUM(R138:R139)+SUM(R143:R145)+SUM(R149:R149)+SUM(R153:R153)+SUM(R157:R158)+SUM(R162:R163)+SUM(R167:R167)+SUM(R171:R173)+SUM(R177:R177)+SUM(R181:R181)+SUM(R185:R187)+SUM(R191:R191)+SUM(R195:R195)+SUM(R199:R199)+SUM(R203:R203)+SUM(R207:R207)+SUM(R211:R211)+SUM(R215:R216)+SUM(R220:R220)+SUM(R224:R224)+SUM(R228:R228)+SUM(R232:R233)+SUM(R237:R237)+SUM(R241:R241)+SUM(R245:R245)+SUM(R249:R249)+SUM(R253:R254)+SUM(R258:R260)+SUM(R264:R264)+SUM(R268:R268)+SUM(R272:R272)+SUM(R276:R276)+SUM(R280:R281)+SUM(R285:R286)+SUM(R290:R290)+SUM(R294:R294)+SUM(R298:R298)+SUM(R302:R302)+SUM(R306:R306)+SUM(R310:R310)+SUM(R314:R315)+SUM(R319:R330)+SUM(R334:R334)+SUM(R338:R340)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R34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20" customWidth="1" min="3" max="3"/>
    <col width="9" customWidth="1" min="4" max="4"/>
    <col width="9" customWidth="1" min="5" max="5"/>
    <col width="7" customWidth="1" min="6" max="6"/>
    <col width="7" customWidth="1" min="7" max="7"/>
    <col width="8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12" customWidth="1" min="16" max="16"/>
    <col width="13" customWidth="1" min="17" max="17"/>
    <col width="14" customWidth="1" min="18" max="18"/>
  </cols>
  <sheetData>
    <row r="1">
      <c r="A1" s="1" t="inlineStr">
        <is>
          <t>HOT COST</t>
        </is>
      </c>
      <c r="C1" t="inlineStr">
        <is>
          <t>Thursday 16 Nov 2017</t>
        </is>
      </c>
      <c r="F1" s="2" t="inlineStr">
        <is>
          <t>DAY #24</t>
        </is>
      </c>
    </row>
    <row r="2">
      <c r="A2" s="3" t="inlineStr">
        <is>
          <t>enter CALL, LUNCH, WRAP as decimal hours (e.g. 7.5) — everything right of WRAP computes</t>
        </is>
      </c>
    </row>
    <row r="4">
      <c r="A4" s="4" t="inlineStr">
        <is>
          <t>ACCT</t>
        </is>
      </c>
      <c r="B4" s="4" t="inlineStr">
        <is>
          <t>NAME</t>
        </is>
      </c>
      <c r="C4" s="4" t="inlineStr">
        <is>
          <t>POSITION</t>
        </is>
      </c>
      <c r="D4" s="4" t="inlineStr">
        <is>
          <t>UNION</t>
        </is>
      </c>
      <c r="E4" s="4" t="inlineStr">
        <is>
          <t>RATE</t>
        </is>
      </c>
      <c r="F4" s="4" t="inlineStr">
        <is>
          <t>CALL</t>
        </is>
      </c>
      <c r="G4" s="4" t="inlineStr">
        <is>
          <t>LUNCH</t>
        </is>
      </c>
      <c r="H4" s="4" t="inlineStr">
        <is>
          <t>LUNCH 2</t>
        </is>
      </c>
      <c r="I4" s="4" t="inlineStr">
        <is>
          <t>WRAP</t>
        </is>
      </c>
      <c r="J4" s="4" t="inlineStr">
        <is>
          <t>HRS</t>
        </is>
      </c>
      <c r="K4" s="4" t="inlineStr">
        <is>
          <t>MP'S</t>
        </is>
      </c>
      <c r="L4" s="4" t="inlineStr">
        <is>
          <t>ST</t>
        </is>
      </c>
      <c r="M4" s="4" t="inlineStr">
        <is>
          <t>1.5X</t>
        </is>
      </c>
      <c r="N4" s="4" t="inlineStr">
        <is>
          <t>2X</t>
        </is>
      </c>
      <c r="O4" s="4" t="inlineStr">
        <is>
          <t>3X</t>
        </is>
      </c>
      <c r="P4" s="4" t="inlineStr">
        <is>
          <t>TOTAL / DAY</t>
        </is>
      </c>
      <c r="Q4" s="4" t="inlineStr">
        <is>
          <t>BUDGET / DAY</t>
        </is>
      </c>
      <c r="R4" s="4" t="inlineStr">
        <is>
          <t>(OVER) / UNDER</t>
        </is>
      </c>
    </row>
    <row r="5">
      <c r="B5" s="2" t="inlineStr">
        <is>
          <t>LEAD#</t>
        </is>
      </c>
    </row>
    <row r="6">
      <c r="A6" s="5" t="inlineStr">
        <is>
          <t>1401</t>
        </is>
      </c>
      <c r="B6" s="5" t="inlineStr">
        <is>
          <t>Linda Cardellini</t>
        </is>
      </c>
      <c r="C6" s="5" t="inlineStr">
        <is>
          <t>"ANNA"</t>
        </is>
      </c>
      <c r="D6" s="5" t="inlineStr"/>
      <c r="E6" s="6" t="n">
        <v>1211.8</v>
      </c>
      <c r="F6" s="5" t="n"/>
      <c r="G6" s="5" t="n"/>
      <c r="H6" s="5" t="n"/>
      <c r="I6" s="5" t="n"/>
      <c r="J6" s="7">
        <f>IF(AND(N(F6)&gt;0,N(I6)&gt;0),I6-F6-IF(N(G6)&gt;0,0.5,0)-IF(N(H6)&gt;0,0.5,0),0)</f>
        <v/>
      </c>
      <c r="K6" s="5" t="n"/>
      <c r="L6" s="7">
        <f>MIN(J6,8.0)</f>
        <v/>
      </c>
      <c r="M6" s="7">
        <f>MAX(0,MIN(J6,12)-8.0)</f>
        <v/>
      </c>
      <c r="N6" s="7">
        <f>MAX(0,J6-12)</f>
        <v/>
      </c>
      <c r="O6" s="5" t="n"/>
      <c r="P6" s="6">
        <f>E6*(L6+M6*1.5+N6*2+O6*3+N(K6))</f>
        <v/>
      </c>
      <c r="Q6" s="6" t="n">
        <v>1211.8</v>
      </c>
      <c r="R6" s="6">
        <f>Q6-P6</f>
        <v/>
      </c>
    </row>
    <row r="7">
      <c r="P7" s="2" t="inlineStr">
        <is>
          <t>LEAD# LABOR</t>
        </is>
      </c>
      <c r="R7" s="8">
        <f>SUM(R6:R6)</f>
        <v/>
      </c>
    </row>
    <row r="9">
      <c r="B9" s="2" t="inlineStr">
        <is>
          <t>LEAD#2&amp;#</t>
        </is>
      </c>
    </row>
    <row r="10">
      <c r="A10" s="5" t="inlineStr">
        <is>
          <t>1402</t>
        </is>
      </c>
      <c r="B10" s="5" t="inlineStr">
        <is>
          <t>Roman Christou</t>
        </is>
      </c>
      <c r="C10" s="5" t="inlineStr">
        <is>
          <t>"CHRIS"(Minor)</t>
        </is>
      </c>
      <c r="D10" s="5" t="inlineStr"/>
      <c r="E10" s="6" t="n">
        <v>755.4</v>
      </c>
      <c r="F10" s="5" t="n"/>
      <c r="G10" s="5" t="n"/>
      <c r="H10" s="5" t="n"/>
      <c r="I10" s="5" t="n"/>
      <c r="J10" s="7">
        <f>IF(AND(N(F10)&gt;0,N(I10)&gt;0),I10-F10-IF(N(G10)&gt;0,0.5,0)-IF(N(H10)&gt;0,0.5,0),0)</f>
        <v/>
      </c>
      <c r="K10" s="5" t="n"/>
      <c r="L10" s="7">
        <f>MIN(J10,8.0)</f>
        <v/>
      </c>
      <c r="M10" s="7">
        <f>MAX(0,MIN(J10,12)-8.0)</f>
        <v/>
      </c>
      <c r="N10" s="7">
        <f>MAX(0,J10-12)</f>
        <v/>
      </c>
      <c r="O10" s="5" t="n"/>
      <c r="P10" s="6">
        <f>E10*(L10+M10*1.5+N10*2+O10*3+N(K10))</f>
        <v/>
      </c>
      <c r="Q10" s="6" t="n">
        <v>755.4</v>
      </c>
      <c r="R10" s="6">
        <f>Q10-P10</f>
        <v/>
      </c>
    </row>
    <row r="11">
      <c r="A11" s="5" t="inlineStr">
        <is>
          <t>1402</t>
        </is>
      </c>
      <c r="B11" s="5" t="inlineStr">
        <is>
          <t>Jaynee Lynee Kinchen</t>
        </is>
      </c>
      <c r="C11" s="5" t="inlineStr">
        <is>
          <t>"SAMANTHA"(Minor)</t>
        </is>
      </c>
      <c r="D11" s="5" t="inlineStr"/>
      <c r="E11" s="6" t="n">
        <v>755.4</v>
      </c>
      <c r="F11" s="5" t="n"/>
      <c r="G11" s="5" t="n"/>
      <c r="H11" s="5" t="n"/>
      <c r="I11" s="5" t="n"/>
      <c r="J11" s="7">
        <f>IF(AND(N(F11)&gt;0,N(I11)&gt;0),I11-F11-IF(N(G11)&gt;0,0.5,0)-IF(N(H11)&gt;0,0.5,0),0)</f>
        <v/>
      </c>
      <c r="K11" s="5" t="n"/>
      <c r="L11" s="7">
        <f>MIN(J11,8.0)</f>
        <v/>
      </c>
      <c r="M11" s="7">
        <f>MAX(0,MIN(J11,12)-8.0)</f>
        <v/>
      </c>
      <c r="N11" s="7">
        <f>MAX(0,J11-12)</f>
        <v/>
      </c>
      <c r="O11" s="5" t="n"/>
      <c r="P11" s="6">
        <f>E11*(L11+M11*1.5+N11*2+O11*3+N(K11))</f>
        <v/>
      </c>
      <c r="Q11" s="6" t="n">
        <v>755.4</v>
      </c>
      <c r="R11" s="6">
        <f>Q11-P11</f>
        <v/>
      </c>
    </row>
    <row r="12">
      <c r="P12" s="2" t="inlineStr">
        <is>
          <t>LEAD#2&amp;# LABOR</t>
        </is>
      </c>
      <c r="R12" s="8">
        <f>SUM(R10:R11)</f>
        <v/>
      </c>
    </row>
    <row r="14">
      <c r="B14" s="2" t="inlineStr">
        <is>
          <t>OTHERLEADCAST</t>
        </is>
      </c>
    </row>
    <row r="15">
      <c r="A15" s="5" t="inlineStr">
        <is>
          <t>1403</t>
        </is>
      </c>
      <c r="B15" s="5" t="inlineStr">
        <is>
          <t>Raymond Cruz</t>
        </is>
      </c>
      <c r="C15" s="5" t="inlineStr">
        <is>
          <t>"RAFAELOLVERA"</t>
        </is>
      </c>
      <c r="D15" s="5" t="inlineStr"/>
      <c r="E15" s="6" t="n">
        <v>1211.8</v>
      </c>
      <c r="F15" s="5" t="n"/>
      <c r="G15" s="5" t="n"/>
      <c r="H15" s="5" t="n"/>
      <c r="I15" s="5" t="n"/>
      <c r="J15" s="7">
        <f>IF(AND(N(F15)&gt;0,N(I15)&gt;0),I15-F15-IF(N(G15)&gt;0,0.5,0)-IF(N(H15)&gt;0,0.5,0),0)</f>
        <v/>
      </c>
      <c r="K15" s="5" t="n"/>
      <c r="L15" s="7">
        <f>MIN(J15,8.0)</f>
        <v/>
      </c>
      <c r="M15" s="7">
        <f>MAX(0,MIN(J15,12)-8.0)</f>
        <v/>
      </c>
      <c r="N15" s="7">
        <f>MAX(0,J15-12)</f>
        <v/>
      </c>
      <c r="O15" s="5" t="n"/>
      <c r="P15" s="6">
        <f>E15*(L15+M15*1.5+N15*2+O15*3+N(K15))</f>
        <v/>
      </c>
      <c r="Q15" s="6" t="n">
        <v>1211.8</v>
      </c>
      <c r="R15" s="6">
        <f>Q15-P15</f>
        <v/>
      </c>
    </row>
    <row r="16">
      <c r="A16" s="5" t="inlineStr">
        <is>
          <t>1403</t>
        </is>
      </c>
      <c r="B16" s="5" t="inlineStr">
        <is>
          <t>Marisol Ramirez</t>
        </is>
      </c>
      <c r="C16" s="5" t="inlineStr">
        <is>
          <t>"LALLORONA"</t>
        </is>
      </c>
      <c r="D16" s="5" t="inlineStr"/>
      <c r="E16" s="6" t="n">
        <v>1211.8</v>
      </c>
      <c r="F16" s="5" t="n"/>
      <c r="G16" s="5" t="n"/>
      <c r="H16" s="5" t="n"/>
      <c r="I16" s="5" t="n"/>
      <c r="J16" s="7">
        <f>IF(AND(N(F16)&gt;0,N(I16)&gt;0),I16-F16-IF(N(G16)&gt;0,0.5,0)-IF(N(H16)&gt;0,0.5,0),0)</f>
        <v/>
      </c>
      <c r="K16" s="5" t="n"/>
      <c r="L16" s="7">
        <f>MIN(J16,8.0)</f>
        <v/>
      </c>
      <c r="M16" s="7">
        <f>MAX(0,MIN(J16,12)-8.0)</f>
        <v/>
      </c>
      <c r="N16" s="7">
        <f>MAX(0,J16-12)</f>
        <v/>
      </c>
      <c r="O16" s="5" t="n"/>
      <c r="P16" s="6">
        <f>E16*(L16+M16*1.5+N16*2+O16*3+N(K16))</f>
        <v/>
      </c>
      <c r="Q16" s="6" t="n">
        <v>1211.8</v>
      </c>
      <c r="R16" s="6">
        <f>Q16-P16</f>
        <v/>
      </c>
    </row>
    <row r="17">
      <c r="A17" s="5" t="inlineStr">
        <is>
          <t>1403</t>
        </is>
      </c>
      <c r="B17" s="5" t="inlineStr">
        <is>
          <t>Patrica Velasquez</t>
        </is>
      </c>
      <c r="C17" s="5" t="inlineStr">
        <is>
          <t>"PATRICIA"</t>
        </is>
      </c>
      <c r="D17" s="5" t="inlineStr"/>
      <c r="E17" s="6" t="n">
        <v>1972</v>
      </c>
      <c r="F17" s="5" t="n"/>
      <c r="G17" s="5" t="n"/>
      <c r="H17" s="5" t="n"/>
      <c r="I17" s="5" t="n"/>
      <c r="J17" s="7">
        <f>IF(AND(N(F17)&gt;0,N(I17)&gt;0),I17-F17-IF(N(G17)&gt;0,0.5,0)-IF(N(H17)&gt;0,0.5,0),0)</f>
        <v/>
      </c>
      <c r="K17" s="5" t="n"/>
      <c r="L17" s="7">
        <f>MIN(J17,8.0)</f>
        <v/>
      </c>
      <c r="M17" s="7">
        <f>MAX(0,MIN(J17,12)-8.0)</f>
        <v/>
      </c>
      <c r="N17" s="7">
        <f>MAX(0,J17-12)</f>
        <v/>
      </c>
      <c r="O17" s="5" t="n"/>
      <c r="P17" s="6">
        <f>E17*(L17+M17*1.5+N17*2+O17*3+N(K17))</f>
        <v/>
      </c>
      <c r="Q17" s="6" t="n">
        <v>1972</v>
      </c>
      <c r="R17" s="6">
        <f>Q17-P17</f>
        <v/>
      </c>
    </row>
    <row r="18">
      <c r="P18" s="2" t="inlineStr">
        <is>
          <t>OTHERLEADCAST LABOR</t>
        </is>
      </c>
      <c r="R18" s="8">
        <f>SUM(R15:R17)</f>
        <v/>
      </c>
    </row>
    <row r="20">
      <c r="B20" s="2" t="inlineStr">
        <is>
          <t>SUPPORTINGCAST</t>
        </is>
      </c>
    </row>
    <row r="21">
      <c r="A21" s="5" t="inlineStr">
        <is>
          <t>1404</t>
        </is>
      </c>
      <c r="B21" s="5" t="inlineStr">
        <is>
          <t>Sean Patrick Thomas</t>
        </is>
      </c>
      <c r="C21" s="5" t="inlineStr">
        <is>
          <t>DETCOOPER</t>
        </is>
      </c>
      <c r="D21" s="5" t="inlineStr"/>
      <c r="E21" s="6" t="n">
        <v>1211.8</v>
      </c>
      <c r="F21" s="5" t="n"/>
      <c r="G21" s="5" t="n"/>
      <c r="H21" s="5" t="n"/>
      <c r="I21" s="5" t="n"/>
      <c r="J21" s="7">
        <f>IF(AND(N(F21)&gt;0,N(I21)&gt;0),I21-F21-IF(N(G21)&gt;0,0.5,0)-IF(N(H21)&gt;0,0.5,0),0)</f>
        <v/>
      </c>
      <c r="K21" s="5" t="n"/>
      <c r="L21" s="7">
        <f>MIN(J21,8.0)</f>
        <v/>
      </c>
      <c r="M21" s="7">
        <f>MAX(0,MIN(J21,12)-8.0)</f>
        <v/>
      </c>
      <c r="N21" s="7">
        <f>MAX(0,J21-12)</f>
        <v/>
      </c>
      <c r="O21" s="5" t="n"/>
      <c r="P21" s="6">
        <f>E21*(L21+M21*1.5+N21*2+O21*3+N(K21))</f>
        <v/>
      </c>
      <c r="Q21" s="6" t="n">
        <v>1211.8</v>
      </c>
      <c r="R21" s="6">
        <f>Q21-P21</f>
        <v/>
      </c>
    </row>
    <row r="22">
      <c r="A22" s="5" t="inlineStr">
        <is>
          <t>1404</t>
        </is>
      </c>
      <c r="B22" s="5" t="inlineStr">
        <is>
          <t>Tony Amendola</t>
        </is>
      </c>
      <c r="C22" s="5" t="inlineStr">
        <is>
          <t>"FATHERPEREZ"</t>
        </is>
      </c>
      <c r="D22" s="5" t="inlineStr"/>
      <c r="E22" s="6" t="n">
        <v>1972</v>
      </c>
      <c r="F22" s="5" t="n"/>
      <c r="G22" s="5" t="n"/>
      <c r="H22" s="5" t="n"/>
      <c r="I22" s="5" t="n"/>
      <c r="J22" s="7">
        <f>IF(AND(N(F22)&gt;0,N(I22)&gt;0),I22-F22-IF(N(G22)&gt;0,0.5,0)-IF(N(H22)&gt;0,0.5,0),0)</f>
        <v/>
      </c>
      <c r="K22" s="5" t="n"/>
      <c r="L22" s="7">
        <f>MIN(J22,8.0)</f>
        <v/>
      </c>
      <c r="M22" s="7">
        <f>MAX(0,MIN(J22,12)-8.0)</f>
        <v/>
      </c>
      <c r="N22" s="7">
        <f>MAX(0,J22-12)</f>
        <v/>
      </c>
      <c r="O22" s="5" t="n"/>
      <c r="P22" s="6">
        <f>E22*(L22+M22*1.5+N22*2+O22*3+N(K22))</f>
        <v/>
      </c>
      <c r="Q22" s="6" t="n">
        <v>1972</v>
      </c>
      <c r="R22" s="6">
        <f>Q22-P22</f>
        <v/>
      </c>
    </row>
    <row r="23">
      <c r="P23" s="2" t="inlineStr">
        <is>
          <t>SUPPORTINGCAST LABOR</t>
        </is>
      </c>
      <c r="R23" s="8">
        <f>SUM(R21:R22)</f>
        <v/>
      </c>
    </row>
    <row r="25">
      <c r="B25" s="2" t="inlineStr">
        <is>
          <t>DAYPLAYERS</t>
        </is>
      </c>
    </row>
    <row r="26">
      <c r="A26" s="5" t="inlineStr">
        <is>
          <t>1405</t>
        </is>
      </c>
      <c r="B26" s="5" t="inlineStr">
        <is>
          <t>Kristy Keng(Drop/Pickup)</t>
        </is>
      </c>
      <c r="C26" s="5" t="inlineStr">
        <is>
          <t>"DONNA"</t>
        </is>
      </c>
      <c r="D26" s="5" t="inlineStr"/>
      <c r="E26" s="6" t="n">
        <v>1972</v>
      </c>
      <c r="F26" s="5" t="n"/>
      <c r="G26" s="5" t="n"/>
      <c r="H26" s="5" t="n"/>
      <c r="I26" s="5" t="n"/>
      <c r="J26" s="7">
        <f>IF(AND(N(F26)&gt;0,N(I26)&gt;0),I26-F26-IF(N(G26)&gt;0,0.5,0)-IF(N(H26)&gt;0,0.5,0),0)</f>
        <v/>
      </c>
      <c r="K26" s="5" t="n"/>
      <c r="L26" s="7">
        <f>MIN(J26,8.0)</f>
        <v/>
      </c>
      <c r="M26" s="7">
        <f>MAX(0,MIN(J26,12)-8.0)</f>
        <v/>
      </c>
      <c r="N26" s="7">
        <f>MAX(0,J26-12)</f>
        <v/>
      </c>
      <c r="O26" s="5" t="n"/>
      <c r="P26" s="6">
        <f>E26*(L26+M26*1.5+N26*2+O26*3+N(K26))</f>
        <v/>
      </c>
      <c r="Q26" s="6" t="n">
        <v>1972</v>
      </c>
      <c r="R26" s="6">
        <f>Q26-P26</f>
        <v/>
      </c>
    </row>
    <row r="27">
      <c r="A27" s="5" t="inlineStr">
        <is>
          <t>1405</t>
        </is>
      </c>
      <c r="B27" s="5" t="inlineStr">
        <is>
          <t>Oliver Alexander</t>
        </is>
      </c>
      <c r="C27" s="5" t="inlineStr">
        <is>
          <t>"CARLOS"(Minor)</t>
        </is>
      </c>
      <c r="D27" s="5" t="inlineStr"/>
      <c r="E27" s="6" t="n">
        <v>1249</v>
      </c>
      <c r="F27" s="5" t="n"/>
      <c r="G27" s="5" t="n"/>
      <c r="H27" s="5" t="n"/>
      <c r="I27" s="5" t="n"/>
      <c r="J27" s="7">
        <f>IF(AND(N(F27)&gt;0,N(I27)&gt;0),I27-F27-IF(N(G27)&gt;0,0.5,0)-IF(N(H27)&gt;0,0.5,0),0)</f>
        <v/>
      </c>
      <c r="K27" s="5" t="n"/>
      <c r="L27" s="7">
        <f>MIN(J27,8.0)</f>
        <v/>
      </c>
      <c r="M27" s="7">
        <f>MAX(0,MIN(J27,12)-8.0)</f>
        <v/>
      </c>
      <c r="N27" s="7">
        <f>MAX(0,J27-12)</f>
        <v/>
      </c>
      <c r="O27" s="5" t="n"/>
      <c r="P27" s="6">
        <f>E27*(L27+M27*1.5+N27*2+O27*3+N(K27))</f>
        <v/>
      </c>
      <c r="Q27" s="6" t="n">
        <v>1249</v>
      </c>
      <c r="R27" s="6">
        <f>Q27-P27</f>
        <v/>
      </c>
    </row>
    <row r="28">
      <c r="A28" s="5" t="inlineStr">
        <is>
          <t>1405</t>
        </is>
      </c>
      <c r="B28" s="5" t="inlineStr">
        <is>
          <t>Adam Lewandowski</t>
        </is>
      </c>
      <c r="C28" s="5" t="inlineStr">
        <is>
          <t>"TOMAS"(Minor)</t>
        </is>
      </c>
      <c r="D28" s="5" t="inlineStr"/>
      <c r="E28" s="6" t="n">
        <v>1249</v>
      </c>
      <c r="F28" s="5" t="n"/>
      <c r="G28" s="5" t="n"/>
      <c r="H28" s="5" t="n"/>
      <c r="I28" s="5" t="n"/>
      <c r="J28" s="7">
        <f>IF(AND(N(F28)&gt;0,N(I28)&gt;0),I28-F28-IF(N(G28)&gt;0,0.5,0)-IF(N(H28)&gt;0,0.5,0),0)</f>
        <v/>
      </c>
      <c r="K28" s="5" t="n"/>
      <c r="L28" s="7">
        <f>MIN(J28,8.0)</f>
        <v/>
      </c>
      <c r="M28" s="7">
        <f>MAX(0,MIN(J28,12)-8.0)</f>
        <v/>
      </c>
      <c r="N28" s="7">
        <f>MAX(0,J28-12)</f>
        <v/>
      </c>
      <c r="O28" s="5" t="n"/>
      <c r="P28" s="6">
        <f>E28*(L28+M28*1.5+N28*2+O28*3+N(K28))</f>
        <v/>
      </c>
      <c r="Q28" s="6" t="n">
        <v>1249</v>
      </c>
      <c r="R28" s="6">
        <f>Q28-P28</f>
        <v/>
      </c>
    </row>
    <row r="29">
      <c r="A29" s="5" t="inlineStr">
        <is>
          <t>1405</t>
        </is>
      </c>
      <c r="B29" s="5" t="inlineStr">
        <is>
          <t>Paul Rodriquez Jr.</t>
        </is>
      </c>
      <c r="C29" s="5" t="inlineStr">
        <is>
          <t>"OFFICERCLARO"</t>
        </is>
      </c>
      <c r="D29" s="5" t="inlineStr"/>
      <c r="E29" s="6" t="n">
        <v>1972</v>
      </c>
      <c r="F29" s="5" t="n"/>
      <c r="G29" s="5" t="n"/>
      <c r="H29" s="5" t="n"/>
      <c r="I29" s="5" t="n"/>
      <c r="J29" s="7">
        <f>IF(AND(N(F29)&gt;0,N(I29)&gt;0),I29-F29-IF(N(G29)&gt;0,0.5,0)-IF(N(H29)&gt;0,0.5,0),0)</f>
        <v/>
      </c>
      <c r="K29" s="5" t="n"/>
      <c r="L29" s="7">
        <f>MIN(J29,8.0)</f>
        <v/>
      </c>
      <c r="M29" s="7">
        <f>MAX(0,MIN(J29,12)-8.0)</f>
        <v/>
      </c>
      <c r="N29" s="7">
        <f>MAX(0,J29-12)</f>
        <v/>
      </c>
      <c r="O29" s="5" t="n"/>
      <c r="P29" s="6">
        <f>E29*(L29+M29*1.5+N29*2+O29*3+N(K29))</f>
        <v/>
      </c>
      <c r="Q29" s="6" t="n">
        <v>1972</v>
      </c>
      <c r="R29" s="6">
        <f>Q29-P29</f>
        <v/>
      </c>
    </row>
    <row r="30">
      <c r="A30" s="5" t="inlineStr">
        <is>
          <t>1405</t>
        </is>
      </c>
      <c r="B30" s="5" t="inlineStr">
        <is>
          <t>Sophia Santi</t>
        </is>
      </c>
      <c r="C30" s="5" t="inlineStr">
        <is>
          <t>"FEMALECUSTOMER"</t>
        </is>
      </c>
      <c r="D30" s="5" t="inlineStr"/>
      <c r="E30" s="6" t="n">
        <v>1972</v>
      </c>
      <c r="F30" s="5" t="n"/>
      <c r="G30" s="5" t="n"/>
      <c r="H30" s="5" t="n"/>
      <c r="I30" s="5" t="n"/>
      <c r="J30" s="7">
        <f>IF(AND(N(F30)&gt;0,N(I30)&gt;0),I30-F30-IF(N(G30)&gt;0,0.5,0)-IF(N(H30)&gt;0,0.5,0),0)</f>
        <v/>
      </c>
      <c r="K30" s="5" t="n"/>
      <c r="L30" s="7">
        <f>MIN(J30,8.0)</f>
        <v/>
      </c>
      <c r="M30" s="7">
        <f>MAX(0,MIN(J30,12)-8.0)</f>
        <v/>
      </c>
      <c r="N30" s="7">
        <f>MAX(0,J30-12)</f>
        <v/>
      </c>
      <c r="O30" s="5" t="n"/>
      <c r="P30" s="6">
        <f>E30*(L30+M30*1.5+N30*2+O30*3+N(K30))</f>
        <v/>
      </c>
      <c r="Q30" s="6" t="n">
        <v>1972</v>
      </c>
      <c r="R30" s="6">
        <f>Q30-P30</f>
        <v/>
      </c>
    </row>
    <row r="31">
      <c r="A31" s="5" t="inlineStr">
        <is>
          <t>1405</t>
        </is>
      </c>
      <c r="B31" s="5" t="inlineStr">
        <is>
          <t>John Marshall Jones</t>
        </is>
      </c>
      <c r="C31" s="5" t="inlineStr">
        <is>
          <t>"MRHANKINS"</t>
        </is>
      </c>
      <c r="D31" s="5" t="inlineStr"/>
      <c r="E31" s="6" t="n">
        <v>1972</v>
      </c>
      <c r="F31" s="5" t="n"/>
      <c r="G31" s="5" t="n"/>
      <c r="H31" s="5" t="n"/>
      <c r="I31" s="5" t="n"/>
      <c r="J31" s="7">
        <f>IF(AND(N(F31)&gt;0,N(I31)&gt;0),I31-F31-IF(N(G31)&gt;0,0.5,0)-IF(N(H31)&gt;0,0.5,0),0)</f>
        <v/>
      </c>
      <c r="K31" s="5" t="n"/>
      <c r="L31" s="7">
        <f>MIN(J31,8.0)</f>
        <v/>
      </c>
      <c r="M31" s="7">
        <f>MAX(0,MIN(J31,12)-8.0)</f>
        <v/>
      </c>
      <c r="N31" s="7">
        <f>MAX(0,J31-12)</f>
        <v/>
      </c>
      <c r="O31" s="5" t="n"/>
      <c r="P31" s="6">
        <f>E31*(L31+M31*1.5+N31*2+O31*3+N(K31))</f>
        <v/>
      </c>
      <c r="Q31" s="6" t="n">
        <v>1972</v>
      </c>
      <c r="R31" s="6">
        <f>Q31-P31</f>
        <v/>
      </c>
    </row>
    <row r="32">
      <c r="A32" s="5" t="inlineStr">
        <is>
          <t>1405</t>
        </is>
      </c>
      <c r="B32" s="5" t="inlineStr">
        <is>
          <t>Madeleine Mcgraw</t>
        </is>
      </c>
      <c r="C32" s="5" t="inlineStr">
        <is>
          <t>"APRIL"(Minor)</t>
        </is>
      </c>
      <c r="D32" s="5" t="inlineStr"/>
      <c r="E32" s="6" t="n">
        <v>1249</v>
      </c>
      <c r="F32" s="5" t="n"/>
      <c r="G32" s="5" t="n"/>
      <c r="H32" s="5" t="n"/>
      <c r="I32" s="5" t="n"/>
      <c r="J32" s="7">
        <f>IF(AND(N(F32)&gt;0,N(I32)&gt;0),I32-F32-IF(N(G32)&gt;0,0.5,0)-IF(N(H32)&gt;0,0.5,0),0)</f>
        <v/>
      </c>
      <c r="K32" s="5" t="n"/>
      <c r="L32" s="7">
        <f>MIN(J32,8.0)</f>
        <v/>
      </c>
      <c r="M32" s="7">
        <f>MAX(0,MIN(J32,12)-8.0)</f>
        <v/>
      </c>
      <c r="N32" s="7">
        <f>MAX(0,J32-12)</f>
        <v/>
      </c>
      <c r="O32" s="5" t="n"/>
      <c r="P32" s="6">
        <f>E32*(L32+M32*1.5+N32*2+O32*3+N(K32))</f>
        <v/>
      </c>
      <c r="Q32" s="6" t="n">
        <v>1249</v>
      </c>
      <c r="R32" s="6">
        <f>Q32-P32</f>
        <v/>
      </c>
    </row>
    <row r="33">
      <c r="P33" s="2" t="inlineStr">
        <is>
          <t>DAYPLAYERS LABOR</t>
        </is>
      </c>
      <c r="R33" s="8">
        <f>SUM(R26:R32)</f>
        <v/>
      </c>
    </row>
    <row r="35">
      <c r="B35" s="2" t="inlineStr">
        <is>
          <t>STUNTCOORD</t>
        </is>
      </c>
    </row>
    <row r="36">
      <c r="A36" s="5" t="inlineStr">
        <is>
          <t>1406</t>
        </is>
      </c>
      <c r="B36" s="5" t="inlineStr">
        <is>
          <t>Rob King</t>
        </is>
      </c>
      <c r="C36" s="5" t="inlineStr">
        <is>
          <t>STUNTCOORDINATOR</t>
        </is>
      </c>
      <c r="D36" s="5" t="inlineStr"/>
      <c r="E36" s="6" t="n">
        <v>1173</v>
      </c>
      <c r="F36" s="5" t="n"/>
      <c r="G36" s="5" t="n"/>
      <c r="H36" s="5" t="n"/>
      <c r="I36" s="5" t="n"/>
      <c r="J36" s="7">
        <f>IF(AND(N(F36)&gt;0,N(I36)&gt;0),I36-F36-IF(N(G36)&gt;0,0.5,0)-IF(N(H36)&gt;0,0.5,0),0)</f>
        <v/>
      </c>
      <c r="K36" s="5" t="n"/>
      <c r="L36" s="7">
        <f>MIN(J36,8.0)</f>
        <v/>
      </c>
      <c r="M36" s="7">
        <f>MAX(0,MIN(J36,12)-8.0)</f>
        <v/>
      </c>
      <c r="N36" s="7">
        <f>MAX(0,J36-12)</f>
        <v/>
      </c>
      <c r="O36" s="5" t="n"/>
      <c r="P36" s="6">
        <f>E36*(L36+M36*1.5+N36*2+O36*3+N(K36))</f>
        <v/>
      </c>
      <c r="Q36" s="6" t="n">
        <v>1173</v>
      </c>
      <c r="R36" s="6">
        <f>Q36-P36</f>
        <v/>
      </c>
    </row>
    <row r="37">
      <c r="P37" s="2" t="inlineStr">
        <is>
          <t>STUNTCOORD LABOR</t>
        </is>
      </c>
      <c r="R37" s="8">
        <f>SUM(R36:R36)</f>
        <v/>
      </c>
    </row>
    <row r="39">
      <c r="B39" s="2" t="inlineStr">
        <is>
          <t>TEACHER/WELFAREWORKER</t>
        </is>
      </c>
    </row>
    <row r="40">
      <c r="A40" s="5" t="inlineStr">
        <is>
          <t>1412</t>
        </is>
      </c>
      <c r="B40" s="5" t="inlineStr"/>
      <c r="C40" s="5" t="inlineStr">
        <is>
          <t>WELFAREWORKER</t>
        </is>
      </c>
      <c r="D40" s="5" t="inlineStr">
        <is>
          <t>Local884</t>
        </is>
      </c>
      <c r="E40" s="6" t="n">
        <v>25.5</v>
      </c>
      <c r="F40" s="5" t="n"/>
      <c r="G40" s="5" t="n"/>
      <c r="H40" s="5" t="n"/>
      <c r="I40" s="5" t="n"/>
      <c r="J40" s="7">
        <f>IF(AND(N(F40)&gt;0,N(I40)&gt;0),I40-F40-IF(N(G40)&gt;0,0.5,0)-IF(N(H40)&gt;0,0.5,0),0)</f>
        <v/>
      </c>
      <c r="K40" s="5" t="n"/>
      <c r="L40" s="7">
        <f>MIN(J40,8.0)</f>
        <v/>
      </c>
      <c r="M40" s="7">
        <f>MAX(0,MIN(J40,12)-8.0)</f>
        <v/>
      </c>
      <c r="N40" s="7">
        <f>MAX(0,J40-12)</f>
        <v/>
      </c>
      <c r="O40" s="5" t="n"/>
      <c r="P40" s="6">
        <f>E40*(L40+M40*1.5+N40*2+O40*3+N(K40))</f>
        <v/>
      </c>
      <c r="Q40" s="6" t="n">
        <v>280.5</v>
      </c>
      <c r="R40" s="6">
        <f>Q40-P40</f>
        <v/>
      </c>
    </row>
    <row r="41">
      <c r="A41" s="5" t="inlineStr">
        <is>
          <t>1412</t>
        </is>
      </c>
      <c r="B41" s="5" t="inlineStr"/>
      <c r="C41" s="5" t="inlineStr">
        <is>
          <t>ADDLWELFAREWORKER</t>
        </is>
      </c>
      <c r="D41" s="5" t="inlineStr">
        <is>
          <t>Local884</t>
        </is>
      </c>
      <c r="E41" s="6" t="n">
        <v>25.5</v>
      </c>
      <c r="F41" s="5" t="n"/>
      <c r="G41" s="5" t="n"/>
      <c r="H41" s="5" t="n"/>
      <c r="I41" s="5" t="n"/>
      <c r="J41" s="7">
        <f>IF(AND(N(F41)&gt;0,N(I41)&gt;0),I41-F41-IF(N(G41)&gt;0,0.5,0)-IF(N(H41)&gt;0,0.5,0),0)</f>
        <v/>
      </c>
      <c r="K41" s="5" t="n"/>
      <c r="L41" s="7">
        <f>MIN(J41,8.0)</f>
        <v/>
      </c>
      <c r="M41" s="7">
        <f>MAX(0,MIN(J41,12)-8.0)</f>
        <v/>
      </c>
      <c r="N41" s="7">
        <f>MAX(0,J41-12)</f>
        <v/>
      </c>
      <c r="O41" s="5" t="n"/>
      <c r="P41" s="6">
        <f>E41*(L41+M41*1.5+N41*2+O41*3+N(K41))</f>
        <v/>
      </c>
      <c r="Q41" s="6" t="n">
        <v>280.5</v>
      </c>
      <c r="R41" s="6">
        <f>Q41-P41</f>
        <v/>
      </c>
    </row>
    <row r="42">
      <c r="P42" s="2" t="inlineStr">
        <is>
          <t>TEACHER/WELFAREWORKER LABOR</t>
        </is>
      </c>
      <c r="R42" s="8">
        <f>SUM(R40:R41)</f>
        <v/>
      </c>
    </row>
    <row r="44">
      <c r="B44" s="2" t="inlineStr">
        <is>
          <t>CASTINGDIRECTORS</t>
        </is>
      </c>
    </row>
    <row r="45">
      <c r="A45" s="5" t="inlineStr">
        <is>
          <t>1413</t>
        </is>
      </c>
      <c r="B45" s="5" t="inlineStr">
        <is>
          <t>Rich Delia</t>
        </is>
      </c>
      <c r="C45" s="5" t="inlineStr">
        <is>
          <t>CASTINGDIRECTOR</t>
        </is>
      </c>
      <c r="D45" s="5" t="inlineStr"/>
      <c r="E45" s="6" t="n">
        <v>600</v>
      </c>
      <c r="F45" s="5" t="n"/>
      <c r="G45" s="5" t="n"/>
      <c r="H45" s="5" t="n"/>
      <c r="I45" s="5" t="n"/>
      <c r="J45" s="7">
        <f>IF(AND(N(F45)&gt;0,N(I45)&gt;0),I45-F45-IF(N(G45)&gt;0,0.5,0)-IF(N(H45)&gt;0,0.5,0),0)</f>
        <v/>
      </c>
      <c r="K45" s="5" t="n"/>
      <c r="L45" s="7">
        <f>MIN(J45,8.0)</f>
        <v/>
      </c>
      <c r="M45" s="7">
        <f>MAX(0,MIN(J45,12)-8.0)</f>
        <v/>
      </c>
      <c r="N45" s="7">
        <f>MAX(0,J45-12)</f>
        <v/>
      </c>
      <c r="O45" s="5" t="n"/>
      <c r="P45" s="6">
        <f>E45*(L45+M45*1.5+N45*2+O45*3+N(K45))</f>
        <v/>
      </c>
      <c r="Q45" s="5" t="n"/>
      <c r="R45" s="6">
        <f>Q45-P45</f>
        <v/>
      </c>
    </row>
    <row r="46">
      <c r="P46" s="2" t="inlineStr">
        <is>
          <t>CASTINGDIRECTORS LABOR</t>
        </is>
      </c>
      <c r="R46" s="8">
        <f>SUM(R45:R45)</f>
        <v/>
      </c>
    </row>
    <row r="48">
      <c r="B48" s="2" t="inlineStr">
        <is>
          <t>CASTINGASSOCIATES/ASSISTANTS</t>
        </is>
      </c>
    </row>
    <row r="49">
      <c r="A49" s="5" t="inlineStr">
        <is>
          <t>1414</t>
        </is>
      </c>
      <c r="B49" s="5" t="inlineStr">
        <is>
          <t>Adam Richards</t>
        </is>
      </c>
      <c r="C49" s="5" t="inlineStr">
        <is>
          <t>CASTINGASSOCIATE</t>
        </is>
      </c>
      <c r="D49" s="5" t="inlineStr"/>
      <c r="E49" s="6" t="n">
        <v>200</v>
      </c>
      <c r="F49" s="5" t="n"/>
      <c r="G49" s="5" t="n"/>
      <c r="H49" s="5" t="n"/>
      <c r="I49" s="5" t="n"/>
      <c r="J49" s="7">
        <f>IF(AND(N(F49)&gt;0,N(I49)&gt;0),I49-F49-IF(N(G49)&gt;0,0.5,0)-IF(N(H49)&gt;0,0.5,0),0)</f>
        <v/>
      </c>
      <c r="K49" s="5" t="n"/>
      <c r="L49" s="7">
        <f>MIN(J49,8.0)</f>
        <v/>
      </c>
      <c r="M49" s="7">
        <f>MAX(0,MIN(J49,12)-8.0)</f>
        <v/>
      </c>
      <c r="N49" s="7">
        <f>MAX(0,J49-12)</f>
        <v/>
      </c>
      <c r="O49" s="5" t="n"/>
      <c r="P49" s="6">
        <f>E49*(L49+M49*1.5+N49*2+O49*3+N(K49))</f>
        <v/>
      </c>
      <c r="Q49" s="5" t="n"/>
      <c r="R49" s="6">
        <f>Q49-P49</f>
        <v/>
      </c>
    </row>
    <row r="50">
      <c r="P50" s="2" t="inlineStr">
        <is>
          <t>CASTINGASSOCIATES/ASSISTANTS LABOR</t>
        </is>
      </c>
      <c r="R50" s="8">
        <f>SUM(R49:R49)</f>
        <v/>
      </c>
    </row>
    <row r="52">
      <c r="B52" s="2" t="inlineStr">
        <is>
          <t>CASTDRIVERS/VEHICLES</t>
        </is>
      </c>
    </row>
    <row r="53">
      <c r="A53" s="5" t="inlineStr">
        <is>
          <t>1455</t>
        </is>
      </c>
      <c r="B53" s="5" t="inlineStr"/>
      <c r="C53" s="5" t="inlineStr">
        <is>
          <t>CAST 3-RMDRIVER</t>
        </is>
      </c>
      <c r="D53" s="5" t="inlineStr">
        <is>
          <t>Local399</t>
        </is>
      </c>
      <c r="E53" s="6" t="n">
        <v>32.36</v>
      </c>
      <c r="F53" s="5" t="n"/>
      <c r="G53" s="5" t="n"/>
      <c r="H53" s="5" t="n"/>
      <c r="I53" s="5" t="n"/>
      <c r="J53" s="7">
        <f>IF(AND(N(F53)&gt;0,N(I53)&gt;0),I53-F53-IF(N(G53)&gt;0,0.5,0)-IF(N(H53)&gt;0,0.5,0),0)</f>
        <v/>
      </c>
      <c r="K53" s="5" t="n"/>
      <c r="L53" s="7">
        <f>MIN(J53,8.0)</f>
        <v/>
      </c>
      <c r="M53" s="7">
        <f>MAX(0,MIN(J53,12)-8.0)</f>
        <v/>
      </c>
      <c r="N53" s="7">
        <f>MAX(0,J53-12)</f>
        <v/>
      </c>
      <c r="O53" s="5" t="n"/>
      <c r="P53" s="6">
        <f>E53*(L53+M53*1.5+N53*2+O53*3+N(K53))</f>
        <v/>
      </c>
      <c r="Q53" s="6" t="n">
        <v>501.58</v>
      </c>
      <c r="R53" s="6">
        <f>Q53-P53</f>
        <v/>
      </c>
    </row>
    <row r="54">
      <c r="A54" s="5" t="inlineStr">
        <is>
          <t>1455</t>
        </is>
      </c>
      <c r="B54" s="5" t="inlineStr"/>
      <c r="C54" s="5" t="inlineStr">
        <is>
          <t>CASTMINIVANDRIVER</t>
        </is>
      </c>
      <c r="D54" s="5" t="inlineStr">
        <is>
          <t>Local399</t>
        </is>
      </c>
      <c r="E54" s="6" t="n">
        <v>32.36</v>
      </c>
      <c r="F54" s="5" t="n"/>
      <c r="G54" s="5" t="n"/>
      <c r="H54" s="5" t="n"/>
      <c r="I54" s="5" t="n"/>
      <c r="J54" s="7">
        <f>IF(AND(N(F54)&gt;0,N(I54)&gt;0),I54-F54-IF(N(G54)&gt;0,0.5,0)-IF(N(H54)&gt;0,0.5,0),0)</f>
        <v/>
      </c>
      <c r="K54" s="5" t="n"/>
      <c r="L54" s="7">
        <f>MIN(J54,8.0)</f>
        <v/>
      </c>
      <c r="M54" s="7">
        <f>MAX(0,MIN(J54,12)-8.0)</f>
        <v/>
      </c>
      <c r="N54" s="7">
        <f>MAX(0,J54-12)</f>
        <v/>
      </c>
      <c r="O54" s="5" t="n"/>
      <c r="P54" s="6">
        <f>E54*(L54+M54*1.5+N54*2+O54*3+N(K54))</f>
        <v/>
      </c>
      <c r="Q54" s="6" t="n">
        <v>501.58</v>
      </c>
      <c r="R54" s="6">
        <f>Q54-P54</f>
        <v/>
      </c>
    </row>
    <row r="55">
      <c r="P55" s="2" t="inlineStr">
        <is>
          <t>CASTDRIVERS/VEHICLES LABOR</t>
        </is>
      </c>
      <c r="R55" s="8">
        <f>SUM(R53:R54)</f>
        <v/>
      </c>
    </row>
    <row r="57">
      <c r="B57" s="2" t="inlineStr">
        <is>
          <t>PRODUCTIONMANAGER</t>
        </is>
      </c>
    </row>
    <row r="58">
      <c r="A58" s="5" t="inlineStr">
        <is>
          <t>2001</t>
        </is>
      </c>
      <c r="B58" s="5" t="inlineStr">
        <is>
          <t>Carrie Morrow</t>
        </is>
      </c>
      <c r="C58" s="5" t="inlineStr">
        <is>
          <t>UPM</t>
        </is>
      </c>
      <c r="D58" s="5" t="inlineStr">
        <is>
          <t>DGA</t>
        </is>
      </c>
      <c r="E58" s="6" t="n">
        <v>1063.6</v>
      </c>
      <c r="F58" s="5" t="n"/>
      <c r="G58" s="5" t="n"/>
      <c r="H58" s="5" t="n"/>
      <c r="I58" s="5" t="n"/>
      <c r="J58" s="7">
        <f>IF(AND(N(F58)&gt;0,N(I58)&gt;0),I58-F58-IF(N(G58)&gt;0,0.5,0)-IF(N(H58)&gt;0,0.5,0),0)</f>
        <v/>
      </c>
      <c r="K58" s="5" t="n"/>
      <c r="L58" s="7">
        <f>MIN(J58,8.0)</f>
        <v/>
      </c>
      <c r="M58" s="7">
        <f>MAX(0,MIN(J58,12)-8.0)</f>
        <v/>
      </c>
      <c r="N58" s="7">
        <f>MAX(0,J58-12)</f>
        <v/>
      </c>
      <c r="O58" s="5" t="n"/>
      <c r="P58" s="6">
        <f>E58*(L58+M58*1.5+N58*2+O58*3+N(K58))</f>
        <v/>
      </c>
      <c r="Q58" s="6" t="n">
        <v>1063.6</v>
      </c>
      <c r="R58" s="6">
        <f>Q58-P58</f>
        <v/>
      </c>
    </row>
    <row r="59">
      <c r="P59" s="2" t="inlineStr">
        <is>
          <t>PRODUCTIONMANAGER LABOR</t>
        </is>
      </c>
      <c r="R59" s="8">
        <f>SUM(R58:R58)</f>
        <v/>
      </c>
    </row>
    <row r="61">
      <c r="B61" s="2" t="inlineStr">
        <is>
          <t>1STASSTDIRECTOR</t>
        </is>
      </c>
    </row>
    <row r="62">
      <c r="A62" s="5" t="inlineStr">
        <is>
          <t>2002</t>
        </is>
      </c>
      <c r="B62" s="5" t="inlineStr">
        <is>
          <t>James Moran</t>
        </is>
      </c>
      <c r="C62" s="5" t="inlineStr">
        <is>
          <t>1STASSTDIRECTOR</t>
        </is>
      </c>
      <c r="D62" s="5" t="inlineStr">
        <is>
          <t>DGA</t>
        </is>
      </c>
      <c r="E62" s="6" t="n">
        <v>985.6</v>
      </c>
      <c r="F62" s="5" t="n"/>
      <c r="G62" s="5" t="n"/>
      <c r="H62" s="5" t="n"/>
      <c r="I62" s="5" t="n"/>
      <c r="J62" s="7">
        <f>IF(AND(N(F62)&gt;0,N(I62)&gt;0),I62-F62-IF(N(G62)&gt;0,0.5,0)-IF(N(H62)&gt;0,0.5,0),0)</f>
        <v/>
      </c>
      <c r="K62" s="5" t="n"/>
      <c r="L62" s="7">
        <f>MIN(J62,8.0)</f>
        <v/>
      </c>
      <c r="M62" s="7">
        <f>MAX(0,MIN(J62,12)-8.0)</f>
        <v/>
      </c>
      <c r="N62" s="7">
        <f>MAX(0,J62-12)</f>
        <v/>
      </c>
      <c r="O62" s="5" t="n"/>
      <c r="P62" s="6">
        <f>E62*(L62+M62*1.5+N62*2+O62*3+N(K62))</f>
        <v/>
      </c>
      <c r="Q62" s="6" t="n">
        <v>985.6</v>
      </c>
      <c r="R62" s="6">
        <f>Q62-P62</f>
        <v/>
      </c>
    </row>
    <row r="63">
      <c r="P63" s="2" t="inlineStr">
        <is>
          <t>1STASSTDIRECTOR LABOR</t>
        </is>
      </c>
      <c r="R63" s="8">
        <f>SUM(R62:R62)</f>
        <v/>
      </c>
    </row>
    <row r="65">
      <c r="B65" s="2" t="inlineStr">
        <is>
          <t>2NDASSTDIRECTORS</t>
        </is>
      </c>
    </row>
    <row r="66">
      <c r="A66" s="5" t="inlineStr">
        <is>
          <t>2003</t>
        </is>
      </c>
      <c r="B66" s="5" t="inlineStr">
        <is>
          <t>Mark Newland</t>
        </is>
      </c>
      <c r="C66" s="5" t="inlineStr">
        <is>
          <t>KEY 2NDA. D.</t>
        </is>
      </c>
      <c r="D66" s="5" t="inlineStr">
        <is>
          <t>DGA</t>
        </is>
      </c>
      <c r="E66" s="6" t="n">
        <v>674.6</v>
      </c>
      <c r="F66" s="5" t="n"/>
      <c r="G66" s="5" t="n"/>
      <c r="H66" s="5" t="n"/>
      <c r="I66" s="5" t="n"/>
      <c r="J66" s="7">
        <f>IF(AND(N(F66)&gt;0,N(I66)&gt;0),I66-F66-IF(N(G66)&gt;0,0.5,0)-IF(N(H66)&gt;0,0.5,0),0)</f>
        <v/>
      </c>
      <c r="K66" s="5" t="n"/>
      <c r="L66" s="7">
        <f>MIN(J66,8.0)</f>
        <v/>
      </c>
      <c r="M66" s="7">
        <f>MAX(0,MIN(J66,12)-8.0)</f>
        <v/>
      </c>
      <c r="N66" s="7">
        <f>MAX(0,J66-12)</f>
        <v/>
      </c>
      <c r="O66" s="5" t="n"/>
      <c r="P66" s="6">
        <f>E66*(L66+M66*1.5+N66*2+O66*3+N(K66))</f>
        <v/>
      </c>
      <c r="Q66" s="6" t="n">
        <v>674.6</v>
      </c>
      <c r="R66" s="6">
        <f>Q66-P66</f>
        <v/>
      </c>
    </row>
    <row r="67">
      <c r="A67" s="5" t="inlineStr">
        <is>
          <t>2003</t>
        </is>
      </c>
      <c r="B67" s="5" t="inlineStr"/>
      <c r="C67" s="5" t="inlineStr">
        <is>
          <t>2ND 2NDA. D.</t>
        </is>
      </c>
      <c r="D67" s="5" t="inlineStr">
        <is>
          <t>DGA</t>
        </is>
      </c>
      <c r="E67" s="6" t="n">
        <v>526</v>
      </c>
      <c r="F67" s="5" t="n"/>
      <c r="G67" s="5" t="n"/>
      <c r="H67" s="5" t="n"/>
      <c r="I67" s="5" t="n"/>
      <c r="J67" s="7">
        <f>IF(AND(N(F67)&gt;0,N(I67)&gt;0),I67-F67-IF(N(G67)&gt;0,0.5,0)-IF(N(H67)&gt;0,0.5,0),0)</f>
        <v/>
      </c>
      <c r="K67" s="5" t="n"/>
      <c r="L67" s="7">
        <f>MIN(J67,8.0)</f>
        <v/>
      </c>
      <c r="M67" s="7">
        <f>MAX(0,MIN(J67,12)-8.0)</f>
        <v/>
      </c>
      <c r="N67" s="7">
        <f>MAX(0,J67-12)</f>
        <v/>
      </c>
      <c r="O67" s="5" t="n"/>
      <c r="P67" s="6">
        <f>E67*(L67+M67*1.5+N67*2+O67*3+N(K67))</f>
        <v/>
      </c>
      <c r="Q67" s="6" t="n">
        <v>526</v>
      </c>
      <c r="R67" s="6">
        <f>Q67-P67</f>
        <v/>
      </c>
    </row>
    <row r="68">
      <c r="P68" s="2" t="inlineStr">
        <is>
          <t>2NDASSTDIRECTORS LABOR</t>
        </is>
      </c>
      <c r="R68" s="8">
        <f>SUM(R66:R67)</f>
        <v/>
      </c>
    </row>
    <row r="70">
      <c r="B70" s="2" t="inlineStr">
        <is>
          <t>SCRIPTSUPERVISOR</t>
        </is>
      </c>
    </row>
    <row r="71">
      <c r="A71" s="5" t="inlineStr">
        <is>
          <t>2005</t>
        </is>
      </c>
      <c r="B71" s="5" t="inlineStr">
        <is>
          <t>Renata Amador</t>
        </is>
      </c>
      <c r="C71" s="5" t="inlineStr">
        <is>
          <t>SCRIPTSUPERVISOR</t>
        </is>
      </c>
      <c r="D71" s="5" t="inlineStr">
        <is>
          <t>Local871</t>
        </is>
      </c>
      <c r="E71" s="6" t="n">
        <v>25.5</v>
      </c>
      <c r="F71" s="5" t="n"/>
      <c r="G71" s="5" t="n"/>
      <c r="H71" s="5" t="n"/>
      <c r="I71" s="5" t="n"/>
      <c r="J71" s="7">
        <f>IF(AND(N(F71)&gt;0,N(I71)&gt;0),I71-F71-IF(N(G71)&gt;0,0.5,0)-IF(N(H71)&gt;0,0.5,0),0)</f>
        <v/>
      </c>
      <c r="K71" s="5" t="n"/>
      <c r="L71" s="7">
        <f>MIN(J71,10.0)</f>
        <v/>
      </c>
      <c r="M71" s="7">
        <f>MAX(0,MIN(J71,12)-10.0)</f>
        <v/>
      </c>
      <c r="N71" s="7">
        <f>MAX(0,J71-12)</f>
        <v/>
      </c>
      <c r="O71" s="5" t="n"/>
      <c r="P71" s="6">
        <f>E71*(L71+M71*1.5+N71*2+O71*3+N(K71))</f>
        <v/>
      </c>
      <c r="Q71" s="6" t="n">
        <v>439.87</v>
      </c>
      <c r="R71" s="6">
        <f>Q71-P71</f>
        <v/>
      </c>
    </row>
    <row r="72">
      <c r="P72" s="2" t="inlineStr">
        <is>
          <t>SCRIPTSUPERVISOR LABOR</t>
        </is>
      </c>
      <c r="R72" s="8">
        <f>SUM(R71:R71)</f>
        <v/>
      </c>
    </row>
    <row r="74">
      <c r="B74" s="2" t="inlineStr">
        <is>
          <t>LOCATIONMANAGERS</t>
        </is>
      </c>
    </row>
    <row r="75">
      <c r="A75" s="5" t="inlineStr">
        <is>
          <t>2007</t>
        </is>
      </c>
      <c r="B75" s="5" t="inlineStr">
        <is>
          <t>Stacey Brashear-Rodriquez</t>
        </is>
      </c>
      <c r="C75" s="5" t="inlineStr">
        <is>
          <t>LOCATIONMANAGER</t>
        </is>
      </c>
      <c r="D75" s="5" t="inlineStr">
        <is>
          <t>Local399</t>
        </is>
      </c>
      <c r="E75" s="6" t="n">
        <v>557.6</v>
      </c>
      <c r="F75" s="5" t="n"/>
      <c r="G75" s="5" t="n"/>
      <c r="H75" s="5" t="n"/>
      <c r="I75" s="5" t="n"/>
      <c r="J75" s="7">
        <f>IF(AND(N(F75)&gt;0,N(I75)&gt;0),I75-F75-IF(N(G75)&gt;0,0.5,0)-IF(N(H75)&gt;0,0.5,0),0)</f>
        <v/>
      </c>
      <c r="K75" s="5" t="n"/>
      <c r="L75" s="7">
        <f>MIN(J75,8.0)</f>
        <v/>
      </c>
      <c r="M75" s="7">
        <f>MAX(0,MIN(J75,12)-8.0)</f>
        <v/>
      </c>
      <c r="N75" s="7">
        <f>MAX(0,J75-12)</f>
        <v/>
      </c>
      <c r="O75" s="5" t="n"/>
      <c r="P75" s="6">
        <f>E75*(L75+M75*1.5+N75*2+O75*3+N(K75))</f>
        <v/>
      </c>
      <c r="Q75" s="6" t="n">
        <v>557.6</v>
      </c>
      <c r="R75" s="6">
        <f>Q75-P75</f>
        <v/>
      </c>
    </row>
    <row r="76">
      <c r="P76" s="2" t="inlineStr">
        <is>
          <t>LOCATIONMANAGERS LABOR</t>
        </is>
      </c>
      <c r="R76" s="8">
        <f>SUM(R75:R75)</f>
        <v/>
      </c>
    </row>
    <row r="78">
      <c r="B78" s="2" t="inlineStr">
        <is>
          <t>ASSISTANTLOCATIONMANAGERS</t>
        </is>
      </c>
    </row>
    <row r="79">
      <c r="A79" s="5" t="inlineStr">
        <is>
          <t>2008</t>
        </is>
      </c>
      <c r="B79" s="5" t="inlineStr">
        <is>
          <t>Rich Heichel</t>
        </is>
      </c>
      <c r="C79" s="5" t="inlineStr">
        <is>
          <t>KEYASSTLOCATIONMGR#1</t>
        </is>
      </c>
      <c r="D79" s="5" t="inlineStr">
        <is>
          <t>Local399</t>
        </is>
      </c>
      <c r="E79" s="6" t="n">
        <v>334.2</v>
      </c>
      <c r="F79" s="5" t="n"/>
      <c r="G79" s="5" t="n"/>
      <c r="H79" s="5" t="n"/>
      <c r="I79" s="5" t="n"/>
      <c r="J79" s="7">
        <f>IF(AND(N(F79)&gt;0,N(I79)&gt;0),I79-F79-IF(N(G79)&gt;0,0.5,0)-IF(N(H79)&gt;0,0.5,0),0)</f>
        <v/>
      </c>
      <c r="K79" s="5" t="n"/>
      <c r="L79" s="7">
        <f>MIN(J79,8.0)</f>
        <v/>
      </c>
      <c r="M79" s="7">
        <f>MAX(0,MIN(J79,12)-8.0)</f>
        <v/>
      </c>
      <c r="N79" s="7">
        <f>MAX(0,J79-12)</f>
        <v/>
      </c>
      <c r="O79" s="5" t="n"/>
      <c r="P79" s="6">
        <f>E79*(L79+M79*1.5+N79*2+O79*3+N(K79))</f>
        <v/>
      </c>
      <c r="Q79" s="6" t="n">
        <v>334.2</v>
      </c>
      <c r="R79" s="6">
        <f>Q79-P79</f>
        <v/>
      </c>
    </row>
    <row r="80">
      <c r="A80" s="5" t="inlineStr">
        <is>
          <t>2008</t>
        </is>
      </c>
      <c r="B80" s="5" t="inlineStr">
        <is>
          <t>Jason Mc Cauley</t>
        </is>
      </c>
      <c r="C80" s="5" t="inlineStr">
        <is>
          <t>LOCATIONASST</t>
        </is>
      </c>
      <c r="D80" s="5" t="inlineStr">
        <is>
          <t>Local399</t>
        </is>
      </c>
      <c r="E80" s="6" t="n">
        <v>229</v>
      </c>
      <c r="F80" s="5" t="n"/>
      <c r="G80" s="5" t="n"/>
      <c r="H80" s="5" t="n"/>
      <c r="I80" s="5" t="n"/>
      <c r="J80" s="7">
        <f>IF(AND(N(F80)&gt;0,N(I80)&gt;0),I80-F80-IF(N(G80)&gt;0,0.5,0)-IF(N(H80)&gt;0,0.5,0),0)</f>
        <v/>
      </c>
      <c r="K80" s="5" t="n"/>
      <c r="L80" s="7">
        <f>MIN(J80,8.0)</f>
        <v/>
      </c>
      <c r="M80" s="7">
        <f>MAX(0,MIN(J80,12)-8.0)</f>
        <v/>
      </c>
      <c r="N80" s="7">
        <f>MAX(0,J80-12)</f>
        <v/>
      </c>
      <c r="O80" s="5" t="n"/>
      <c r="P80" s="6">
        <f>E80*(L80+M80*1.5+N80*2+O80*3+N(K80))</f>
        <v/>
      </c>
      <c r="Q80" s="6" t="n">
        <v>229</v>
      </c>
      <c r="R80" s="6">
        <f>Q80-P80</f>
        <v/>
      </c>
    </row>
    <row r="81">
      <c r="P81" s="2" t="inlineStr">
        <is>
          <t>ASSISTANTLOCATIONMANAGERS LABOR</t>
        </is>
      </c>
      <c r="R81" s="8">
        <f>SUM(R79:R80)</f>
        <v/>
      </c>
    </row>
    <row r="83">
      <c r="B83" s="2" t="inlineStr">
        <is>
          <t>PRODUCTIONCOORDINATOR</t>
        </is>
      </c>
    </row>
    <row r="84">
      <c r="A84" s="5" t="inlineStr">
        <is>
          <t>2009</t>
        </is>
      </c>
      <c r="B84" s="5" t="inlineStr">
        <is>
          <t>Ali Griffith</t>
        </is>
      </c>
      <c r="C84" s="5" t="inlineStr">
        <is>
          <t>PRODUCTIONOFCCOORD</t>
        </is>
      </c>
      <c r="D84" s="5" t="inlineStr"/>
      <c r="E84" s="6" t="n">
        <v>360</v>
      </c>
      <c r="F84" s="5" t="n"/>
      <c r="G84" s="5" t="n"/>
      <c r="H84" s="5" t="n"/>
      <c r="I84" s="5" t="n"/>
      <c r="J84" s="7">
        <f>IF(AND(N(F84)&gt;0,N(I84)&gt;0),I84-F84-IF(N(G84)&gt;0,0.5,0)-IF(N(H84)&gt;0,0.5,0),0)</f>
        <v/>
      </c>
      <c r="K84" s="5" t="n"/>
      <c r="L84" s="7">
        <f>MIN(J84,8.0)</f>
        <v/>
      </c>
      <c r="M84" s="7">
        <f>MAX(0,MIN(J84,12)-8.0)</f>
        <v/>
      </c>
      <c r="N84" s="7">
        <f>MAX(0,J84-12)</f>
        <v/>
      </c>
      <c r="O84" s="5" t="n"/>
      <c r="P84" s="6">
        <f>E84*(L84+M84*1.5+N84*2+O84*3+N(K84))</f>
        <v/>
      </c>
      <c r="Q84" s="6" t="n">
        <v>360</v>
      </c>
      <c r="R84" s="6">
        <f>Q84-P84</f>
        <v/>
      </c>
    </row>
    <row r="85">
      <c r="P85" s="2" t="inlineStr">
        <is>
          <t>PRODUCTIONCOORDINATOR LABOR</t>
        </is>
      </c>
      <c r="R85" s="8">
        <f>SUM(R84:R84)</f>
        <v/>
      </c>
    </row>
    <row r="87">
      <c r="B87" s="2" t="inlineStr">
        <is>
          <t>ASSTPRODUCTIONCOORDINATOR</t>
        </is>
      </c>
    </row>
    <row r="88">
      <c r="A88" s="5" t="inlineStr">
        <is>
          <t>2010</t>
        </is>
      </c>
      <c r="B88" s="5" t="inlineStr">
        <is>
          <t>Holly Dellocono</t>
        </is>
      </c>
      <c r="C88" s="5" t="inlineStr">
        <is>
          <t>APOC</t>
        </is>
      </c>
      <c r="D88" s="5" t="inlineStr">
        <is>
          <t>Local871</t>
        </is>
      </c>
      <c r="E88" s="6" t="n">
        <v>20.57</v>
      </c>
      <c r="F88" s="5" t="n"/>
      <c r="G88" s="5" t="n"/>
      <c r="H88" s="5" t="n"/>
      <c r="I88" s="5" t="n"/>
      <c r="J88" s="7">
        <f>IF(AND(N(F88)&gt;0,N(I88)&gt;0),I88-F88-IF(N(G88)&gt;0,0.5,0)-IF(N(H88)&gt;0,0.5,0),0)</f>
        <v/>
      </c>
      <c r="K88" s="5" t="n"/>
      <c r="L88" s="7">
        <f>MIN(J88,10.0)</f>
        <v/>
      </c>
      <c r="M88" s="7">
        <f>MAX(0,MIN(J88,12)-10.0)</f>
        <v/>
      </c>
      <c r="N88" s="7">
        <f>MAX(0,J88-12)</f>
        <v/>
      </c>
      <c r="O88" s="5" t="n"/>
      <c r="P88" s="6">
        <f>E88*(L88+M88*1.5+N88*2+O88*3+N(K88))</f>
        <v/>
      </c>
      <c r="Q88" s="6" t="n">
        <v>287.98</v>
      </c>
      <c r="R88" s="6">
        <f>Q88-P88</f>
        <v/>
      </c>
    </row>
    <row r="89">
      <c r="P89" s="2" t="inlineStr">
        <is>
          <t>ASSTPRODUCTIONCOORDINATOR LABOR</t>
        </is>
      </c>
      <c r="R89" s="8">
        <f>SUM(R88:R88)</f>
        <v/>
      </c>
    </row>
    <row r="91">
      <c r="B91" s="2" t="inlineStr">
        <is>
          <t>OFFICESTAFFASSISTANTS</t>
        </is>
      </c>
    </row>
    <row r="92">
      <c r="A92" s="5" t="inlineStr">
        <is>
          <t>2011</t>
        </is>
      </c>
      <c r="B92" s="5" t="inlineStr">
        <is>
          <t>John Humber</t>
        </is>
      </c>
      <c r="C92" s="5" t="inlineStr">
        <is>
          <t>OFFICEPA#1</t>
        </is>
      </c>
      <c r="D92" s="5" t="inlineStr"/>
      <c r="E92" s="6" t="n">
        <v>22.5</v>
      </c>
      <c r="F92" s="5" t="n"/>
      <c r="G92" s="5" t="n"/>
      <c r="H92" s="5" t="n"/>
      <c r="I92" s="5" t="n"/>
      <c r="J92" s="7">
        <f>IF(AND(N(F92)&gt;0,N(I92)&gt;0),I92-F92-IF(N(G92)&gt;0,0.5,0)-IF(N(H92)&gt;0,0.5,0),0)</f>
        <v/>
      </c>
      <c r="K92" s="5" t="n"/>
      <c r="L92" s="7">
        <f>MIN(J92,8.0)</f>
        <v/>
      </c>
      <c r="M92" s="7">
        <f>MAX(0,MIN(J92,12)-8.0)</f>
        <v/>
      </c>
      <c r="N92" s="7">
        <f>MAX(0,J92-12)</f>
        <v/>
      </c>
      <c r="O92" s="5" t="n"/>
      <c r="P92" s="6">
        <f>E92*(L92+M92*1.5+N92*2+O92*3+N(K92))</f>
        <v/>
      </c>
      <c r="Q92" s="6" t="n">
        <v>168</v>
      </c>
      <c r="R92" s="6">
        <f>Q92-P92</f>
        <v/>
      </c>
    </row>
    <row r="93">
      <c r="A93" s="5" t="inlineStr">
        <is>
          <t>2011</t>
        </is>
      </c>
      <c r="B93" s="5" t="inlineStr">
        <is>
          <t>Sarah Semenas</t>
        </is>
      </c>
      <c r="C93" s="5" t="inlineStr">
        <is>
          <t>OFFICEPA#2</t>
        </is>
      </c>
      <c r="D93" s="5" t="inlineStr"/>
      <c r="E93" s="6" t="n">
        <v>22.5</v>
      </c>
      <c r="F93" s="5" t="n"/>
      <c r="G93" s="5" t="n"/>
      <c r="H93" s="5" t="n"/>
      <c r="I93" s="5" t="n"/>
      <c r="J93" s="7">
        <f>IF(AND(N(F93)&gt;0,N(I93)&gt;0),I93-F93-IF(N(G93)&gt;0,0.5,0)-IF(N(H93)&gt;0,0.5,0),0)</f>
        <v/>
      </c>
      <c r="K93" s="5" t="n"/>
      <c r="L93" s="7">
        <f>MIN(J93,8.0)</f>
        <v/>
      </c>
      <c r="M93" s="7">
        <f>MAX(0,MIN(J93,12)-8.0)</f>
        <v/>
      </c>
      <c r="N93" s="7">
        <f>MAX(0,J93-12)</f>
        <v/>
      </c>
      <c r="O93" s="5" t="n"/>
      <c r="P93" s="6">
        <f>E93*(L93+M93*1.5+N93*2+O93*3+N(K93))</f>
        <v/>
      </c>
      <c r="Q93" s="6" t="n">
        <v>168</v>
      </c>
      <c r="R93" s="6">
        <f>Q93-P93</f>
        <v/>
      </c>
    </row>
    <row r="94">
      <c r="P94" s="2" t="inlineStr">
        <is>
          <t>OFFICESTAFFASSISTANTS LABOR</t>
        </is>
      </c>
      <c r="R94" s="8">
        <f>SUM(R92:R93)</f>
        <v/>
      </c>
    </row>
    <row r="96">
      <c r="B96" s="2" t="inlineStr">
        <is>
          <t>SETSTAFFASSISTANTS</t>
        </is>
      </c>
    </row>
    <row r="97">
      <c r="A97" s="5" t="inlineStr">
        <is>
          <t>2012</t>
        </is>
      </c>
      <c r="B97" s="5" t="inlineStr">
        <is>
          <t>Paula Henry</t>
        </is>
      </c>
      <c r="C97" s="5" t="inlineStr">
        <is>
          <t>KEYSETPA</t>
        </is>
      </c>
      <c r="D97" s="5" t="inlineStr"/>
      <c r="E97" s="6" t="n">
        <v>12</v>
      </c>
      <c r="F97" s="5" t="n"/>
      <c r="G97" s="5" t="n"/>
      <c r="H97" s="5" t="n"/>
      <c r="I97" s="5" t="n"/>
      <c r="J97" s="7">
        <f>IF(AND(N(F97)&gt;0,N(I97)&gt;0),I97-F97-IF(N(G97)&gt;0,0.5,0)-IF(N(H97)&gt;0,0.5,0),0)</f>
        <v/>
      </c>
      <c r="K97" s="5" t="n"/>
      <c r="L97" s="7">
        <f>MIN(J97,8.0)</f>
        <v/>
      </c>
      <c r="M97" s="7">
        <f>MAX(0,MIN(J97,12)-8.0)</f>
        <v/>
      </c>
      <c r="N97" s="7">
        <f>MAX(0,J97-12)</f>
        <v/>
      </c>
      <c r="O97" s="5" t="n"/>
      <c r="P97" s="6">
        <f>E97*(L97+M97*1.5+N97*2+O97*3+N(K97))</f>
        <v/>
      </c>
      <c r="Q97" s="6" t="n">
        <v>216</v>
      </c>
      <c r="R97" s="6">
        <f>Q97-P97</f>
        <v/>
      </c>
    </row>
    <row r="98">
      <c r="A98" s="5" t="inlineStr">
        <is>
          <t>2012</t>
        </is>
      </c>
      <c r="B98" s="5" t="inlineStr"/>
      <c r="C98" s="5" t="inlineStr">
        <is>
          <t>SETPA#2</t>
        </is>
      </c>
      <c r="D98" s="5" t="inlineStr"/>
      <c r="E98" s="6" t="n">
        <v>12</v>
      </c>
      <c r="F98" s="5" t="n"/>
      <c r="G98" s="5" t="n"/>
      <c r="H98" s="5" t="n"/>
      <c r="I98" s="5" t="n"/>
      <c r="J98" s="7">
        <f>IF(AND(N(F98)&gt;0,N(I98)&gt;0),I98-F98-IF(N(G98)&gt;0,0.5,0)-IF(N(H98)&gt;0,0.5,0),0)</f>
        <v/>
      </c>
      <c r="K98" s="5" t="n"/>
      <c r="L98" s="7">
        <f>MIN(J98,8.0)</f>
        <v/>
      </c>
      <c r="M98" s="7">
        <f>MAX(0,MIN(J98,12)-8.0)</f>
        <v/>
      </c>
      <c r="N98" s="7">
        <f>MAX(0,J98-12)</f>
        <v/>
      </c>
      <c r="O98" s="5" t="n"/>
      <c r="P98" s="6">
        <f>E98*(L98+M98*1.5+N98*2+O98*3+N(K98))</f>
        <v/>
      </c>
      <c r="Q98" s="6" t="n">
        <v>216</v>
      </c>
      <c r="R98" s="6">
        <f>Q98-P98</f>
        <v/>
      </c>
    </row>
    <row r="99">
      <c r="A99" s="5" t="inlineStr">
        <is>
          <t>2012</t>
        </is>
      </c>
      <c r="B99" s="5" t="inlineStr"/>
      <c r="C99" s="5" t="inlineStr">
        <is>
          <t>SETPA#3</t>
        </is>
      </c>
      <c r="D99" s="5" t="inlineStr"/>
      <c r="E99" s="6" t="n">
        <v>12</v>
      </c>
      <c r="F99" s="5" t="n"/>
      <c r="G99" s="5" t="n"/>
      <c r="H99" s="5" t="n"/>
      <c r="I99" s="5" t="n"/>
      <c r="J99" s="7">
        <f>IF(AND(N(F99)&gt;0,N(I99)&gt;0),I99-F99-IF(N(G99)&gt;0,0.5,0)-IF(N(H99)&gt;0,0.5,0),0)</f>
        <v/>
      </c>
      <c r="K99" s="5" t="n"/>
      <c r="L99" s="7">
        <f>MIN(J99,8.0)</f>
        <v/>
      </c>
      <c r="M99" s="7">
        <f>MAX(0,MIN(J99,12)-8.0)</f>
        <v/>
      </c>
      <c r="N99" s="7">
        <f>MAX(0,J99-12)</f>
        <v/>
      </c>
      <c r="O99" s="5" t="n"/>
      <c r="P99" s="6">
        <f>E99*(L99+M99*1.5+N99*2+O99*3+N(K99))</f>
        <v/>
      </c>
      <c r="Q99" s="6" t="n">
        <v>216</v>
      </c>
      <c r="R99" s="6">
        <f>Q99-P99</f>
        <v/>
      </c>
    </row>
    <row r="100">
      <c r="A100" s="5" t="inlineStr">
        <is>
          <t>2012</t>
        </is>
      </c>
      <c r="B100" s="5" t="inlineStr"/>
      <c r="C100" s="5" t="inlineStr">
        <is>
          <t>SETPA#4</t>
        </is>
      </c>
      <c r="D100" s="5" t="inlineStr"/>
      <c r="E100" s="6" t="n">
        <v>12</v>
      </c>
      <c r="F100" s="5" t="n"/>
      <c r="G100" s="5" t="n"/>
      <c r="H100" s="5" t="n"/>
      <c r="I100" s="5" t="n"/>
      <c r="J100" s="7">
        <f>IF(AND(N(F100)&gt;0,N(I100)&gt;0),I100-F100-IF(N(G100)&gt;0,0.5,0)-IF(N(H100)&gt;0,0.5,0),0)</f>
        <v/>
      </c>
      <c r="K100" s="5" t="n"/>
      <c r="L100" s="7">
        <f>MIN(J100,8.0)</f>
        <v/>
      </c>
      <c r="M100" s="7">
        <f>MAX(0,MIN(J100,12)-8.0)</f>
        <v/>
      </c>
      <c r="N100" s="7">
        <f>MAX(0,J100-12)</f>
        <v/>
      </c>
      <c r="O100" s="5" t="n"/>
      <c r="P100" s="6">
        <f>E100*(L100+M100*1.5+N100*2+O100*3+N(K100))</f>
        <v/>
      </c>
      <c r="Q100" s="6" t="n">
        <v>216</v>
      </c>
      <c r="R100" s="6">
        <f>Q100-P100</f>
        <v/>
      </c>
    </row>
    <row r="101">
      <c r="P101" s="2" t="inlineStr">
        <is>
          <t>SETSTAFFASSISTANTS LABOR</t>
        </is>
      </c>
      <c r="R101" s="8">
        <f>SUM(R97:R100)</f>
        <v/>
      </c>
    </row>
    <row r="103">
      <c r="B103" s="2" t="inlineStr">
        <is>
          <t>PRODUCTIONACCOUNTANT</t>
        </is>
      </c>
    </row>
    <row r="104">
      <c r="A104" s="5" t="inlineStr">
        <is>
          <t>2013</t>
        </is>
      </c>
      <c r="B104" s="5" t="inlineStr">
        <is>
          <t>Joel Tokarsky</t>
        </is>
      </c>
      <c r="C104" s="5" t="inlineStr">
        <is>
          <t>PRODUCTIONACCOUNTANT</t>
        </is>
      </c>
      <c r="D104" s="5" t="inlineStr">
        <is>
          <t>Local871</t>
        </is>
      </c>
      <c r="E104" s="6" t="n">
        <v>740</v>
      </c>
      <c r="F104" s="5" t="n"/>
      <c r="G104" s="5" t="n"/>
      <c r="H104" s="5" t="n"/>
      <c r="I104" s="5" t="n"/>
      <c r="J104" s="7">
        <f>IF(AND(N(F104)&gt;0,N(I104)&gt;0),I104-F104-IF(N(G104)&gt;0,0.5,0)-IF(N(H104)&gt;0,0.5,0),0)</f>
        <v/>
      </c>
      <c r="K104" s="5" t="n"/>
      <c r="L104" s="7">
        <f>MIN(J104,10.0)</f>
        <v/>
      </c>
      <c r="M104" s="7">
        <f>MAX(0,MIN(J104,12)-10.0)</f>
        <v/>
      </c>
      <c r="N104" s="7">
        <f>MAX(0,J104-12)</f>
        <v/>
      </c>
      <c r="O104" s="5" t="n"/>
      <c r="P104" s="6">
        <f>E104*(L104+M104*1.5+N104*2+O104*3+N(K104))</f>
        <v/>
      </c>
      <c r="Q104" s="6" t="n">
        <v>740</v>
      </c>
      <c r="R104" s="6">
        <f>Q104-P104</f>
        <v/>
      </c>
    </row>
    <row r="105">
      <c r="P105" s="2" t="inlineStr">
        <is>
          <t>PRODUCTIONACCOUNTANT LABOR</t>
        </is>
      </c>
      <c r="R105" s="8">
        <f>SUM(R104:R104)</f>
        <v/>
      </c>
    </row>
    <row r="107">
      <c r="B107" s="2" t="inlineStr">
        <is>
          <t>ASSTPRODUCTIONACCOUNTANTS</t>
        </is>
      </c>
    </row>
    <row r="108">
      <c r="A108" s="5" t="inlineStr">
        <is>
          <t>2014</t>
        </is>
      </c>
      <c r="B108" s="5" t="inlineStr">
        <is>
          <t>Co-Co Aiello</t>
        </is>
      </c>
      <c r="C108" s="5" t="inlineStr">
        <is>
          <t>1STASSTACCT</t>
        </is>
      </c>
      <c r="D108" s="5" t="inlineStr">
        <is>
          <t>Local871</t>
        </is>
      </c>
      <c r="E108" s="6" t="n">
        <v>480</v>
      </c>
      <c r="F108" s="5" t="n"/>
      <c r="G108" s="5" t="n"/>
      <c r="H108" s="5" t="n"/>
      <c r="I108" s="5" t="n"/>
      <c r="J108" s="7">
        <f>IF(AND(N(F108)&gt;0,N(I108)&gt;0),I108-F108-IF(N(G108)&gt;0,0.5,0)-IF(N(H108)&gt;0,0.5,0),0)</f>
        <v/>
      </c>
      <c r="K108" s="5" t="n"/>
      <c r="L108" s="7">
        <f>MIN(J108,10.0)</f>
        <v/>
      </c>
      <c r="M108" s="7">
        <f>MAX(0,MIN(J108,12)-10.0)</f>
        <v/>
      </c>
      <c r="N108" s="7">
        <f>MAX(0,J108-12)</f>
        <v/>
      </c>
      <c r="O108" s="5" t="n"/>
      <c r="P108" s="6">
        <f>E108*(L108+M108*1.5+N108*2+O108*3+N(K108))</f>
        <v/>
      </c>
      <c r="Q108" s="6" t="n">
        <v>480</v>
      </c>
      <c r="R108" s="6">
        <f>Q108-P108</f>
        <v/>
      </c>
    </row>
    <row r="109">
      <c r="A109" s="5" t="inlineStr">
        <is>
          <t>2014</t>
        </is>
      </c>
      <c r="B109" s="5" t="inlineStr">
        <is>
          <t>Steve Goldstein</t>
        </is>
      </c>
      <c r="C109" s="5" t="inlineStr">
        <is>
          <t>PAYROLLACCT</t>
        </is>
      </c>
      <c r="D109" s="5" t="inlineStr">
        <is>
          <t>Local871</t>
        </is>
      </c>
      <c r="E109" s="6" t="n">
        <v>420</v>
      </c>
      <c r="F109" s="5" t="n"/>
      <c r="G109" s="5" t="n"/>
      <c r="H109" s="5" t="n"/>
      <c r="I109" s="5" t="n"/>
      <c r="J109" s="7">
        <f>IF(AND(N(F109)&gt;0,N(I109)&gt;0),I109-F109-IF(N(G109)&gt;0,0.5,0)-IF(N(H109)&gt;0,0.5,0),0)</f>
        <v/>
      </c>
      <c r="K109" s="5" t="n"/>
      <c r="L109" s="7">
        <f>MIN(J109,10.0)</f>
        <v/>
      </c>
      <c r="M109" s="7">
        <f>MAX(0,MIN(J109,12)-10.0)</f>
        <v/>
      </c>
      <c r="N109" s="7">
        <f>MAX(0,J109-12)</f>
        <v/>
      </c>
      <c r="O109" s="5" t="n"/>
      <c r="P109" s="6">
        <f>E109*(L109+M109*1.5+N109*2+O109*3+N(K109))</f>
        <v/>
      </c>
      <c r="Q109" s="6" t="n">
        <v>420</v>
      </c>
      <c r="R109" s="6">
        <f>Q109-P109</f>
        <v/>
      </c>
    </row>
    <row r="110">
      <c r="P110" s="2" t="inlineStr">
        <is>
          <t>ASSTPRODUCTIONACCOUNTANTS LABOR</t>
        </is>
      </c>
      <c r="R110" s="8">
        <f>SUM(R108:R109)</f>
        <v/>
      </c>
    </row>
    <row r="112">
      <c r="B112" s="2" t="inlineStr">
        <is>
          <t>CONSTRUCTIONCOORDINATOR</t>
        </is>
      </c>
    </row>
    <row r="113">
      <c r="A113" s="5" t="inlineStr">
        <is>
          <t>2302</t>
        </is>
      </c>
      <c r="B113" s="5" t="inlineStr">
        <is>
          <t>Drew Rebelin</t>
        </is>
      </c>
      <c r="C113" s="5" t="inlineStr">
        <is>
          <t>CONSTCOORDINATOR</t>
        </is>
      </c>
      <c r="D113" s="5" t="inlineStr">
        <is>
          <t>Local44</t>
        </is>
      </c>
      <c r="E113" s="6" t="n">
        <v>400</v>
      </c>
      <c r="F113" s="5" t="n"/>
      <c r="G113" s="5" t="n"/>
      <c r="H113" s="5" t="n"/>
      <c r="I113" s="5" t="n"/>
      <c r="J113" s="7">
        <f>IF(AND(N(F113)&gt;0,N(I113)&gt;0),I113-F113-IF(N(G113)&gt;0,0.5,0)-IF(N(H113)&gt;0,0.5,0),0)</f>
        <v/>
      </c>
      <c r="K113" s="5" t="n"/>
      <c r="L113" s="7">
        <f>MIN(J113,10.0)</f>
        <v/>
      </c>
      <c r="M113" s="7">
        <f>MAX(0,MIN(J113,12)-10.0)</f>
        <v/>
      </c>
      <c r="N113" s="7">
        <f>MAX(0,J113-12)</f>
        <v/>
      </c>
      <c r="O113" s="5" t="n"/>
      <c r="P113" s="6">
        <f>E113*(L113+M113*1.5+N113*2+O113*3+N(K113))</f>
        <v/>
      </c>
      <c r="Q113" s="5" t="n"/>
      <c r="R113" s="6">
        <f>Q113-P113</f>
        <v/>
      </c>
    </row>
    <row r="114">
      <c r="P114" s="2" t="inlineStr">
        <is>
          <t>CONSTRUCTIONCOORDINATOR LABOR</t>
        </is>
      </c>
      <c r="R114" s="8">
        <f>SUM(R113:R113)</f>
        <v/>
      </c>
    </row>
    <row r="116">
      <c r="B116" s="2" t="inlineStr">
        <is>
          <t>PAINTFOREMAN</t>
        </is>
      </c>
    </row>
    <row r="117">
      <c r="A117" s="5" t="inlineStr">
        <is>
          <t>2304</t>
        </is>
      </c>
      <c r="B117" s="5" t="inlineStr">
        <is>
          <t>Kristeen Reimnitz</t>
        </is>
      </c>
      <c r="C117" s="5" t="inlineStr">
        <is>
          <t>PAINTER</t>
        </is>
      </c>
      <c r="D117" s="5" t="inlineStr">
        <is>
          <t>Local729</t>
        </is>
      </c>
      <c r="E117" s="6" t="n">
        <v>23.04</v>
      </c>
      <c r="F117" s="5" t="n"/>
      <c r="G117" s="5" t="n"/>
      <c r="H117" s="5" t="n"/>
      <c r="I117" s="5" t="n"/>
      <c r="J117" s="7">
        <f>IF(AND(N(F117)&gt;0,N(I117)&gt;0),I117-F117-IF(N(G117)&gt;0,0.5,0)-IF(N(H117)&gt;0,0.5,0),0)</f>
        <v/>
      </c>
      <c r="K117" s="5" t="n"/>
      <c r="L117" s="7">
        <f>MIN(J117,10.0)</f>
        <v/>
      </c>
      <c r="M117" s="7">
        <f>MAX(0,MIN(J117,12)-10.0)</f>
        <v/>
      </c>
      <c r="N117" s="7">
        <f>MAX(0,J117-12)</f>
        <v/>
      </c>
      <c r="O117" s="5" t="n"/>
      <c r="P117" s="6">
        <f>E117*(L117+M117*1.5+N117*2+O117*3+N(K117))</f>
        <v/>
      </c>
      <c r="Q117" s="5" t="n"/>
      <c r="R117" s="6">
        <f>Q117-P117</f>
        <v/>
      </c>
    </row>
    <row r="118">
      <c r="P118" s="2" t="inlineStr">
        <is>
          <t>PAINTFOREMAN LABOR</t>
        </is>
      </c>
      <c r="R118" s="8">
        <f>SUM(R117:R117)</f>
        <v/>
      </c>
    </row>
    <row r="120">
      <c r="B120" s="2" t="inlineStr">
        <is>
          <t>FIRSTAIDLABOR</t>
        </is>
      </c>
    </row>
    <row r="121">
      <c r="A121" s="5" t="inlineStr">
        <is>
          <t>2310</t>
        </is>
      </c>
      <c r="B121" s="5" t="inlineStr"/>
      <c r="C121" s="5" t="inlineStr">
        <is>
          <t>CONSTRUCTIONMEDIC</t>
        </is>
      </c>
      <c r="D121" s="5" t="inlineStr">
        <is>
          <t>Local80</t>
        </is>
      </c>
      <c r="E121" s="6" t="n">
        <v>23.04</v>
      </c>
      <c r="F121" s="5" t="n"/>
      <c r="G121" s="5" t="n"/>
      <c r="H121" s="5" t="n"/>
      <c r="I121" s="5" t="n"/>
      <c r="J121" s="7">
        <f>IF(AND(N(F121)&gt;0,N(I121)&gt;0),I121-F121-IF(N(G121)&gt;0,0.5,0)-IF(N(H121)&gt;0,0.5,0),0)</f>
        <v/>
      </c>
      <c r="K121" s="5" t="n"/>
      <c r="L121" s="7">
        <f>MIN(J121,10.0)</f>
        <v/>
      </c>
      <c r="M121" s="7">
        <f>MAX(0,MIN(J121,12)-10.0)</f>
        <v/>
      </c>
      <c r="N121" s="7">
        <f>MAX(0,J121-12)</f>
        <v/>
      </c>
      <c r="O121" s="5" t="n"/>
      <c r="P121" s="6">
        <f>E121*(L121+M121*1.5+N121*2+O121*3+N(K121))</f>
        <v/>
      </c>
      <c r="Q121" s="5" t="n"/>
      <c r="R121" s="6">
        <f>Q121-P121</f>
        <v/>
      </c>
    </row>
    <row r="122">
      <c r="P122" s="2" t="inlineStr">
        <is>
          <t>FIRSTAIDLABOR LABOR</t>
        </is>
      </c>
      <c r="R122" s="8">
        <f>SUM(R121:R121)</f>
        <v/>
      </c>
    </row>
    <row r="124">
      <c r="B124" s="2" t="inlineStr">
        <is>
          <t>KEYGRIP</t>
        </is>
      </c>
    </row>
    <row r="125">
      <c r="A125" s="5" t="inlineStr">
        <is>
          <t>2501</t>
        </is>
      </c>
      <c r="B125" s="5" t="inlineStr">
        <is>
          <t>Pat O'Mara</t>
        </is>
      </c>
      <c r="C125" s="5" t="inlineStr">
        <is>
          <t>KEYGRIP</t>
        </is>
      </c>
      <c r="D125" s="5" t="inlineStr">
        <is>
          <t>Local80</t>
        </is>
      </c>
      <c r="E125" s="6" t="n">
        <v>25.5</v>
      </c>
      <c r="F125" s="5" t="n"/>
      <c r="G125" s="5" t="n"/>
      <c r="H125" s="5" t="n"/>
      <c r="I125" s="5" t="n"/>
      <c r="J125" s="7">
        <f>IF(AND(N(F125)&gt;0,N(I125)&gt;0),I125-F125-IF(N(G125)&gt;0,0.5,0)-IF(N(H125)&gt;0,0.5,0),0)</f>
        <v/>
      </c>
      <c r="K125" s="5" t="n"/>
      <c r="L125" s="7">
        <f>MIN(J125,10.0)</f>
        <v/>
      </c>
      <c r="M125" s="7">
        <f>MAX(0,MIN(J125,12)-10.0)</f>
        <v/>
      </c>
      <c r="N125" s="7">
        <f>MAX(0,J125-12)</f>
        <v/>
      </c>
      <c r="O125" s="5" t="n"/>
      <c r="P125" s="6">
        <f>E125*(L125+M125*1.5+N125*2+O125*3+N(K125))</f>
        <v/>
      </c>
      <c r="Q125" s="6" t="n">
        <v>395.25</v>
      </c>
      <c r="R125" s="6">
        <f>Q125-P125</f>
        <v/>
      </c>
    </row>
    <row r="126">
      <c r="P126" s="2" t="inlineStr">
        <is>
          <t>KEYGRIP LABOR</t>
        </is>
      </c>
      <c r="R126" s="8">
        <f>SUM(R125:R125)</f>
        <v/>
      </c>
    </row>
    <row r="128">
      <c r="B128" s="2" t="inlineStr">
        <is>
          <t>BESTBOYGRIP</t>
        </is>
      </c>
    </row>
    <row r="129">
      <c r="A129" s="5" t="inlineStr">
        <is>
          <t>2502</t>
        </is>
      </c>
      <c r="B129" s="5" t="inlineStr">
        <is>
          <t>Aaron Fairley</t>
        </is>
      </c>
      <c r="C129" s="5" t="inlineStr">
        <is>
          <t>BESTBOYGRIP</t>
        </is>
      </c>
      <c r="D129" s="5" t="inlineStr">
        <is>
          <t>Local80</t>
        </is>
      </c>
      <c r="E129" s="6" t="n">
        <v>23.04</v>
      </c>
      <c r="F129" s="5" t="n"/>
      <c r="G129" s="5" t="n"/>
      <c r="H129" s="5" t="n"/>
      <c r="I129" s="5" t="n"/>
      <c r="J129" s="7">
        <f>IF(AND(N(F129)&gt;0,N(I129)&gt;0),I129-F129-IF(N(G129)&gt;0,0.5,0)-IF(N(H129)&gt;0,0.5,0),0)</f>
        <v/>
      </c>
      <c r="K129" s="5" t="n"/>
      <c r="L129" s="7">
        <f>MIN(J129,10.0)</f>
        <v/>
      </c>
      <c r="M129" s="7">
        <f>MAX(0,MIN(J129,12)-10.0)</f>
        <v/>
      </c>
      <c r="N129" s="7">
        <f>MAX(0,J129-12)</f>
        <v/>
      </c>
      <c r="O129" s="5" t="n"/>
      <c r="P129" s="6">
        <f>E129*(L129+M129*1.5+N129*2+O129*3+N(K129))</f>
        <v/>
      </c>
      <c r="Q129" s="6" t="n">
        <v>357.12</v>
      </c>
      <c r="R129" s="6">
        <f>Q129-P129</f>
        <v/>
      </c>
    </row>
    <row r="130">
      <c r="A130" s="5" t="inlineStr">
        <is>
          <t>2502</t>
        </is>
      </c>
      <c r="B130" s="5" t="inlineStr"/>
      <c r="C130" s="5" t="inlineStr">
        <is>
          <t>STUDIOBESTBOYGRIP</t>
        </is>
      </c>
      <c r="D130" s="5" t="inlineStr">
        <is>
          <t>Local80</t>
        </is>
      </c>
      <c r="E130" s="6" t="n">
        <v>43.05</v>
      </c>
      <c r="F130" s="5" t="n"/>
      <c r="G130" s="5" t="n"/>
      <c r="H130" s="5" t="n"/>
      <c r="I130" s="5" t="n"/>
      <c r="J130" s="7">
        <f>IF(AND(N(F130)&gt;0,N(I130)&gt;0),I130-F130-IF(N(G130)&gt;0,0.5,0)-IF(N(H130)&gt;0,0.5,0),0)</f>
        <v/>
      </c>
      <c r="K130" s="5" t="n"/>
      <c r="L130" s="7">
        <f>MIN(J130,10.0)</f>
        <v/>
      </c>
      <c r="M130" s="7">
        <f>MAX(0,MIN(J130,12)-10.0)</f>
        <v/>
      </c>
      <c r="N130" s="7">
        <f>MAX(0,J130-12)</f>
        <v/>
      </c>
      <c r="O130" s="5" t="n"/>
      <c r="P130" s="6">
        <f>E130*(L130+M130*1.5+N130*2+O130*3+N(K130))</f>
        <v/>
      </c>
      <c r="Q130" s="6" t="n">
        <v>667.27</v>
      </c>
      <c r="R130" s="6">
        <f>Q130-P130</f>
        <v/>
      </c>
    </row>
    <row r="131">
      <c r="P131" s="2" t="inlineStr">
        <is>
          <t>BESTBOYGRIP LABOR</t>
        </is>
      </c>
      <c r="R131" s="8">
        <f>SUM(R129:R130)</f>
        <v/>
      </c>
    </row>
    <row r="133">
      <c r="B133" s="2" t="inlineStr">
        <is>
          <t>DOLLYGRIP</t>
        </is>
      </c>
    </row>
    <row r="134">
      <c r="A134" s="5" t="inlineStr">
        <is>
          <t>2503</t>
        </is>
      </c>
      <c r="B134" s="5" t="inlineStr">
        <is>
          <t>Peter Weidenfeller</t>
        </is>
      </c>
      <c r="C134" s="5" t="inlineStr">
        <is>
          <t>"A"DOLLYGRIP</t>
        </is>
      </c>
      <c r="D134" s="5" t="inlineStr">
        <is>
          <t>Local80</t>
        </is>
      </c>
      <c r="E134" s="6" t="n">
        <v>23.04</v>
      </c>
      <c r="F134" s="5" t="n"/>
      <c r="G134" s="5" t="n"/>
      <c r="H134" s="5" t="n"/>
      <c r="I134" s="5" t="n"/>
      <c r="J134" s="7">
        <f>IF(AND(N(F134)&gt;0,N(I134)&gt;0),I134-F134-IF(N(G134)&gt;0,0.5,0)-IF(N(H134)&gt;0,0.5,0),0)</f>
        <v/>
      </c>
      <c r="K134" s="5" t="n"/>
      <c r="L134" s="7">
        <f>MIN(J134,10.0)</f>
        <v/>
      </c>
      <c r="M134" s="7">
        <f>MAX(0,MIN(J134,12)-10.0)</f>
        <v/>
      </c>
      <c r="N134" s="7">
        <f>MAX(0,J134-12)</f>
        <v/>
      </c>
      <c r="O134" s="5" t="n"/>
      <c r="P134" s="6">
        <f>E134*(L134+M134*1.5+N134*2+O134*3+N(K134))</f>
        <v/>
      </c>
      <c r="Q134" s="6" t="n">
        <v>357.12</v>
      </c>
      <c r="R134" s="6">
        <f>Q134-P134</f>
        <v/>
      </c>
    </row>
    <row r="135">
      <c r="P135" s="2" t="inlineStr">
        <is>
          <t>DOLLYGRIP LABOR</t>
        </is>
      </c>
      <c r="R135" s="8">
        <f>SUM(R134:R134)</f>
        <v/>
      </c>
    </row>
    <row r="137">
      <c r="B137" s="2" t="inlineStr">
        <is>
          <t>CRANEGRIPS</t>
        </is>
      </c>
    </row>
    <row r="138">
      <c r="A138" s="5" t="inlineStr">
        <is>
          <t>2504</t>
        </is>
      </c>
      <c r="B138" s="5" t="inlineStr"/>
      <c r="C138" s="5" t="inlineStr">
        <is>
          <t>CRANEOPERATOR</t>
        </is>
      </c>
      <c r="D138" s="5" t="inlineStr">
        <is>
          <t>Local80</t>
        </is>
      </c>
      <c r="E138" s="6" t="n">
        <v>792</v>
      </c>
      <c r="F138" s="5" t="n"/>
      <c r="G138" s="5" t="n"/>
      <c r="H138" s="5" t="n"/>
      <c r="I138" s="5" t="n"/>
      <c r="J138" s="7">
        <f>IF(AND(N(F138)&gt;0,N(I138)&gt;0),I138-F138-IF(N(G138)&gt;0,0.5,0)-IF(N(H138)&gt;0,0.5,0),0)</f>
        <v/>
      </c>
      <c r="K138" s="5" t="n"/>
      <c r="L138" s="7">
        <f>MIN(J138,10.0)</f>
        <v/>
      </c>
      <c r="M138" s="7">
        <f>MAX(0,MIN(J138,12)-10.0)</f>
        <v/>
      </c>
      <c r="N138" s="7">
        <f>MAX(0,J138-12)</f>
        <v/>
      </c>
      <c r="O138" s="5" t="n"/>
      <c r="P138" s="6">
        <f>E138*(L138+M138*1.5+N138*2+O138*3+N(K138))</f>
        <v/>
      </c>
      <c r="Q138" s="6" t="n">
        <v>924</v>
      </c>
      <c r="R138" s="6">
        <f>Q138-P138</f>
        <v/>
      </c>
    </row>
    <row r="139">
      <c r="A139" s="5" t="inlineStr">
        <is>
          <t>2504</t>
        </is>
      </c>
      <c r="B139" s="5" t="inlineStr"/>
      <c r="C139" s="5" t="inlineStr">
        <is>
          <t>CRANEASSISTANT</t>
        </is>
      </c>
      <c r="D139" s="5" t="inlineStr">
        <is>
          <t>Local80</t>
        </is>
      </c>
      <c r="E139" s="6" t="n">
        <v>660</v>
      </c>
      <c r="F139" s="5" t="n"/>
      <c r="G139" s="5" t="n"/>
      <c r="H139" s="5" t="n"/>
      <c r="I139" s="5" t="n"/>
      <c r="J139" s="7">
        <f>IF(AND(N(F139)&gt;0,N(I139)&gt;0),I139-F139-IF(N(G139)&gt;0,0.5,0)-IF(N(H139)&gt;0,0.5,0),0)</f>
        <v/>
      </c>
      <c r="K139" s="5" t="n"/>
      <c r="L139" s="7">
        <f>MIN(J139,10.0)</f>
        <v/>
      </c>
      <c r="M139" s="7">
        <f>MAX(0,MIN(J139,12)-10.0)</f>
        <v/>
      </c>
      <c r="N139" s="7">
        <f>MAX(0,J139-12)</f>
        <v/>
      </c>
      <c r="O139" s="5" t="n"/>
      <c r="P139" s="6">
        <f>E139*(L139+M139*1.5+N139*2+O139*3+N(K139))</f>
        <v/>
      </c>
      <c r="Q139" s="6" t="n">
        <v>770</v>
      </c>
      <c r="R139" s="6">
        <f>Q139-P139</f>
        <v/>
      </c>
    </row>
    <row r="140">
      <c r="P140" s="2" t="inlineStr">
        <is>
          <t>CRANEGRIPS LABOR</t>
        </is>
      </c>
      <c r="R140" s="8">
        <f>SUM(R138:R139)</f>
        <v/>
      </c>
    </row>
    <row r="142">
      <c r="B142" s="2" t="inlineStr">
        <is>
          <t>COMPANYGRIPS</t>
        </is>
      </c>
    </row>
    <row r="143">
      <c r="A143" s="5" t="inlineStr">
        <is>
          <t>2505</t>
        </is>
      </c>
      <c r="B143" s="5" t="inlineStr"/>
      <c r="C143" s="5" t="inlineStr">
        <is>
          <t>GRIP#1</t>
        </is>
      </c>
      <c r="D143" s="5" t="inlineStr">
        <is>
          <t>Local80</t>
        </is>
      </c>
      <c r="E143" s="6" t="n">
        <v>20.57</v>
      </c>
      <c r="F143" s="5" t="n"/>
      <c r="G143" s="5" t="n"/>
      <c r="H143" s="5" t="n"/>
      <c r="I143" s="5" t="n"/>
      <c r="J143" s="7">
        <f>IF(AND(N(F143)&gt;0,N(I143)&gt;0),I143-F143-IF(N(G143)&gt;0,0.5,0)-IF(N(H143)&gt;0,0.5,0),0)</f>
        <v/>
      </c>
      <c r="K143" s="5" t="n"/>
      <c r="L143" s="7">
        <f>MIN(J143,10.0)</f>
        <v/>
      </c>
      <c r="M143" s="7">
        <f>MAX(0,MIN(J143,12)-10.0)</f>
        <v/>
      </c>
      <c r="N143" s="7">
        <f>MAX(0,J143-12)</f>
        <v/>
      </c>
      <c r="O143" s="5" t="n"/>
      <c r="P143" s="6">
        <f>E143*(L143+M143*1.5+N143*2+O143*3+N(K143))</f>
        <v/>
      </c>
      <c r="Q143" s="6" t="n">
        <v>318.83</v>
      </c>
      <c r="R143" s="6">
        <f>Q143-P143</f>
        <v/>
      </c>
    </row>
    <row r="144">
      <c r="A144" s="5" t="inlineStr">
        <is>
          <t>2505</t>
        </is>
      </c>
      <c r="B144" s="5" t="inlineStr"/>
      <c r="C144" s="5" t="inlineStr">
        <is>
          <t>GRIP#2</t>
        </is>
      </c>
      <c r="D144" s="5" t="inlineStr">
        <is>
          <t>Local80</t>
        </is>
      </c>
      <c r="E144" s="6" t="n">
        <v>20.57</v>
      </c>
      <c r="F144" s="5" t="n"/>
      <c r="G144" s="5" t="n"/>
      <c r="H144" s="5" t="n"/>
      <c r="I144" s="5" t="n"/>
      <c r="J144" s="7">
        <f>IF(AND(N(F144)&gt;0,N(I144)&gt;0),I144-F144-IF(N(G144)&gt;0,0.5,0)-IF(N(H144)&gt;0,0.5,0),0)</f>
        <v/>
      </c>
      <c r="K144" s="5" t="n"/>
      <c r="L144" s="7">
        <f>MIN(J144,10.0)</f>
        <v/>
      </c>
      <c r="M144" s="7">
        <f>MAX(0,MIN(J144,12)-10.0)</f>
        <v/>
      </c>
      <c r="N144" s="7">
        <f>MAX(0,J144-12)</f>
        <v/>
      </c>
      <c r="O144" s="5" t="n"/>
      <c r="P144" s="6">
        <f>E144*(L144+M144*1.5+N144*2+O144*3+N(K144))</f>
        <v/>
      </c>
      <c r="Q144" s="6" t="n">
        <v>318.83</v>
      </c>
      <c r="R144" s="6">
        <f>Q144-P144</f>
        <v/>
      </c>
    </row>
    <row r="145">
      <c r="A145" s="5" t="inlineStr">
        <is>
          <t>2505</t>
        </is>
      </c>
      <c r="B145" s="5" t="inlineStr"/>
      <c r="C145" s="5" t="inlineStr">
        <is>
          <t>GRIP#3</t>
        </is>
      </c>
      <c r="D145" s="5" t="inlineStr">
        <is>
          <t>Local80</t>
        </is>
      </c>
      <c r="E145" s="6" t="n">
        <v>20.57</v>
      </c>
      <c r="F145" s="5" t="n"/>
      <c r="G145" s="5" t="n"/>
      <c r="H145" s="5" t="n"/>
      <c r="I145" s="5" t="n"/>
      <c r="J145" s="7">
        <f>IF(AND(N(F145)&gt;0,N(I145)&gt;0),I145-F145-IF(N(G145)&gt;0,0.5,0)-IF(N(H145)&gt;0,0.5,0),0)</f>
        <v/>
      </c>
      <c r="K145" s="5" t="n"/>
      <c r="L145" s="7">
        <f>MIN(J145,10.0)</f>
        <v/>
      </c>
      <c r="M145" s="7">
        <f>MAX(0,MIN(J145,12)-10.0)</f>
        <v/>
      </c>
      <c r="N145" s="7">
        <f>MAX(0,J145-12)</f>
        <v/>
      </c>
      <c r="O145" s="5" t="n"/>
      <c r="P145" s="6">
        <f>E145*(L145+M145*1.5+N145*2+O145*3+N(K145))</f>
        <v/>
      </c>
      <c r="Q145" s="6" t="n">
        <v>318.83</v>
      </c>
      <c r="R145" s="6">
        <f>Q145-P145</f>
        <v/>
      </c>
    </row>
    <row r="146">
      <c r="P146" s="2" t="inlineStr">
        <is>
          <t>COMPANYGRIPS LABOR</t>
        </is>
      </c>
      <c r="R146" s="8">
        <f>SUM(R143:R145)</f>
        <v/>
      </c>
    </row>
    <row r="148">
      <c r="B148" s="2" t="inlineStr">
        <is>
          <t>OTHERLABOR</t>
        </is>
      </c>
    </row>
    <row r="149">
      <c r="A149" s="5" t="inlineStr">
        <is>
          <t>2506</t>
        </is>
      </c>
      <c r="B149" s="5" t="inlineStr"/>
      <c r="C149" s="5" t="inlineStr">
        <is>
          <t>GRIPMANDAYS&amp;RIGGINGMANDAYS</t>
        </is>
      </c>
      <c r="D149" s="5" t="inlineStr">
        <is>
          <t>Local80</t>
        </is>
      </c>
      <c r="E149" s="6" t="n">
        <v>20.57</v>
      </c>
      <c r="F149" s="5" t="n"/>
      <c r="G149" s="5" t="n"/>
      <c r="H149" s="5" t="n"/>
      <c r="I149" s="5" t="n"/>
      <c r="J149" s="7">
        <f>IF(AND(N(F149)&gt;0,N(I149)&gt;0),I149-F149-IF(N(G149)&gt;0,0.5,0)-IF(N(H149)&gt;0,0.5,0),0)</f>
        <v/>
      </c>
      <c r="K149" s="5" t="n"/>
      <c r="L149" s="7">
        <f>MIN(J149,10.0)</f>
        <v/>
      </c>
      <c r="M149" s="7">
        <f>MAX(0,MIN(J149,12)-10.0)</f>
        <v/>
      </c>
      <c r="N149" s="7">
        <f>MAX(0,J149-12)</f>
        <v/>
      </c>
      <c r="O149" s="5" t="n"/>
      <c r="P149" s="6">
        <f>E149*(L149+M149*1.5+N149*2+O149*3+N(K149))</f>
        <v/>
      </c>
      <c r="Q149" s="6" t="n">
        <v>318.83</v>
      </c>
      <c r="R149" s="6">
        <f>Q149-P149</f>
        <v/>
      </c>
    </row>
    <row r="150">
      <c r="P150" s="2" t="inlineStr">
        <is>
          <t>OTHERLABOR LABOR</t>
        </is>
      </c>
      <c r="R150" s="8">
        <f>SUM(R149:R149)</f>
        <v/>
      </c>
    </row>
    <row r="152">
      <c r="B152" s="2" t="inlineStr">
        <is>
          <t>STANDBYLABOR</t>
        </is>
      </c>
    </row>
    <row r="153">
      <c r="A153" s="5" t="inlineStr">
        <is>
          <t>2510</t>
        </is>
      </c>
      <c r="B153" s="5" t="inlineStr"/>
      <c r="C153" s="5" t="inlineStr">
        <is>
          <t>LAYOUTBOARD</t>
        </is>
      </c>
      <c r="D153" s="5" t="inlineStr">
        <is>
          <t>Local729</t>
        </is>
      </c>
      <c r="E153" s="6" t="n">
        <v>25.5</v>
      </c>
      <c r="F153" s="5" t="n"/>
      <c r="G153" s="5" t="n"/>
      <c r="H153" s="5" t="n"/>
      <c r="I153" s="5" t="n"/>
      <c r="J153" s="7">
        <f>IF(AND(N(F153)&gt;0,N(I153)&gt;0),I153-F153-IF(N(G153)&gt;0,0.5,0)-IF(N(H153)&gt;0,0.5,0),0)</f>
        <v/>
      </c>
      <c r="K153" s="5" t="n"/>
      <c r="L153" s="7">
        <f>MIN(J153,10.0)</f>
        <v/>
      </c>
      <c r="M153" s="7">
        <f>MAX(0,MIN(J153,12)-10.0)</f>
        <v/>
      </c>
      <c r="N153" s="7">
        <f>MAX(0,J153-12)</f>
        <v/>
      </c>
      <c r="O153" s="5" t="n"/>
      <c r="P153" s="6">
        <f>E153*(L153+M153*1.5+N153*2+O153*3+N(K153))</f>
        <v/>
      </c>
      <c r="Q153" s="6" t="n">
        <v>395.25</v>
      </c>
      <c r="R153" s="6">
        <f>Q153-P153</f>
        <v/>
      </c>
    </row>
    <row r="154">
      <c r="P154" s="2" t="inlineStr">
        <is>
          <t>STANDBYLABOR LABOR</t>
        </is>
      </c>
      <c r="R154" s="8">
        <f>SUM(R153:R153)</f>
        <v/>
      </c>
    </row>
    <row r="156">
      <c r="B156" s="2" t="inlineStr">
        <is>
          <t>SETCRAFTSERVICELABOR</t>
        </is>
      </c>
    </row>
    <row r="157">
      <c r="A157" s="5" t="inlineStr">
        <is>
          <t>2511</t>
        </is>
      </c>
      <c r="B157" s="5" t="inlineStr">
        <is>
          <t>Maurico Solis</t>
        </is>
      </c>
      <c r="C157" s="5" t="inlineStr">
        <is>
          <t>KEYCRAFTSERVICE</t>
        </is>
      </c>
      <c r="D157" s="5" t="inlineStr">
        <is>
          <t>Local80</t>
        </is>
      </c>
      <c r="E157" s="6" t="n">
        <v>25.5</v>
      </c>
      <c r="F157" s="5" t="n"/>
      <c r="G157" s="5" t="n"/>
      <c r="H157" s="5" t="n"/>
      <c r="I157" s="5" t="n"/>
      <c r="J157" s="7">
        <f>IF(AND(N(F157)&gt;0,N(I157)&gt;0),I157-F157-IF(N(G157)&gt;0,0.5,0)-IF(N(H157)&gt;0,0.5,0),0)</f>
        <v/>
      </c>
      <c r="K157" s="5" t="n"/>
      <c r="L157" s="7">
        <f>MIN(J157,10.0)</f>
        <v/>
      </c>
      <c r="M157" s="7">
        <f>MAX(0,MIN(J157,12)-10.0)</f>
        <v/>
      </c>
      <c r="N157" s="7">
        <f>MAX(0,J157-12)</f>
        <v/>
      </c>
      <c r="O157" s="5" t="n"/>
      <c r="P157" s="6">
        <f>E157*(L157+M157*1.5+N157*2+O157*3+N(K157))</f>
        <v/>
      </c>
      <c r="Q157" s="6" t="n">
        <v>439.87</v>
      </c>
      <c r="R157" s="6">
        <f>Q157-P157</f>
        <v/>
      </c>
    </row>
    <row r="158">
      <c r="A158" s="5" t="inlineStr">
        <is>
          <t>2511</t>
        </is>
      </c>
      <c r="B158" s="5" t="inlineStr"/>
      <c r="C158" s="5" t="inlineStr">
        <is>
          <t>ASSTCRAFTSERVICE</t>
        </is>
      </c>
      <c r="D158" s="5" t="inlineStr">
        <is>
          <t>Local80</t>
        </is>
      </c>
      <c r="E158" s="6" t="n">
        <v>23.04</v>
      </c>
      <c r="F158" s="5" t="n"/>
      <c r="G158" s="5" t="n"/>
      <c r="H158" s="5" t="n"/>
      <c r="I158" s="5" t="n"/>
      <c r="J158" s="7">
        <f>IF(AND(N(F158)&gt;0,N(I158)&gt;0),I158-F158-IF(N(G158)&gt;0,0.5,0)-IF(N(H158)&gt;0,0.5,0),0)</f>
        <v/>
      </c>
      <c r="K158" s="5" t="n"/>
      <c r="L158" s="7">
        <f>MIN(J158,10.0)</f>
        <v/>
      </c>
      <c r="M158" s="7">
        <f>MAX(0,MIN(J158,12)-10.0)</f>
        <v/>
      </c>
      <c r="N158" s="7">
        <f>MAX(0,J158-12)</f>
        <v/>
      </c>
      <c r="O158" s="5" t="n"/>
      <c r="P158" s="6">
        <f>E158*(L158+M158*1.5+N158*2+O158*3+N(K158))</f>
        <v/>
      </c>
      <c r="Q158" s="6" t="n">
        <v>397.43</v>
      </c>
      <c r="R158" s="6">
        <f>Q158-P158</f>
        <v/>
      </c>
    </row>
    <row r="159">
      <c r="P159" s="2" t="inlineStr">
        <is>
          <t>SETCRAFTSERVICELABOR LABOR</t>
        </is>
      </c>
      <c r="R159" s="8">
        <f>SUM(R157:R158)</f>
        <v/>
      </c>
    </row>
    <row r="161">
      <c r="B161" s="2" t="inlineStr">
        <is>
          <t>SETFIRSTAIDLABOR</t>
        </is>
      </c>
    </row>
    <row r="162">
      <c r="A162" s="5" t="inlineStr">
        <is>
          <t>2514</t>
        </is>
      </c>
      <c r="B162" s="5" t="inlineStr">
        <is>
          <t>Robert Hill</t>
        </is>
      </c>
      <c r="C162" s="5" t="inlineStr">
        <is>
          <t>SETMEDIC</t>
        </is>
      </c>
      <c r="D162" s="5" t="inlineStr">
        <is>
          <t>Local80</t>
        </is>
      </c>
      <c r="E162" s="6" t="n">
        <v>23.04</v>
      </c>
      <c r="F162" s="5" t="n"/>
      <c r="G162" s="5" t="n"/>
      <c r="H162" s="5" t="n"/>
      <c r="I162" s="5" t="n"/>
      <c r="J162" s="7">
        <f>IF(AND(N(F162)&gt;0,N(I162)&gt;0),I162-F162-IF(N(G162)&gt;0,0.5,0)-IF(N(H162)&gt;0,0.5,0),0)</f>
        <v/>
      </c>
      <c r="K162" s="5" t="n"/>
      <c r="L162" s="7">
        <f>MIN(J162,10.0)</f>
        <v/>
      </c>
      <c r="M162" s="7">
        <f>MAX(0,MIN(J162,12)-10.0)</f>
        <v/>
      </c>
      <c r="N162" s="7">
        <f>MAX(0,J162-12)</f>
        <v/>
      </c>
      <c r="O162" s="5" t="n"/>
      <c r="P162" s="6">
        <f>E162*(L162+M162*1.5+N162*2+O162*3+N(K162))</f>
        <v/>
      </c>
      <c r="Q162" s="6" t="n">
        <v>397.43</v>
      </c>
      <c r="R162" s="6">
        <f>Q162-P162</f>
        <v/>
      </c>
    </row>
    <row r="163">
      <c r="A163" s="5" t="inlineStr">
        <is>
          <t>2514</t>
        </is>
      </c>
      <c r="B163" s="5" t="inlineStr"/>
      <c r="C163" s="5" t="inlineStr">
        <is>
          <t>RIGGINGMEDICMANDAYS</t>
        </is>
      </c>
      <c r="D163" s="5" t="inlineStr">
        <is>
          <t>Local80</t>
        </is>
      </c>
      <c r="E163" s="6" t="n">
        <v>23.04</v>
      </c>
      <c r="F163" s="5" t="n"/>
      <c r="G163" s="5" t="n"/>
      <c r="H163" s="5" t="n"/>
      <c r="I163" s="5" t="n"/>
      <c r="J163" s="7">
        <f>IF(AND(N(F163)&gt;0,N(I163)&gt;0),I163-F163-IF(N(G163)&gt;0,0.5,0)-IF(N(H163)&gt;0,0.5,0),0)</f>
        <v/>
      </c>
      <c r="K163" s="5" t="n"/>
      <c r="L163" s="7">
        <f>MIN(J163,10.0)</f>
        <v/>
      </c>
      <c r="M163" s="7">
        <f>MAX(0,MIN(J163,12)-10.0)</f>
        <v/>
      </c>
      <c r="N163" s="7">
        <f>MAX(0,J163-12)</f>
        <v/>
      </c>
      <c r="O163" s="5" t="n"/>
      <c r="P163" s="6">
        <f>E163*(L163+M163*1.5+N163*2+O163*3+N(K163))</f>
        <v/>
      </c>
      <c r="Q163" s="5" t="n"/>
      <c r="R163" s="6">
        <f>Q163-P163</f>
        <v/>
      </c>
    </row>
    <row r="164">
      <c r="P164" s="2" t="inlineStr">
        <is>
          <t>SETFIRSTAIDLABOR LABOR</t>
        </is>
      </c>
      <c r="R164" s="8">
        <f>SUM(R162:R163)</f>
        <v/>
      </c>
    </row>
    <row r="166">
      <c r="B166" s="2" t="inlineStr">
        <is>
          <t>SFXCOORDINATOR</t>
        </is>
      </c>
    </row>
    <row r="167">
      <c r="A167" s="5" t="inlineStr">
        <is>
          <t>2601</t>
        </is>
      </c>
      <c r="B167" s="5" t="inlineStr">
        <is>
          <t>Zak Knight</t>
        </is>
      </c>
      <c r="C167" s="5" t="inlineStr">
        <is>
          <t>SPFXCOORDINATOR</t>
        </is>
      </c>
      <c r="D167" s="5" t="inlineStr">
        <is>
          <t>Local44</t>
        </is>
      </c>
      <c r="E167" s="6" t="n">
        <v>42</v>
      </c>
      <c r="F167" s="5" t="n"/>
      <c r="G167" s="5" t="n"/>
      <c r="H167" s="5" t="n"/>
      <c r="I167" s="5" t="n"/>
      <c r="J167" s="7">
        <f>IF(AND(N(F167)&gt;0,N(I167)&gt;0),I167-F167-IF(N(G167)&gt;0,0.5,0)-IF(N(H167)&gt;0,0.5,0),0)</f>
        <v/>
      </c>
      <c r="K167" s="5" t="n"/>
      <c r="L167" s="7">
        <f>MIN(J167,10.0)</f>
        <v/>
      </c>
      <c r="M167" s="7">
        <f>MAX(0,MIN(J167,12)-10.0)</f>
        <v/>
      </c>
      <c r="N167" s="7">
        <f>MAX(0,J167-12)</f>
        <v/>
      </c>
      <c r="O167" s="5" t="n"/>
      <c r="P167" s="6">
        <f>E167*(L167+M167*1.5+N167*2+O167*3+N(K167))</f>
        <v/>
      </c>
      <c r="Q167" s="6" t="n">
        <v>651</v>
      </c>
      <c r="R167" s="6">
        <f>Q167-P167</f>
        <v/>
      </c>
    </row>
    <row r="168">
      <c r="P168" s="2" t="inlineStr">
        <is>
          <t>SFXCOORDINATOR LABOR</t>
        </is>
      </c>
      <c r="R168" s="8">
        <f>SUM(R167:R167)</f>
        <v/>
      </c>
    </row>
    <row r="170">
      <c r="B170" s="2" t="inlineStr">
        <is>
          <t>SFXTECHMANDAYS</t>
        </is>
      </c>
    </row>
    <row r="171">
      <c r="A171" s="5" t="inlineStr">
        <is>
          <t>2609</t>
        </is>
      </c>
      <c r="B171" s="5" t="inlineStr"/>
      <c r="C171" s="5" t="inlineStr">
        <is>
          <t>SPFXTECHMANDAYS</t>
        </is>
      </c>
      <c r="D171" s="5" t="inlineStr">
        <is>
          <t>Local44</t>
        </is>
      </c>
      <c r="E171" s="6" t="n">
        <v>40</v>
      </c>
      <c r="F171" s="5" t="n"/>
      <c r="G171" s="5" t="n"/>
      <c r="H171" s="5" t="n"/>
      <c r="I171" s="5" t="n"/>
      <c r="J171" s="7">
        <f>IF(AND(N(F171)&gt;0,N(I171)&gt;0),I171-F171-IF(N(G171)&gt;0,0.5,0)-IF(N(H171)&gt;0,0.5,0),0)</f>
        <v/>
      </c>
      <c r="K171" s="5" t="n"/>
      <c r="L171" s="7">
        <f>MIN(J171,10.0)</f>
        <v/>
      </c>
      <c r="M171" s="7">
        <f>MAX(0,MIN(J171,12)-10.0)</f>
        <v/>
      </c>
      <c r="N171" s="7">
        <f>MAX(0,J171-12)</f>
        <v/>
      </c>
      <c r="O171" s="5" t="n"/>
      <c r="P171" s="6">
        <f>E171*(L171+M171*1.5+N171*2+O171*3+N(K171))</f>
        <v/>
      </c>
      <c r="Q171" s="6" t="n">
        <v>620</v>
      </c>
      <c r="R171" s="6">
        <f>Q171-P171</f>
        <v/>
      </c>
    </row>
    <row r="172">
      <c r="A172" s="5" t="inlineStr">
        <is>
          <t>2609</t>
        </is>
      </c>
      <c r="B172" s="5" t="inlineStr"/>
      <c r="C172" s="5" t="inlineStr">
        <is>
          <t>SPFXASSISTANTMANDAYS</t>
        </is>
      </c>
      <c r="D172" s="5" t="inlineStr">
        <is>
          <t>Local44</t>
        </is>
      </c>
      <c r="E172" s="6" t="n">
        <v>25.5</v>
      </c>
      <c r="F172" s="5" t="n"/>
      <c r="G172" s="5" t="n"/>
      <c r="H172" s="5" t="n"/>
      <c r="I172" s="5" t="n"/>
      <c r="J172" s="7">
        <f>IF(AND(N(F172)&gt;0,N(I172)&gt;0),I172-F172-IF(N(G172)&gt;0,0.5,0)-IF(N(H172)&gt;0,0.5,0),0)</f>
        <v/>
      </c>
      <c r="K172" s="5" t="n"/>
      <c r="L172" s="7">
        <f>MIN(J172,10.0)</f>
        <v/>
      </c>
      <c r="M172" s="7">
        <f>MAX(0,MIN(J172,12)-10.0)</f>
        <v/>
      </c>
      <c r="N172" s="7">
        <f>MAX(0,J172-12)</f>
        <v/>
      </c>
      <c r="O172" s="5" t="n"/>
      <c r="P172" s="6">
        <f>E172*(L172+M172*1.5+N172*2+O172*3+N(K172))</f>
        <v/>
      </c>
      <c r="Q172" s="6" t="n">
        <v>395.25</v>
      </c>
      <c r="R172" s="6">
        <f>Q172-P172</f>
        <v/>
      </c>
    </row>
    <row r="173">
      <c r="A173" s="5" t="inlineStr">
        <is>
          <t>2609</t>
        </is>
      </c>
      <c r="B173" s="5" t="inlineStr"/>
      <c r="C173" s="5" t="inlineStr">
        <is>
          <t>PYROMANDAYS</t>
        </is>
      </c>
      <c r="D173" s="5" t="inlineStr">
        <is>
          <t>Local44</t>
        </is>
      </c>
      <c r="E173" s="6" t="n">
        <v>68.18000000000001</v>
      </c>
      <c r="F173" s="5" t="n"/>
      <c r="G173" s="5" t="n"/>
      <c r="H173" s="5" t="n"/>
      <c r="I173" s="5" t="n"/>
      <c r="J173" s="7">
        <f>IF(AND(N(F173)&gt;0,N(I173)&gt;0),I173-F173-IF(N(G173)&gt;0,0.5,0)-IF(N(H173)&gt;0,0.5,0),0)</f>
        <v/>
      </c>
      <c r="K173" s="5" t="n"/>
      <c r="L173" s="7">
        <f>MIN(J173,10.0)</f>
        <v/>
      </c>
      <c r="M173" s="7">
        <f>MAX(0,MIN(J173,12)-10.0)</f>
        <v/>
      </c>
      <c r="N173" s="7">
        <f>MAX(0,J173-12)</f>
        <v/>
      </c>
      <c r="O173" s="5" t="n"/>
      <c r="P173" s="6">
        <f>E173*(L173+M173*1.5+N173*2+O173*3+N(K173))</f>
        <v/>
      </c>
      <c r="Q173" s="6" t="n">
        <v>749.98</v>
      </c>
      <c r="R173" s="6">
        <f>Q173-P173</f>
        <v/>
      </c>
    </row>
    <row r="174">
      <c r="P174" s="2" t="inlineStr">
        <is>
          <t>SFXTECHMANDAYS LABOR</t>
        </is>
      </c>
      <c r="R174" s="8">
        <f>SUM(R171:R173)</f>
        <v/>
      </c>
    </row>
    <row r="176">
      <c r="B176" s="2" t="inlineStr">
        <is>
          <t>SETDECORATOR</t>
        </is>
      </c>
    </row>
    <row r="177">
      <c r="A177" s="5" t="inlineStr">
        <is>
          <t>2701</t>
        </is>
      </c>
      <c r="B177" s="5" t="inlineStr">
        <is>
          <t>Sandy Skora</t>
        </is>
      </c>
      <c r="C177" s="5" t="inlineStr">
        <is>
          <t>SETDECORATOR</t>
        </is>
      </c>
      <c r="D177" s="5" t="inlineStr">
        <is>
          <t>Local44</t>
        </is>
      </c>
      <c r="E177" s="6" t="n">
        <v>400</v>
      </c>
      <c r="F177" s="5" t="n"/>
      <c r="G177" s="5" t="n"/>
      <c r="H177" s="5" t="n"/>
      <c r="I177" s="5" t="n"/>
      <c r="J177" s="7">
        <f>IF(AND(N(F177)&gt;0,N(I177)&gt;0),I177-F177-IF(N(G177)&gt;0,0.5,0)-IF(N(H177)&gt;0,0.5,0),0)</f>
        <v/>
      </c>
      <c r="K177" s="5" t="n"/>
      <c r="L177" s="7">
        <f>MIN(J177,10.0)</f>
        <v/>
      </c>
      <c r="M177" s="7">
        <f>MAX(0,MIN(J177,12)-10.0)</f>
        <v/>
      </c>
      <c r="N177" s="7">
        <f>MAX(0,J177-12)</f>
        <v/>
      </c>
      <c r="O177" s="5" t="n"/>
      <c r="P177" s="6">
        <f>E177*(L177+M177*1.5+N177*2+O177*3+N(K177))</f>
        <v/>
      </c>
      <c r="Q177" s="6" t="n">
        <v>400</v>
      </c>
      <c r="R177" s="6">
        <f>Q177-P177</f>
        <v/>
      </c>
    </row>
    <row r="178">
      <c r="P178" s="2" t="inlineStr">
        <is>
          <t>SETDECORATOR LABOR</t>
        </is>
      </c>
      <c r="R178" s="8">
        <f>SUM(R177:R177)</f>
        <v/>
      </c>
    </row>
    <row r="180">
      <c r="B180" s="2" t="inlineStr">
        <is>
          <t>LEADPERSON</t>
        </is>
      </c>
    </row>
    <row r="181">
      <c r="A181" s="5" t="inlineStr">
        <is>
          <t>2702</t>
        </is>
      </c>
      <c r="B181" s="5" t="inlineStr">
        <is>
          <t>Josh Richmond</t>
        </is>
      </c>
      <c r="C181" s="5" t="inlineStr">
        <is>
          <t>LEADPERSON</t>
        </is>
      </c>
      <c r="D181" s="5" t="inlineStr">
        <is>
          <t>Local44</t>
        </is>
      </c>
      <c r="E181" s="6" t="n">
        <v>23.04</v>
      </c>
      <c r="F181" s="5" t="n"/>
      <c r="G181" s="5" t="n"/>
      <c r="H181" s="5" t="n"/>
      <c r="I181" s="5" t="n"/>
      <c r="J181" s="7">
        <f>IF(AND(N(F181)&gt;0,N(I181)&gt;0),I181-F181-IF(N(G181)&gt;0,0.5,0)-IF(N(H181)&gt;0,0.5,0),0)</f>
        <v/>
      </c>
      <c r="K181" s="5" t="n"/>
      <c r="L181" s="7">
        <f>MIN(J181,10.0)</f>
        <v/>
      </c>
      <c r="M181" s="7">
        <f>MAX(0,MIN(J181,12)-10.0)</f>
        <v/>
      </c>
      <c r="N181" s="7">
        <f>MAX(0,J181-12)</f>
        <v/>
      </c>
      <c r="O181" s="5" t="n"/>
      <c r="P181" s="6">
        <f>E181*(L181+M181*1.5+N181*2+O181*3+N(K181))</f>
        <v/>
      </c>
      <c r="Q181" s="6" t="n">
        <v>322.56</v>
      </c>
      <c r="R181" s="6">
        <f>Q181-P181</f>
        <v/>
      </c>
    </row>
    <row r="182">
      <c r="P182" s="2" t="inlineStr">
        <is>
          <t>LEADPERSON LABOR</t>
        </is>
      </c>
      <c r="R182" s="8">
        <f>SUM(R181:R181)</f>
        <v/>
      </c>
    </row>
    <row r="184">
      <c r="B184" s="2" t="inlineStr">
        <is>
          <t>SWINGLABOR</t>
        </is>
      </c>
    </row>
    <row r="185">
      <c r="A185" s="5" t="inlineStr">
        <is>
          <t>2703</t>
        </is>
      </c>
      <c r="B185" s="5" t="inlineStr">
        <is>
          <t>Tim Dodge</t>
        </is>
      </c>
      <c r="C185" s="5" t="inlineStr">
        <is>
          <t>SWING#1</t>
        </is>
      </c>
      <c r="D185" s="5" t="inlineStr">
        <is>
          <t>Local44</t>
        </is>
      </c>
      <c r="E185" s="6" t="n">
        <v>20.57</v>
      </c>
      <c r="F185" s="5" t="n"/>
      <c r="G185" s="5" t="n"/>
      <c r="H185" s="5" t="n"/>
      <c r="I185" s="5" t="n"/>
      <c r="J185" s="7">
        <f>IF(AND(N(F185)&gt;0,N(I185)&gt;0),I185-F185-IF(N(G185)&gt;0,0.5,0)-IF(N(H185)&gt;0,0.5,0),0)</f>
        <v/>
      </c>
      <c r="K185" s="5" t="n"/>
      <c r="L185" s="7">
        <f>MIN(J185,10.0)</f>
        <v/>
      </c>
      <c r="M185" s="7">
        <f>MAX(0,MIN(J185,12)-10.0)</f>
        <v/>
      </c>
      <c r="N185" s="7">
        <f>MAX(0,J185-12)</f>
        <v/>
      </c>
      <c r="O185" s="5" t="n"/>
      <c r="P185" s="6">
        <f>E185*(L185+M185*1.5+N185*2+O185*3+N(K185))</f>
        <v/>
      </c>
      <c r="Q185" s="6" t="n">
        <v>287.98</v>
      </c>
      <c r="R185" s="6">
        <f>Q185-P185</f>
        <v/>
      </c>
    </row>
    <row r="186">
      <c r="A186" s="5" t="inlineStr">
        <is>
          <t>2703</t>
        </is>
      </c>
      <c r="B186" s="5" t="inlineStr"/>
      <c r="C186" s="5" t="inlineStr">
        <is>
          <t>SWING#2</t>
        </is>
      </c>
      <c r="D186" s="5" t="inlineStr">
        <is>
          <t>Local44</t>
        </is>
      </c>
      <c r="E186" s="6" t="n">
        <v>20.57</v>
      </c>
      <c r="F186" s="5" t="n"/>
      <c r="G186" s="5" t="n"/>
      <c r="H186" s="5" t="n"/>
      <c r="I186" s="5" t="n"/>
      <c r="J186" s="7">
        <f>IF(AND(N(F186)&gt;0,N(I186)&gt;0),I186-F186-IF(N(G186)&gt;0,0.5,0)-IF(N(H186)&gt;0,0.5,0),0)</f>
        <v/>
      </c>
      <c r="K186" s="5" t="n"/>
      <c r="L186" s="7">
        <f>MIN(J186,10.0)</f>
        <v/>
      </c>
      <c r="M186" s="7">
        <f>MAX(0,MIN(J186,12)-10.0)</f>
        <v/>
      </c>
      <c r="N186" s="7">
        <f>MAX(0,J186-12)</f>
        <v/>
      </c>
      <c r="O186" s="5" t="n"/>
      <c r="P186" s="6">
        <f>E186*(L186+M186*1.5+N186*2+O186*3+N(K186))</f>
        <v/>
      </c>
      <c r="Q186" s="6" t="n">
        <v>287.98</v>
      </c>
      <c r="R186" s="6">
        <f>Q186-P186</f>
        <v/>
      </c>
    </row>
    <row r="187">
      <c r="A187" s="5" t="inlineStr">
        <is>
          <t>2703</t>
        </is>
      </c>
      <c r="B187" s="5" t="inlineStr"/>
      <c r="C187" s="5" t="inlineStr">
        <is>
          <t>ADDITIONALSWINGMANDAYS</t>
        </is>
      </c>
      <c r="D187" s="5" t="inlineStr">
        <is>
          <t>Local44</t>
        </is>
      </c>
      <c r="E187" s="6" t="n">
        <v>20.57</v>
      </c>
      <c r="F187" s="5" t="n"/>
      <c r="G187" s="5" t="n"/>
      <c r="H187" s="5" t="n"/>
      <c r="I187" s="5" t="n"/>
      <c r="J187" s="7">
        <f>IF(AND(N(F187)&gt;0,N(I187)&gt;0),I187-F187-IF(N(G187)&gt;0,0.5,0)-IF(N(H187)&gt;0,0.5,0),0)</f>
        <v/>
      </c>
      <c r="K187" s="5" t="n"/>
      <c r="L187" s="7">
        <f>MIN(J187,10.0)</f>
        <v/>
      </c>
      <c r="M187" s="7">
        <f>MAX(0,MIN(J187,12)-10.0)</f>
        <v/>
      </c>
      <c r="N187" s="7">
        <f>MAX(0,J187-12)</f>
        <v/>
      </c>
      <c r="O187" s="5" t="n"/>
      <c r="P187" s="6">
        <f>E187*(L187+M187*1.5+N187*2+O187*3+N(K187))</f>
        <v/>
      </c>
      <c r="Q187" s="6" t="n">
        <v>287.98</v>
      </c>
      <c r="R187" s="6">
        <f>Q187-P187</f>
        <v/>
      </c>
    </row>
    <row r="188">
      <c r="P188" s="2" t="inlineStr">
        <is>
          <t>SWINGLABOR LABOR</t>
        </is>
      </c>
      <c r="R188" s="8">
        <f>SUM(R185:R187)</f>
        <v/>
      </c>
    </row>
    <row r="190">
      <c r="B190" s="2" t="inlineStr">
        <is>
          <t>ON-SETDRESSER</t>
        </is>
      </c>
    </row>
    <row r="191">
      <c r="A191" s="5" t="inlineStr">
        <is>
          <t>2705</t>
        </is>
      </c>
      <c r="B191" s="5" t="inlineStr">
        <is>
          <t>Khamisi Thurman</t>
        </is>
      </c>
      <c r="C191" s="5" t="inlineStr">
        <is>
          <t>ON-SETDRESSER</t>
        </is>
      </c>
      <c r="D191" s="5" t="inlineStr">
        <is>
          <t>Local44</t>
        </is>
      </c>
      <c r="E191" s="6" t="n">
        <v>20.57</v>
      </c>
      <c r="F191" s="5" t="n"/>
      <c r="G191" s="5" t="n"/>
      <c r="H191" s="5" t="n"/>
      <c r="I191" s="5" t="n"/>
      <c r="J191" s="7">
        <f>IF(AND(N(F191)&gt;0,N(I191)&gt;0),I191-F191-IF(N(G191)&gt;0,0.5,0)-IF(N(H191)&gt;0,0.5,0),0)</f>
        <v/>
      </c>
      <c r="K191" s="5" t="n"/>
      <c r="L191" s="7">
        <f>MIN(J191,10.0)</f>
        <v/>
      </c>
      <c r="M191" s="7">
        <f>MAX(0,MIN(J191,12)-10.0)</f>
        <v/>
      </c>
      <c r="N191" s="7">
        <f>MAX(0,J191-12)</f>
        <v/>
      </c>
      <c r="O191" s="5" t="n"/>
      <c r="P191" s="6">
        <f>E191*(L191+M191*1.5+N191*2+O191*3+N(K191))</f>
        <v/>
      </c>
      <c r="Q191" s="6" t="n">
        <v>318.83</v>
      </c>
      <c r="R191" s="6">
        <f>Q191-P191</f>
        <v/>
      </c>
    </row>
    <row r="192">
      <c r="P192" s="2" t="inlineStr">
        <is>
          <t>ON-SETDRESSER LABOR</t>
        </is>
      </c>
      <c r="R192" s="8">
        <f>SUM(R191:R191)</f>
        <v/>
      </c>
    </row>
    <row r="194">
      <c r="B194" s="2" t="inlineStr">
        <is>
          <t>BUYERS</t>
        </is>
      </c>
    </row>
    <row r="195">
      <c r="A195" s="5" t="inlineStr">
        <is>
          <t>2706</t>
        </is>
      </c>
      <c r="B195" s="5" t="inlineStr">
        <is>
          <t>Sarah Hickman</t>
        </is>
      </c>
      <c r="C195" s="5" t="inlineStr">
        <is>
          <t>BUYER</t>
        </is>
      </c>
      <c r="D195" s="5" t="inlineStr">
        <is>
          <t>Local44</t>
        </is>
      </c>
      <c r="E195" s="6" t="n">
        <v>23.04</v>
      </c>
      <c r="F195" s="5" t="n"/>
      <c r="G195" s="5" t="n"/>
      <c r="H195" s="5" t="n"/>
      <c r="I195" s="5" t="n"/>
      <c r="J195" s="7">
        <f>IF(AND(N(F195)&gt;0,N(I195)&gt;0),I195-F195-IF(N(G195)&gt;0,0.5,0)-IF(N(H195)&gt;0,0.5,0),0)</f>
        <v/>
      </c>
      <c r="K195" s="5" t="n"/>
      <c r="L195" s="7">
        <f>MIN(J195,10.0)</f>
        <v/>
      </c>
      <c r="M195" s="7">
        <f>MAX(0,MIN(J195,12)-10.0)</f>
        <v/>
      </c>
      <c r="N195" s="7">
        <f>MAX(0,J195-12)</f>
        <v/>
      </c>
      <c r="O195" s="5" t="n"/>
      <c r="P195" s="6">
        <f>E195*(L195+M195*1.5+N195*2+O195*3+N(K195))</f>
        <v/>
      </c>
      <c r="Q195" s="5" t="n"/>
      <c r="R195" s="6">
        <f>Q195-P195</f>
        <v/>
      </c>
    </row>
    <row r="196">
      <c r="P196" s="2" t="inlineStr">
        <is>
          <t>BUYERS LABOR</t>
        </is>
      </c>
      <c r="R196" s="8">
        <f>SUM(R195:R195)</f>
        <v/>
      </c>
    </row>
    <row r="198">
      <c r="B198" s="2" t="inlineStr">
        <is>
          <t>PROPMASTER</t>
        </is>
      </c>
    </row>
    <row r="199">
      <c r="A199" s="5" t="inlineStr">
        <is>
          <t>2801</t>
        </is>
      </c>
      <c r="B199" s="5" t="inlineStr">
        <is>
          <t>Annie Brandt</t>
        </is>
      </c>
      <c r="C199" s="5" t="inlineStr">
        <is>
          <t>PROPMASTER</t>
        </is>
      </c>
      <c r="D199" s="5" t="inlineStr">
        <is>
          <t>Local44</t>
        </is>
      </c>
      <c r="E199" s="6" t="n">
        <v>25.5</v>
      </c>
      <c r="F199" s="5" t="n"/>
      <c r="G199" s="5" t="n"/>
      <c r="H199" s="5" t="n"/>
      <c r="I199" s="5" t="n"/>
      <c r="J199" s="7">
        <f>IF(AND(N(F199)&gt;0,N(I199)&gt;0),I199-F199-IF(N(G199)&gt;0,0.5,0)-IF(N(H199)&gt;0,0.5,0),0)</f>
        <v/>
      </c>
      <c r="K199" s="5" t="n"/>
      <c r="L199" s="7">
        <f>MIN(J199,10.0)</f>
        <v/>
      </c>
      <c r="M199" s="7">
        <f>MAX(0,MIN(J199,12)-10.0)</f>
        <v/>
      </c>
      <c r="N199" s="7">
        <f>MAX(0,J199-12)</f>
        <v/>
      </c>
      <c r="O199" s="5" t="n"/>
      <c r="P199" s="6">
        <f>E199*(L199+M199*1.5+N199*2+O199*3+N(K199))</f>
        <v/>
      </c>
      <c r="Q199" s="6" t="n">
        <v>395.25</v>
      </c>
      <c r="R199" s="6">
        <f>Q199-P199</f>
        <v/>
      </c>
    </row>
    <row r="200">
      <c r="P200" s="2" t="inlineStr">
        <is>
          <t>PROPMASTER LABOR</t>
        </is>
      </c>
      <c r="R200" s="8">
        <f>SUM(R199:R199)</f>
        <v/>
      </c>
    </row>
    <row r="202">
      <c r="B202" s="2" t="inlineStr">
        <is>
          <t>ASSTPROPMASTER</t>
        </is>
      </c>
    </row>
    <row r="203">
      <c r="A203" s="5" t="inlineStr">
        <is>
          <t>2802</t>
        </is>
      </c>
      <c r="B203" s="5" t="inlineStr">
        <is>
          <t>Nate Bakes</t>
        </is>
      </c>
      <c r="C203" s="5" t="inlineStr">
        <is>
          <t>ASSTPROPMASTER</t>
        </is>
      </c>
      <c r="D203" s="5" t="inlineStr">
        <is>
          <t>Local44</t>
        </is>
      </c>
      <c r="E203" s="6" t="n">
        <v>23.04</v>
      </c>
      <c r="F203" s="5" t="n"/>
      <c r="G203" s="5" t="n"/>
      <c r="H203" s="5" t="n"/>
      <c r="I203" s="5" t="n"/>
      <c r="J203" s="7">
        <f>IF(AND(N(F203)&gt;0,N(I203)&gt;0),I203-F203-IF(N(G203)&gt;0,0.5,0)-IF(N(H203)&gt;0,0.5,0),0)</f>
        <v/>
      </c>
      <c r="K203" s="5" t="n"/>
      <c r="L203" s="7">
        <f>MIN(J203,10.0)</f>
        <v/>
      </c>
      <c r="M203" s="7">
        <f>MAX(0,MIN(J203,12)-10.0)</f>
        <v/>
      </c>
      <c r="N203" s="7">
        <f>MAX(0,J203-12)</f>
        <v/>
      </c>
      <c r="O203" s="5" t="n"/>
      <c r="P203" s="6">
        <f>E203*(L203+M203*1.5+N203*2+O203*3+N(K203))</f>
        <v/>
      </c>
      <c r="Q203" s="6" t="n">
        <v>357.12</v>
      </c>
      <c r="R203" s="6">
        <f>Q203-P203</f>
        <v/>
      </c>
    </row>
    <row r="204">
      <c r="P204" s="2" t="inlineStr">
        <is>
          <t>ASSTPROPMASTER LABOR</t>
        </is>
      </c>
      <c r="R204" s="8">
        <f>SUM(R203:R203)</f>
        <v/>
      </c>
    </row>
    <row r="206">
      <c r="B206" s="2" t="inlineStr">
        <is>
          <t>COSTUMEDESIGNER</t>
        </is>
      </c>
    </row>
    <row r="207">
      <c r="A207" s="5" t="inlineStr">
        <is>
          <t>2901</t>
        </is>
      </c>
      <c r="B207" s="5" t="inlineStr">
        <is>
          <t>Megan Spatz</t>
        </is>
      </c>
      <c r="C207" s="5" t="inlineStr">
        <is>
          <t>COSTUMEDESIGNER</t>
        </is>
      </c>
      <c r="D207" s="5" t="inlineStr">
        <is>
          <t>Local892</t>
        </is>
      </c>
      <c r="E207" s="6" t="n">
        <v>540</v>
      </c>
      <c r="F207" s="5" t="n"/>
      <c r="G207" s="5" t="n"/>
      <c r="H207" s="5" t="n"/>
      <c r="I207" s="5" t="n"/>
      <c r="J207" s="7">
        <f>IF(AND(N(F207)&gt;0,N(I207)&gt;0),I207-F207-IF(N(G207)&gt;0,0.5,0)-IF(N(H207)&gt;0,0.5,0),0)</f>
        <v/>
      </c>
      <c r="K207" s="5" t="n"/>
      <c r="L207" s="7">
        <f>MIN(J207,8.0)</f>
        <v/>
      </c>
      <c r="M207" s="7">
        <f>MAX(0,MIN(J207,12)-8.0)</f>
        <v/>
      </c>
      <c r="N207" s="7">
        <f>MAX(0,J207-12)</f>
        <v/>
      </c>
      <c r="O207" s="5" t="n"/>
      <c r="P207" s="6">
        <f>E207*(L207+M207*1.5+N207*2+O207*3+N(K207))</f>
        <v/>
      </c>
      <c r="Q207" s="6" t="n">
        <v>540</v>
      </c>
      <c r="R207" s="6">
        <f>Q207-P207</f>
        <v/>
      </c>
    </row>
    <row r="208">
      <c r="P208" s="2" t="inlineStr">
        <is>
          <t>COSTUMEDESIGNER LABOR</t>
        </is>
      </c>
      <c r="R208" s="8">
        <f>SUM(R207:R207)</f>
        <v/>
      </c>
    </row>
    <row r="210">
      <c r="B210" s="2" t="inlineStr">
        <is>
          <t>COSTUMESUPERVISOR</t>
        </is>
      </c>
    </row>
    <row r="211">
      <c r="A211" s="5" t="inlineStr">
        <is>
          <t>2903</t>
        </is>
      </c>
      <c r="B211" s="5" t="inlineStr">
        <is>
          <t>Danielle Schuck</t>
        </is>
      </c>
      <c r="C211" s="5" t="inlineStr">
        <is>
          <t>COSTUMESUPERVISOR</t>
        </is>
      </c>
      <c r="D211" s="5" t="inlineStr">
        <is>
          <t>Local705</t>
        </is>
      </c>
      <c r="E211" s="6" t="n">
        <v>25.5</v>
      </c>
      <c r="F211" s="5" t="n"/>
      <c r="G211" s="5" t="n"/>
      <c r="H211" s="5" t="n"/>
      <c r="I211" s="5" t="n"/>
      <c r="J211" s="7">
        <f>IF(AND(N(F211)&gt;0,N(I211)&gt;0),I211-F211-IF(N(G211)&gt;0,0.5,0)-IF(N(H211)&gt;0,0.5,0),0)</f>
        <v/>
      </c>
      <c r="K211" s="5" t="n"/>
      <c r="L211" s="7">
        <f>MIN(J211,8.0)</f>
        <v/>
      </c>
      <c r="M211" s="7">
        <f>MAX(0,MIN(J211,12)-8.0)</f>
        <v/>
      </c>
      <c r="N211" s="7">
        <f>MAX(0,J211-12)</f>
        <v/>
      </c>
      <c r="O211" s="5" t="n"/>
      <c r="P211" s="6">
        <f>E211*(L211+M211*1.5+N211*2+O211*3+N(K211))</f>
        <v/>
      </c>
      <c r="Q211" s="6" t="n">
        <v>395.25</v>
      </c>
      <c r="R211" s="6">
        <f>Q211-P211</f>
        <v/>
      </c>
    </row>
    <row r="212">
      <c r="P212" s="2" t="inlineStr">
        <is>
          <t>COSTUMESUPERVISOR LABOR</t>
        </is>
      </c>
      <c r="R212" s="8">
        <f>SUM(R211:R211)</f>
        <v/>
      </c>
    </row>
    <row r="214">
      <c r="B214" s="2" t="inlineStr">
        <is>
          <t>SETCOSTUMERS</t>
        </is>
      </c>
    </row>
    <row r="215">
      <c r="A215" s="5" t="inlineStr">
        <is>
          <t>2905</t>
        </is>
      </c>
      <c r="B215" s="5" t="inlineStr">
        <is>
          <t>Monavie Tutop</t>
        </is>
      </c>
      <c r="C215" s="5" t="inlineStr">
        <is>
          <t>COSTUMER#1</t>
        </is>
      </c>
      <c r="D215" s="5" t="inlineStr">
        <is>
          <t>Local705</t>
        </is>
      </c>
      <c r="E215" s="6" t="n">
        <v>23.04</v>
      </c>
      <c r="F215" s="5" t="n"/>
      <c r="G215" s="5" t="n"/>
      <c r="H215" s="5" t="n"/>
      <c r="I215" s="5" t="n"/>
      <c r="J215" s="7">
        <f>IF(AND(N(F215)&gt;0,N(I215)&gt;0),I215-F215-IF(N(G215)&gt;0,0.5,0)-IF(N(H215)&gt;0,0.5,0),0)</f>
        <v/>
      </c>
      <c r="K215" s="5" t="n"/>
      <c r="L215" s="7">
        <f>MIN(J215,8.0)</f>
        <v/>
      </c>
      <c r="M215" s="7">
        <f>MAX(0,MIN(J215,12)-8.0)</f>
        <v/>
      </c>
      <c r="N215" s="7">
        <f>MAX(0,J215-12)</f>
        <v/>
      </c>
      <c r="O215" s="5" t="n"/>
      <c r="P215" s="6">
        <f>E215*(L215+M215*1.5+N215*2+O215*3+N(K215))</f>
        <v/>
      </c>
      <c r="Q215" s="6" t="n">
        <v>397.43</v>
      </c>
      <c r="R215" s="6">
        <f>Q215-P215</f>
        <v/>
      </c>
    </row>
    <row r="216">
      <c r="A216" s="5" t="inlineStr">
        <is>
          <t>2905</t>
        </is>
      </c>
      <c r="B216" s="5" t="inlineStr"/>
      <c r="C216" s="5" t="inlineStr">
        <is>
          <t>COSTUMER#2</t>
        </is>
      </c>
      <c r="D216" s="5" t="inlineStr">
        <is>
          <t>Local705</t>
        </is>
      </c>
      <c r="E216" s="6" t="n">
        <v>20.57</v>
      </c>
      <c r="F216" s="5" t="n"/>
      <c r="G216" s="5" t="n"/>
      <c r="H216" s="5" t="n"/>
      <c r="I216" s="5" t="n"/>
      <c r="J216" s="7">
        <f>IF(AND(N(F216)&gt;0,N(I216)&gt;0),I216-F216-IF(N(G216)&gt;0,0.5,0)-IF(N(H216)&gt;0,0.5,0),0)</f>
        <v/>
      </c>
      <c r="K216" s="5" t="n"/>
      <c r="L216" s="7">
        <f>MIN(J216,8.0)</f>
        <v/>
      </c>
      <c r="M216" s="7">
        <f>MAX(0,MIN(J216,12)-8.0)</f>
        <v/>
      </c>
      <c r="N216" s="7">
        <f>MAX(0,J216-12)</f>
        <v/>
      </c>
      <c r="O216" s="5" t="n"/>
      <c r="P216" s="6">
        <f>E216*(L216+M216*1.5+N216*2+O216*3+N(K216))</f>
        <v/>
      </c>
      <c r="Q216" s="6" t="n">
        <v>354.83</v>
      </c>
      <c r="R216" s="6">
        <f>Q216-P216</f>
        <v/>
      </c>
    </row>
    <row r="217">
      <c r="P217" s="2" t="inlineStr">
        <is>
          <t>SETCOSTUMERS LABOR</t>
        </is>
      </c>
      <c r="R217" s="8">
        <f>SUM(R215:R216)</f>
        <v/>
      </c>
    </row>
    <row r="219">
      <c r="B219" s="2" t="inlineStr">
        <is>
          <t>KEYMAKE-UP</t>
        </is>
      </c>
    </row>
    <row r="220">
      <c r="A220" s="5" t="inlineStr">
        <is>
          <t>3101</t>
        </is>
      </c>
      <c r="B220" s="5" t="inlineStr">
        <is>
          <t>Eleanor Sabaduquia</t>
        </is>
      </c>
      <c r="C220" s="5" t="inlineStr">
        <is>
          <t>KEYMAKEUPARTIST</t>
        </is>
      </c>
      <c r="D220" s="5" t="inlineStr">
        <is>
          <t>Local706</t>
        </is>
      </c>
      <c r="E220" s="6" t="n">
        <v>25.5</v>
      </c>
      <c r="F220" s="5" t="n"/>
      <c r="G220" s="5" t="n"/>
      <c r="H220" s="5" t="n"/>
      <c r="I220" s="5" t="n"/>
      <c r="J220" s="7">
        <f>IF(AND(N(F220)&gt;0,N(I220)&gt;0),I220-F220-IF(N(G220)&gt;0,0.5,0)-IF(N(H220)&gt;0,0.5,0),0)</f>
        <v/>
      </c>
      <c r="K220" s="5" t="n"/>
      <c r="L220" s="7">
        <f>MIN(J220,10.0)</f>
        <v/>
      </c>
      <c r="M220" s="7">
        <f>MAX(0,MIN(J220,12)-10.0)</f>
        <v/>
      </c>
      <c r="N220" s="7">
        <f>MAX(0,J220-12)</f>
        <v/>
      </c>
      <c r="O220" s="5" t="n"/>
      <c r="P220" s="6">
        <f>E220*(L220+M220*1.5+N220*2+O220*3+N(K220))</f>
        <v/>
      </c>
      <c r="Q220" s="6" t="n">
        <v>439.87</v>
      </c>
      <c r="R220" s="6">
        <f>Q220-P220</f>
        <v/>
      </c>
    </row>
    <row r="221">
      <c r="P221" s="2" t="inlineStr">
        <is>
          <t>KEYMAKE-UP LABOR</t>
        </is>
      </c>
      <c r="R221" s="8">
        <f>SUM(R220:R220)</f>
        <v/>
      </c>
    </row>
    <row r="223">
      <c r="B223" s="2" t="inlineStr">
        <is>
          <t>ASSTMAKE-UP</t>
        </is>
      </c>
    </row>
    <row r="224">
      <c r="A224" s="5" t="inlineStr">
        <is>
          <t>3102</t>
        </is>
      </c>
      <c r="B224" s="5" t="inlineStr">
        <is>
          <t>Yoko Nobushi</t>
        </is>
      </c>
      <c r="C224" s="5" t="inlineStr">
        <is>
          <t>ASSTMAKEUPARTIST#1</t>
        </is>
      </c>
      <c r="D224" s="5" t="inlineStr">
        <is>
          <t>Local706</t>
        </is>
      </c>
      <c r="E224" s="6" t="n">
        <v>23.04</v>
      </c>
      <c r="F224" s="5" t="n"/>
      <c r="G224" s="5" t="n"/>
      <c r="H224" s="5" t="n"/>
      <c r="I224" s="5" t="n"/>
      <c r="J224" s="7">
        <f>IF(AND(N(F224)&gt;0,N(I224)&gt;0),I224-F224-IF(N(G224)&gt;0,0.5,0)-IF(N(H224)&gt;0,0.5,0),0)</f>
        <v/>
      </c>
      <c r="K224" s="5" t="n"/>
      <c r="L224" s="7">
        <f>MIN(J224,10.0)</f>
        <v/>
      </c>
      <c r="M224" s="7">
        <f>MAX(0,MIN(J224,12)-10.0)</f>
        <v/>
      </c>
      <c r="N224" s="7">
        <f>MAX(0,J224-12)</f>
        <v/>
      </c>
      <c r="O224" s="5" t="n"/>
      <c r="P224" s="6">
        <f>E224*(L224+M224*1.5+N224*2+O224*3+N(K224))</f>
        <v/>
      </c>
      <c r="Q224" s="6" t="n">
        <v>397.43</v>
      </c>
      <c r="R224" s="6">
        <f>Q224-P224</f>
        <v/>
      </c>
    </row>
    <row r="225">
      <c r="P225" s="2" t="inlineStr">
        <is>
          <t>ASSTMAKE-UP LABOR</t>
        </is>
      </c>
      <c r="R225" s="8">
        <f>SUM(R224:R224)</f>
        <v/>
      </c>
    </row>
    <row r="227">
      <c r="B227" s="2" t="inlineStr">
        <is>
          <t>ADDITIONALMAKE-UPLABOR</t>
        </is>
      </c>
    </row>
    <row r="228">
      <c r="A228" s="5" t="inlineStr">
        <is>
          <t>3103</t>
        </is>
      </c>
      <c r="B228" s="5" t="inlineStr"/>
      <c r="C228" s="5" t="inlineStr">
        <is>
          <t>ADDLMAKEUPARTISTDAYS</t>
        </is>
      </c>
      <c r="D228" s="5" t="inlineStr">
        <is>
          <t>Local706</t>
        </is>
      </c>
      <c r="E228" s="6" t="n">
        <v>23.04</v>
      </c>
      <c r="F228" s="5" t="n"/>
      <c r="G228" s="5" t="n"/>
      <c r="H228" s="5" t="n"/>
      <c r="I228" s="5" t="n"/>
      <c r="J228" s="7">
        <f>IF(AND(N(F228)&gt;0,N(I228)&gt;0),I228-F228-IF(N(G228)&gt;0,0.5,0)-IF(N(H228)&gt;0,0.5,0),0)</f>
        <v/>
      </c>
      <c r="K228" s="5" t="n"/>
      <c r="L228" s="7">
        <f>MIN(J228,10.0)</f>
        <v/>
      </c>
      <c r="M228" s="7">
        <f>MAX(0,MIN(J228,12)-10.0)</f>
        <v/>
      </c>
      <c r="N228" s="7">
        <f>MAX(0,J228-12)</f>
        <v/>
      </c>
      <c r="O228" s="5" t="n"/>
      <c r="P228" s="6">
        <f>E228*(L228+M228*1.5+N228*2+O228*3+N(K228))</f>
        <v/>
      </c>
      <c r="Q228" s="6" t="n">
        <v>397.43</v>
      </c>
      <c r="R228" s="6">
        <f>Q228-P228</f>
        <v/>
      </c>
    </row>
    <row r="229">
      <c r="P229" s="2" t="inlineStr">
        <is>
          <t>ADDITIONALMAKE-UPLABOR LABOR</t>
        </is>
      </c>
      <c r="R229" s="8">
        <f>SUM(R228:R228)</f>
        <v/>
      </c>
    </row>
    <row r="231">
      <c r="B231" s="2" t="inlineStr">
        <is>
          <t>PROSTHETICS</t>
        </is>
      </c>
    </row>
    <row r="232">
      <c r="A232" s="5" t="inlineStr">
        <is>
          <t>3105</t>
        </is>
      </c>
      <c r="B232" s="5" t="inlineStr"/>
      <c r="C232" s="5" t="inlineStr">
        <is>
          <t>PROSTHETICMAKEUPARTIST</t>
        </is>
      </c>
      <c r="D232" s="5" t="inlineStr">
        <is>
          <t>Local706</t>
        </is>
      </c>
      <c r="E232" s="6" t="n">
        <v>25.5</v>
      </c>
      <c r="F232" s="5" t="n"/>
      <c r="G232" s="5" t="n"/>
      <c r="H232" s="5" t="n"/>
      <c r="I232" s="5" t="n"/>
      <c r="J232" s="7">
        <f>IF(AND(N(F232)&gt;0,N(I232)&gt;0),I232-F232-IF(N(G232)&gt;0,0.5,0)-IF(N(H232)&gt;0,0.5,0),0)</f>
        <v/>
      </c>
      <c r="K232" s="5" t="n"/>
      <c r="L232" s="7">
        <f>MIN(J232,10.0)</f>
        <v/>
      </c>
      <c r="M232" s="7">
        <f>MAX(0,MIN(J232,12)-10.0)</f>
        <v/>
      </c>
      <c r="N232" s="7">
        <f>MAX(0,J232-12)</f>
        <v/>
      </c>
      <c r="O232" s="5" t="n"/>
      <c r="P232" s="6">
        <f>E232*(L232+M232*1.5+N232*2+O232*3+N(K232))</f>
        <v/>
      </c>
      <c r="Q232" s="6" t="n">
        <v>439.87</v>
      </c>
      <c r="R232" s="6">
        <f>Q232-P232</f>
        <v/>
      </c>
    </row>
    <row r="233">
      <c r="A233" s="5" t="inlineStr">
        <is>
          <t>3105</t>
        </is>
      </c>
      <c r="B233" s="5" t="inlineStr"/>
      <c r="C233" s="5" t="inlineStr">
        <is>
          <t>LENSCONSULTANT</t>
        </is>
      </c>
      <c r="D233" s="5" t="inlineStr"/>
      <c r="E233" s="6" t="n">
        <v>50</v>
      </c>
      <c r="F233" s="5" t="n"/>
      <c r="G233" s="5" t="n"/>
      <c r="H233" s="5" t="n"/>
      <c r="I233" s="5" t="n"/>
      <c r="J233" s="7">
        <f>IF(AND(N(F233)&gt;0,N(I233)&gt;0),I233-F233-IF(N(G233)&gt;0,0.5,0)-IF(N(H233)&gt;0,0.5,0),0)</f>
        <v/>
      </c>
      <c r="K233" s="5" t="n"/>
      <c r="L233" s="7">
        <f>MIN(J233,8.0)</f>
        <v/>
      </c>
      <c r="M233" s="7">
        <f>MAX(0,MIN(J233,12)-8.0)</f>
        <v/>
      </c>
      <c r="N233" s="7">
        <f>MAX(0,J233-12)</f>
        <v/>
      </c>
      <c r="O233" s="5" t="n"/>
      <c r="P233" s="6">
        <f>E233*(L233+M233*1.5+N233*2+O233*3+N(K233))</f>
        <v/>
      </c>
      <c r="Q233" s="6" t="n">
        <v>862.53</v>
      </c>
      <c r="R233" s="6">
        <f>Q233-P233</f>
        <v/>
      </c>
    </row>
    <row r="234">
      <c r="P234" s="2" t="inlineStr">
        <is>
          <t>PROSTHETICS LABOR</t>
        </is>
      </c>
      <c r="R234" s="8">
        <f>SUM(R232:R233)</f>
        <v/>
      </c>
    </row>
    <row r="236">
      <c r="B236" s="2" t="inlineStr">
        <is>
          <t>KEYHAIR</t>
        </is>
      </c>
    </row>
    <row r="237">
      <c r="A237" s="5" t="inlineStr">
        <is>
          <t>3111</t>
        </is>
      </c>
      <c r="B237" s="5" t="inlineStr">
        <is>
          <t>Traci Smithe</t>
        </is>
      </c>
      <c r="C237" s="5" t="inlineStr">
        <is>
          <t>KEYHAIR</t>
        </is>
      </c>
      <c r="D237" s="5" t="inlineStr">
        <is>
          <t>Local706</t>
        </is>
      </c>
      <c r="E237" s="6" t="n">
        <v>25.5</v>
      </c>
      <c r="F237" s="5" t="n"/>
      <c r="G237" s="5" t="n"/>
      <c r="H237" s="5" t="n"/>
      <c r="I237" s="5" t="n"/>
      <c r="J237" s="7">
        <f>IF(AND(N(F237)&gt;0,N(I237)&gt;0),I237-F237-IF(N(G237)&gt;0,0.5,0)-IF(N(H237)&gt;0,0.5,0),0)</f>
        <v/>
      </c>
      <c r="K237" s="5" t="n"/>
      <c r="L237" s="7">
        <f>MIN(J237,10.0)</f>
        <v/>
      </c>
      <c r="M237" s="7">
        <f>MAX(0,MIN(J237,12)-10.0)</f>
        <v/>
      </c>
      <c r="N237" s="7">
        <f>MAX(0,J237-12)</f>
        <v/>
      </c>
      <c r="O237" s="5" t="n"/>
      <c r="P237" s="6">
        <f>E237*(L237+M237*1.5+N237*2+O237*3+N(K237))</f>
        <v/>
      </c>
      <c r="Q237" s="6" t="n">
        <v>439.87</v>
      </c>
      <c r="R237" s="6">
        <f>Q237-P237</f>
        <v/>
      </c>
    </row>
    <row r="238">
      <c r="P238" s="2" t="inlineStr">
        <is>
          <t>KEYHAIR LABOR</t>
        </is>
      </c>
      <c r="R238" s="8">
        <f>SUM(R237:R237)</f>
        <v/>
      </c>
    </row>
    <row r="240">
      <c r="B240" s="2" t="inlineStr">
        <is>
          <t>ASSTHAIR</t>
        </is>
      </c>
    </row>
    <row r="241">
      <c r="A241" s="5" t="inlineStr">
        <is>
          <t>3112</t>
        </is>
      </c>
      <c r="B241" s="5" t="inlineStr">
        <is>
          <t>Yunea Cruz</t>
        </is>
      </c>
      <c r="C241" s="5" t="inlineStr">
        <is>
          <t>ASSTHAIRSTYLIST#1</t>
        </is>
      </c>
      <c r="D241" s="5" t="inlineStr">
        <is>
          <t>Local706</t>
        </is>
      </c>
      <c r="E241" s="6" t="n">
        <v>23.04</v>
      </c>
      <c r="F241" s="5" t="n"/>
      <c r="G241" s="5" t="n"/>
      <c r="H241" s="5" t="n"/>
      <c r="I241" s="5" t="n"/>
      <c r="J241" s="7">
        <f>IF(AND(N(F241)&gt;0,N(I241)&gt;0),I241-F241-IF(N(G241)&gt;0,0.5,0)-IF(N(H241)&gt;0,0.5,0),0)</f>
        <v/>
      </c>
      <c r="K241" s="5" t="n"/>
      <c r="L241" s="7">
        <f>MIN(J241,10.0)</f>
        <v/>
      </c>
      <c r="M241" s="7">
        <f>MAX(0,MIN(J241,12)-10.0)</f>
        <v/>
      </c>
      <c r="N241" s="7">
        <f>MAX(0,J241-12)</f>
        <v/>
      </c>
      <c r="O241" s="5" t="n"/>
      <c r="P241" s="6">
        <f>E241*(L241+M241*1.5+N241*2+O241*3+N(K241))</f>
        <v/>
      </c>
      <c r="Q241" s="6" t="n">
        <v>397.43</v>
      </c>
      <c r="R241" s="6">
        <f>Q241-P241</f>
        <v/>
      </c>
    </row>
    <row r="242">
      <c r="P242" s="2" t="inlineStr">
        <is>
          <t>ASSTHAIR LABOR</t>
        </is>
      </c>
      <c r="R242" s="8">
        <f>SUM(R241:R241)</f>
        <v/>
      </c>
    </row>
    <row r="244">
      <c r="B244" s="2" t="inlineStr">
        <is>
          <t>ADDITIONALHAIRLABOR</t>
        </is>
      </c>
    </row>
    <row r="245">
      <c r="A245" s="5" t="inlineStr">
        <is>
          <t>3113</t>
        </is>
      </c>
      <c r="B245" s="5" t="inlineStr"/>
      <c r="C245" s="5" t="inlineStr">
        <is>
          <t>ADDLHAIRSTYLISTDAYS</t>
        </is>
      </c>
      <c r="D245" s="5" t="inlineStr">
        <is>
          <t>Local706</t>
        </is>
      </c>
      <c r="E245" s="6" t="n">
        <v>23.04</v>
      </c>
      <c r="F245" s="5" t="n"/>
      <c r="G245" s="5" t="n"/>
      <c r="H245" s="5" t="n"/>
      <c r="I245" s="5" t="n"/>
      <c r="J245" s="7">
        <f>IF(AND(N(F245)&gt;0,N(I245)&gt;0),I245-F245-IF(N(G245)&gt;0,0.5,0)-IF(N(H245)&gt;0,0.5,0),0)</f>
        <v/>
      </c>
      <c r="K245" s="5" t="n"/>
      <c r="L245" s="7">
        <f>MIN(J245,10.0)</f>
        <v/>
      </c>
      <c r="M245" s="7">
        <f>MAX(0,MIN(J245,12)-10.0)</f>
        <v/>
      </c>
      <c r="N245" s="7">
        <f>MAX(0,J245-12)</f>
        <v/>
      </c>
      <c r="O245" s="5" t="n"/>
      <c r="P245" s="6">
        <f>E245*(L245+M245*1.5+N245*2+O245*3+N(K245))</f>
        <v/>
      </c>
      <c r="Q245" s="6" t="n">
        <v>397.43</v>
      </c>
      <c r="R245" s="6">
        <f>Q245-P245</f>
        <v/>
      </c>
    </row>
    <row r="246">
      <c r="P246" s="2" t="inlineStr">
        <is>
          <t>ADDITIONALHAIRLABOR LABOR</t>
        </is>
      </c>
      <c r="R246" s="8">
        <f>SUM(R245:R245)</f>
        <v/>
      </c>
    </row>
    <row r="248">
      <c r="B248" s="2" t="inlineStr">
        <is>
          <t>GAFFER</t>
        </is>
      </c>
    </row>
    <row r="249">
      <c r="A249" s="5" t="inlineStr">
        <is>
          <t>3201</t>
        </is>
      </c>
      <c r="B249" s="5" t="inlineStr">
        <is>
          <t>Nicholas Kaat</t>
        </is>
      </c>
      <c r="C249" s="5" t="inlineStr">
        <is>
          <t>GAFFER</t>
        </is>
      </c>
      <c r="D249" s="5" t="inlineStr">
        <is>
          <t>Local728</t>
        </is>
      </c>
      <c r="E249" s="6" t="n">
        <v>25.5</v>
      </c>
      <c r="F249" s="5" t="n"/>
      <c r="G249" s="5" t="n"/>
      <c r="H249" s="5" t="n"/>
      <c r="I249" s="5" t="n"/>
      <c r="J249" s="7">
        <f>IF(AND(N(F249)&gt;0,N(I249)&gt;0),I249-F249-IF(N(G249)&gt;0,0.5,0)-IF(N(H249)&gt;0,0.5,0),0)</f>
        <v/>
      </c>
      <c r="K249" s="5" t="n"/>
      <c r="L249" s="7">
        <f>MIN(J249,10.0)</f>
        <v/>
      </c>
      <c r="M249" s="7">
        <f>MAX(0,MIN(J249,12)-10.0)</f>
        <v/>
      </c>
      <c r="N249" s="7">
        <f>MAX(0,J249-12)</f>
        <v/>
      </c>
      <c r="O249" s="5" t="n"/>
      <c r="P249" s="6">
        <f>E249*(L249+M249*1.5+N249*2+O249*3+N(K249))</f>
        <v/>
      </c>
      <c r="Q249" s="6" t="n">
        <v>395.25</v>
      </c>
      <c r="R249" s="6">
        <f>Q249-P249</f>
        <v/>
      </c>
    </row>
    <row r="250">
      <c r="P250" s="2" t="inlineStr">
        <is>
          <t>GAFFER LABOR</t>
        </is>
      </c>
      <c r="R250" s="8">
        <f>SUM(R249:R249)</f>
        <v/>
      </c>
    </row>
    <row r="252">
      <c r="B252" s="2" t="inlineStr">
        <is>
          <t>BESTBOYELECTRIC</t>
        </is>
      </c>
    </row>
    <row r="253">
      <c r="A253" s="5" t="inlineStr">
        <is>
          <t>3202</t>
        </is>
      </c>
      <c r="B253" s="5" t="inlineStr">
        <is>
          <t>Nathan Fetzer</t>
        </is>
      </c>
      <c r="C253" s="5" t="inlineStr">
        <is>
          <t>BESTBOYELECTRIC</t>
        </is>
      </c>
      <c r="D253" s="5" t="inlineStr">
        <is>
          <t>Local728</t>
        </is>
      </c>
      <c r="E253" s="6" t="n">
        <v>23.04</v>
      </c>
      <c r="F253" s="5" t="n"/>
      <c r="G253" s="5" t="n"/>
      <c r="H253" s="5" t="n"/>
      <c r="I253" s="5" t="n"/>
      <c r="J253" s="7">
        <f>IF(AND(N(F253)&gt;0,N(I253)&gt;0),I253-F253-IF(N(G253)&gt;0,0.5,0)-IF(N(H253)&gt;0,0.5,0),0)</f>
        <v/>
      </c>
      <c r="K253" s="5" t="n"/>
      <c r="L253" s="7">
        <f>MIN(J253,10.0)</f>
        <v/>
      </c>
      <c r="M253" s="7">
        <f>MAX(0,MIN(J253,12)-10.0)</f>
        <v/>
      </c>
      <c r="N253" s="7">
        <f>MAX(0,J253-12)</f>
        <v/>
      </c>
      <c r="O253" s="5" t="n"/>
      <c r="P253" s="6">
        <f>E253*(L253+M253*1.5+N253*2+O253*3+N(K253))</f>
        <v/>
      </c>
      <c r="Q253" s="6" t="n">
        <v>357.12</v>
      </c>
      <c r="R253" s="6">
        <f>Q253-P253</f>
        <v/>
      </c>
    </row>
    <row r="254">
      <c r="A254" s="5" t="inlineStr">
        <is>
          <t>3202</t>
        </is>
      </c>
      <c r="B254" s="5" t="inlineStr"/>
      <c r="C254" s="5" t="inlineStr">
        <is>
          <t>STUDIOBESTBOYELECTRIC</t>
        </is>
      </c>
      <c r="D254" s="5" t="inlineStr">
        <is>
          <t>Local728</t>
        </is>
      </c>
      <c r="E254" s="6" t="n">
        <v>43.05</v>
      </c>
      <c r="F254" s="5" t="n"/>
      <c r="G254" s="5" t="n"/>
      <c r="H254" s="5" t="n"/>
      <c r="I254" s="5" t="n"/>
      <c r="J254" s="7">
        <f>IF(AND(N(F254)&gt;0,N(I254)&gt;0),I254-F254-IF(N(G254)&gt;0,0.5,0)-IF(N(H254)&gt;0,0.5,0),0)</f>
        <v/>
      </c>
      <c r="K254" s="5" t="n"/>
      <c r="L254" s="7">
        <f>MIN(J254,10.0)</f>
        <v/>
      </c>
      <c r="M254" s="7">
        <f>MAX(0,MIN(J254,12)-10.0)</f>
        <v/>
      </c>
      <c r="N254" s="7">
        <f>MAX(0,J254-12)</f>
        <v/>
      </c>
      <c r="O254" s="5" t="n"/>
      <c r="P254" s="6">
        <f>E254*(L254+M254*1.5+N254*2+O254*3+N(K254))</f>
        <v/>
      </c>
      <c r="Q254" s="6" t="n">
        <v>667.27</v>
      </c>
      <c r="R254" s="6">
        <f>Q254-P254</f>
        <v/>
      </c>
    </row>
    <row r="255">
      <c r="P255" s="2" t="inlineStr">
        <is>
          <t>BESTBOYELECTRIC LABOR</t>
        </is>
      </c>
      <c r="R255" s="8">
        <f>SUM(R253:R254)</f>
        <v/>
      </c>
    </row>
    <row r="257">
      <c r="B257" s="2" t="inlineStr">
        <is>
          <t>ELECTRICIANS</t>
        </is>
      </c>
    </row>
    <row r="258">
      <c r="A258" s="5" t="inlineStr">
        <is>
          <t>3204</t>
        </is>
      </c>
      <c r="B258" s="5" t="inlineStr"/>
      <c r="C258" s="5" t="inlineStr">
        <is>
          <t>ELECTRICIAN#1</t>
        </is>
      </c>
      <c r="D258" s="5" t="inlineStr">
        <is>
          <t>Local728</t>
        </is>
      </c>
      <c r="E258" s="6" t="n">
        <v>20.57</v>
      </c>
      <c r="F258" s="5" t="n"/>
      <c r="G258" s="5" t="n"/>
      <c r="H258" s="5" t="n"/>
      <c r="I258" s="5" t="n"/>
      <c r="J258" s="7">
        <f>IF(AND(N(F258)&gt;0,N(I258)&gt;0),I258-F258-IF(N(G258)&gt;0,0.5,0)-IF(N(H258)&gt;0,0.5,0),0)</f>
        <v/>
      </c>
      <c r="K258" s="5" t="n"/>
      <c r="L258" s="7">
        <f>MIN(J258,10.0)</f>
        <v/>
      </c>
      <c r="M258" s="7">
        <f>MAX(0,MIN(J258,12)-10.0)</f>
        <v/>
      </c>
      <c r="N258" s="7">
        <f>MAX(0,J258-12)</f>
        <v/>
      </c>
      <c r="O258" s="5" t="n"/>
      <c r="P258" s="6">
        <f>E258*(L258+M258*1.5+N258*2+O258*3+N(K258))</f>
        <v/>
      </c>
      <c r="Q258" s="6" t="n">
        <v>318.83</v>
      </c>
      <c r="R258" s="6">
        <f>Q258-P258</f>
        <v/>
      </c>
    </row>
    <row r="259">
      <c r="A259" s="5" t="inlineStr">
        <is>
          <t>3204</t>
        </is>
      </c>
      <c r="B259" s="5" t="inlineStr"/>
      <c r="C259" s="5" t="inlineStr">
        <is>
          <t>ELECTRICIAN#2</t>
        </is>
      </c>
      <c r="D259" s="5" t="inlineStr">
        <is>
          <t>Local728</t>
        </is>
      </c>
      <c r="E259" s="6" t="n">
        <v>20.57</v>
      </c>
      <c r="F259" s="5" t="n"/>
      <c r="G259" s="5" t="n"/>
      <c r="H259" s="5" t="n"/>
      <c r="I259" s="5" t="n"/>
      <c r="J259" s="7">
        <f>IF(AND(N(F259)&gt;0,N(I259)&gt;0),I259-F259-IF(N(G259)&gt;0,0.5,0)-IF(N(H259)&gt;0,0.5,0),0)</f>
        <v/>
      </c>
      <c r="K259" s="5" t="n"/>
      <c r="L259" s="7">
        <f>MIN(J259,10.0)</f>
        <v/>
      </c>
      <c r="M259" s="7">
        <f>MAX(0,MIN(J259,12)-10.0)</f>
        <v/>
      </c>
      <c r="N259" s="7">
        <f>MAX(0,J259-12)</f>
        <v/>
      </c>
      <c r="O259" s="5" t="n"/>
      <c r="P259" s="6">
        <f>E259*(L259+M259*1.5+N259*2+O259*3+N(K259))</f>
        <v/>
      </c>
      <c r="Q259" s="6" t="n">
        <v>318.83</v>
      </c>
      <c r="R259" s="6">
        <f>Q259-P259</f>
        <v/>
      </c>
    </row>
    <row r="260">
      <c r="A260" s="5" t="inlineStr">
        <is>
          <t>3204</t>
        </is>
      </c>
      <c r="B260" s="5" t="inlineStr"/>
      <c r="C260" s="5" t="inlineStr">
        <is>
          <t>ELECTRICIAN#3</t>
        </is>
      </c>
      <c r="D260" s="5" t="inlineStr">
        <is>
          <t>Local728</t>
        </is>
      </c>
      <c r="E260" s="6" t="n">
        <v>20.57</v>
      </c>
      <c r="F260" s="5" t="n"/>
      <c r="G260" s="5" t="n"/>
      <c r="H260" s="5" t="n"/>
      <c r="I260" s="5" t="n"/>
      <c r="J260" s="7">
        <f>IF(AND(N(F260)&gt;0,N(I260)&gt;0),I260-F260-IF(N(G260)&gt;0,0.5,0)-IF(N(H260)&gt;0,0.5,0),0)</f>
        <v/>
      </c>
      <c r="K260" s="5" t="n"/>
      <c r="L260" s="7">
        <f>MIN(J260,10.0)</f>
        <v/>
      </c>
      <c r="M260" s="7">
        <f>MAX(0,MIN(J260,12)-10.0)</f>
        <v/>
      </c>
      <c r="N260" s="7">
        <f>MAX(0,J260-12)</f>
        <v/>
      </c>
      <c r="O260" s="5" t="n"/>
      <c r="P260" s="6">
        <f>E260*(L260+M260*1.5+N260*2+O260*3+N(K260))</f>
        <v/>
      </c>
      <c r="Q260" s="6" t="n">
        <v>318.83</v>
      </c>
      <c r="R260" s="6">
        <f>Q260-P260</f>
        <v/>
      </c>
    </row>
    <row r="261">
      <c r="P261" s="2" t="inlineStr">
        <is>
          <t>ELECTRICIANS LABOR</t>
        </is>
      </c>
      <c r="R261" s="8">
        <f>SUM(R258:R260)</f>
        <v/>
      </c>
    </row>
    <row r="263">
      <c r="B263" s="2" t="inlineStr">
        <is>
          <t>ADDITIONALELECTRICLABOR</t>
        </is>
      </c>
    </row>
    <row r="264">
      <c r="A264" s="5" t="inlineStr">
        <is>
          <t>3206</t>
        </is>
      </c>
      <c r="B264" s="5" t="inlineStr"/>
      <c r="C264" s="5" t="inlineStr">
        <is>
          <t>ELECTRICMANDAYS&amp;RIGGINGMANDAYS</t>
        </is>
      </c>
      <c r="D264" s="5" t="inlineStr">
        <is>
          <t>Local728</t>
        </is>
      </c>
      <c r="E264" s="6" t="n">
        <v>20.57</v>
      </c>
      <c r="F264" s="5" t="n"/>
      <c r="G264" s="5" t="n"/>
      <c r="H264" s="5" t="n"/>
      <c r="I264" s="5" t="n"/>
      <c r="J264" s="7">
        <f>IF(AND(N(F264)&gt;0,N(I264)&gt;0),I264-F264-IF(N(G264)&gt;0,0.5,0)-IF(N(H264)&gt;0,0.5,0),0)</f>
        <v/>
      </c>
      <c r="K264" s="5" t="n"/>
      <c r="L264" s="7">
        <f>MIN(J264,10.0)</f>
        <v/>
      </c>
      <c r="M264" s="7">
        <f>MAX(0,MIN(J264,12)-10.0)</f>
        <v/>
      </c>
      <c r="N264" s="7">
        <f>MAX(0,J264-12)</f>
        <v/>
      </c>
      <c r="O264" s="5" t="n"/>
      <c r="P264" s="6">
        <f>E264*(L264+M264*1.5+N264*2+O264*3+N(K264))</f>
        <v/>
      </c>
      <c r="Q264" s="6" t="n">
        <v>318.83</v>
      </c>
      <c r="R264" s="6">
        <f>Q264-P264</f>
        <v/>
      </c>
    </row>
    <row r="265">
      <c r="P265" s="2" t="inlineStr">
        <is>
          <t>ADDITIONALELECTRICLABOR LABOR</t>
        </is>
      </c>
      <c r="R265" s="8">
        <f>SUM(R264:R264)</f>
        <v/>
      </c>
    </row>
    <row r="267">
      <c r="B267" s="2" t="inlineStr">
        <is>
          <t>DIRECTOROFPHOTOGRAPHY</t>
        </is>
      </c>
    </row>
    <row r="268">
      <c r="A268" s="5" t="inlineStr">
        <is>
          <t>3301</t>
        </is>
      </c>
      <c r="B268" s="5" t="inlineStr">
        <is>
          <t>Michael Burgess</t>
        </is>
      </c>
      <c r="C268" s="5" t="inlineStr">
        <is>
          <t>DIRECTOROFPHOTOGRAPHY</t>
        </is>
      </c>
      <c r="D268" s="5" t="inlineStr">
        <is>
          <t>Local600</t>
        </is>
      </c>
      <c r="E268" s="6" t="n">
        <v>700</v>
      </c>
      <c r="F268" s="5" t="n"/>
      <c r="G268" s="5" t="n"/>
      <c r="H268" s="5" t="n"/>
      <c r="I268" s="5" t="n"/>
      <c r="J268" s="7">
        <f>IF(AND(N(F268)&gt;0,N(I268)&gt;0),I268-F268-IF(N(G268)&gt;0,0.5,0)-IF(N(H268)&gt;0,0.5,0),0)</f>
        <v/>
      </c>
      <c r="K268" s="5" t="n"/>
      <c r="L268" s="7">
        <f>MIN(J268,8.0)</f>
        <v/>
      </c>
      <c r="M268" s="7">
        <f>MAX(0,MIN(J268,12)-8.0)</f>
        <v/>
      </c>
      <c r="N268" s="7">
        <f>MAX(0,J268-12)</f>
        <v/>
      </c>
      <c r="O268" s="5" t="n"/>
      <c r="P268" s="6">
        <f>E268*(L268+M268*1.5+N268*2+O268*3+N(K268))</f>
        <v/>
      </c>
      <c r="Q268" s="6" t="n">
        <v>700</v>
      </c>
      <c r="R268" s="6">
        <f>Q268-P268</f>
        <v/>
      </c>
    </row>
    <row r="269">
      <c r="P269" s="2" t="inlineStr">
        <is>
          <t>DIRECTOROFPHOTOGRAPHY LABOR</t>
        </is>
      </c>
      <c r="R269" s="8">
        <f>SUM(R268:R268)</f>
        <v/>
      </c>
    </row>
    <row r="271">
      <c r="B271" s="2" t="inlineStr">
        <is>
          <t>CAMERAOPERATORS</t>
        </is>
      </c>
    </row>
    <row r="272">
      <c r="A272" s="5" t="inlineStr">
        <is>
          <t>3302</t>
        </is>
      </c>
      <c r="B272" s="5" t="inlineStr">
        <is>
          <t>Craig Bauer</t>
        </is>
      </c>
      <c r="C272" s="5" t="inlineStr">
        <is>
          <t>"B"CAMERAOP</t>
        </is>
      </c>
      <c r="D272" s="5" t="inlineStr">
        <is>
          <t>Local600</t>
        </is>
      </c>
      <c r="E272" s="6" t="n">
        <v>45</v>
      </c>
      <c r="F272" s="5" t="n"/>
      <c r="G272" s="5" t="n"/>
      <c r="H272" s="5" t="n"/>
      <c r="I272" s="5" t="n"/>
      <c r="J272" s="7">
        <f>IF(AND(N(F272)&gt;0,N(I272)&gt;0),I272-F272-IF(N(G272)&gt;0,0.5,0)-IF(N(H272)&gt;0,0.5,0),0)</f>
        <v/>
      </c>
      <c r="K272" s="5" t="n"/>
      <c r="L272" s="7">
        <f>MIN(J272,8.0)</f>
        <v/>
      </c>
      <c r="M272" s="7">
        <f>MAX(0,MIN(J272,12)-8.0)</f>
        <v/>
      </c>
      <c r="N272" s="7">
        <f>MAX(0,J272-12)</f>
        <v/>
      </c>
      <c r="O272" s="5" t="n"/>
      <c r="P272" s="6">
        <f>E272*(L272+M272*1.5+N272*2+O272*3+N(K272))</f>
        <v/>
      </c>
      <c r="Q272" s="6" t="n">
        <v>630</v>
      </c>
      <c r="R272" s="6">
        <f>Q272-P272</f>
        <v/>
      </c>
    </row>
    <row r="273">
      <c r="P273" s="2" t="inlineStr">
        <is>
          <t>CAMERAOPERATORS LABOR</t>
        </is>
      </c>
      <c r="R273" s="8">
        <f>SUM(R272:R272)</f>
        <v/>
      </c>
    </row>
    <row r="275">
      <c r="B275" s="2" t="inlineStr">
        <is>
          <t>DIGITALIMAGINGTECHS</t>
        </is>
      </c>
    </row>
    <row r="276">
      <c r="A276" s="5" t="inlineStr">
        <is>
          <t>3304</t>
        </is>
      </c>
      <c r="B276" s="5" t="inlineStr">
        <is>
          <t>Oliver Mancebo</t>
        </is>
      </c>
      <c r="C276" s="5" t="inlineStr">
        <is>
          <t>DIT</t>
        </is>
      </c>
      <c r="D276" s="5" t="inlineStr">
        <is>
          <t>Local600</t>
        </is>
      </c>
      <c r="E276" s="6" t="n">
        <v>35</v>
      </c>
      <c r="F276" s="5" t="n"/>
      <c r="G276" s="5" t="n"/>
      <c r="H276" s="5" t="n"/>
      <c r="I276" s="5" t="n"/>
      <c r="J276" s="7">
        <f>IF(AND(N(F276)&gt;0,N(I276)&gt;0),I276-F276-IF(N(G276)&gt;0,0.5,0)-IF(N(H276)&gt;0,0.5,0),0)</f>
        <v/>
      </c>
      <c r="K276" s="5" t="n"/>
      <c r="L276" s="7">
        <f>MIN(J276,8.0)</f>
        <v/>
      </c>
      <c r="M276" s="7">
        <f>MAX(0,MIN(J276,12)-8.0)</f>
        <v/>
      </c>
      <c r="N276" s="7">
        <f>MAX(0,J276-12)</f>
        <v/>
      </c>
      <c r="O276" s="5" t="n"/>
      <c r="P276" s="6">
        <f>E276*(L276+M276*1.5+N276*2+O276*3+N(K276))</f>
        <v/>
      </c>
      <c r="Q276" s="6" t="n">
        <v>542.5</v>
      </c>
      <c r="R276" s="6">
        <f>Q276-P276</f>
        <v/>
      </c>
    </row>
    <row r="277">
      <c r="P277" s="2" t="inlineStr">
        <is>
          <t>DIGITALIMAGINGTECHS LABOR</t>
        </is>
      </c>
      <c r="R277" s="8">
        <f>SUM(R276:R276)</f>
        <v/>
      </c>
    </row>
    <row r="279">
      <c r="B279" s="2" t="inlineStr">
        <is>
          <t>1STASSTCAMERA</t>
        </is>
      </c>
    </row>
    <row r="280">
      <c r="A280" s="5" t="inlineStr">
        <is>
          <t>3305</t>
        </is>
      </c>
      <c r="B280" s="5" t="inlineStr">
        <is>
          <t>Steve Cueva</t>
        </is>
      </c>
      <c r="C280" s="5" t="inlineStr">
        <is>
          <t>"A"CAMERA 1STAC</t>
        </is>
      </c>
      <c r="D280" s="5" t="inlineStr">
        <is>
          <t>Local600</t>
        </is>
      </c>
      <c r="E280" s="6" t="n">
        <v>25.5</v>
      </c>
      <c r="F280" s="5" t="n"/>
      <c r="G280" s="5" t="n"/>
      <c r="H280" s="5" t="n"/>
      <c r="I280" s="5" t="n"/>
      <c r="J280" s="7">
        <f>IF(AND(N(F280)&gt;0,N(I280)&gt;0),I280-F280-IF(N(G280)&gt;0,0.5,0)-IF(N(H280)&gt;0,0.5,0),0)</f>
        <v/>
      </c>
      <c r="K280" s="5" t="n"/>
      <c r="L280" s="7">
        <f>MIN(J280,8.0)</f>
        <v/>
      </c>
      <c r="M280" s="7">
        <f>MAX(0,MIN(J280,12)-8.0)</f>
        <v/>
      </c>
      <c r="N280" s="7">
        <f>MAX(0,J280-12)</f>
        <v/>
      </c>
      <c r="O280" s="5" t="n"/>
      <c r="P280" s="6">
        <f>E280*(L280+M280*1.5+N280*2+O280*3+N(K280))</f>
        <v/>
      </c>
      <c r="Q280" s="6" t="n">
        <v>395.25</v>
      </c>
      <c r="R280" s="6">
        <f>Q280-P280</f>
        <v/>
      </c>
    </row>
    <row r="281">
      <c r="A281" s="5" t="inlineStr">
        <is>
          <t>3305</t>
        </is>
      </c>
      <c r="B281" s="5" t="inlineStr">
        <is>
          <t>Chris Garcia</t>
        </is>
      </c>
      <c r="C281" s="5" t="inlineStr">
        <is>
          <t>"B"CAMERA 1STAC</t>
        </is>
      </c>
      <c r="D281" s="5" t="inlineStr">
        <is>
          <t>Local600</t>
        </is>
      </c>
      <c r="E281" s="6" t="n">
        <v>25.5</v>
      </c>
      <c r="F281" s="5" t="n"/>
      <c r="G281" s="5" t="n"/>
      <c r="H281" s="5" t="n"/>
      <c r="I281" s="5" t="n"/>
      <c r="J281" s="7">
        <f>IF(AND(N(F281)&gt;0,N(I281)&gt;0),I281-F281-IF(N(G281)&gt;0,0.5,0)-IF(N(H281)&gt;0,0.5,0),0)</f>
        <v/>
      </c>
      <c r="K281" s="5" t="n"/>
      <c r="L281" s="7">
        <f>MIN(J281,8.0)</f>
        <v/>
      </c>
      <c r="M281" s="7">
        <f>MAX(0,MIN(J281,12)-8.0)</f>
        <v/>
      </c>
      <c r="N281" s="7">
        <f>MAX(0,J281-12)</f>
        <v/>
      </c>
      <c r="O281" s="5" t="n"/>
      <c r="P281" s="6">
        <f>E281*(L281+M281*1.5+N281*2+O281*3+N(K281))</f>
        <v/>
      </c>
      <c r="Q281" s="6" t="n">
        <v>395.25</v>
      </c>
      <c r="R281" s="6">
        <f>Q281-P281</f>
        <v/>
      </c>
    </row>
    <row r="282">
      <c r="P282" s="2" t="inlineStr">
        <is>
          <t>1STASSTCAMERA LABOR</t>
        </is>
      </c>
      <c r="R282" s="8">
        <f>SUM(R280:R281)</f>
        <v/>
      </c>
    </row>
    <row r="284">
      <c r="B284" s="2" t="inlineStr">
        <is>
          <t>2NDASSTCAMERA</t>
        </is>
      </c>
    </row>
    <row r="285">
      <c r="A285" s="5" t="inlineStr">
        <is>
          <t>3306</t>
        </is>
      </c>
      <c r="B285" s="5" t="inlineStr">
        <is>
          <t>Manny Serrano</t>
        </is>
      </c>
      <c r="C285" s="5" t="inlineStr">
        <is>
          <t>"A"CAMERA 2NDAC</t>
        </is>
      </c>
      <c r="D285" s="5" t="inlineStr">
        <is>
          <t>Local600</t>
        </is>
      </c>
      <c r="E285" s="6" t="n">
        <v>23.04</v>
      </c>
      <c r="F285" s="5" t="n"/>
      <c r="G285" s="5" t="n"/>
      <c r="H285" s="5" t="n"/>
      <c r="I285" s="5" t="n"/>
      <c r="J285" s="7">
        <f>IF(AND(N(F285)&gt;0,N(I285)&gt;0),I285-F285-IF(N(G285)&gt;0,0.5,0)-IF(N(H285)&gt;0,0.5,0),0)</f>
        <v/>
      </c>
      <c r="K285" s="5" t="n"/>
      <c r="L285" s="7">
        <f>MIN(J285,8.0)</f>
        <v/>
      </c>
      <c r="M285" s="7">
        <f>MAX(0,MIN(J285,12)-8.0)</f>
        <v/>
      </c>
      <c r="N285" s="7">
        <f>MAX(0,J285-12)</f>
        <v/>
      </c>
      <c r="O285" s="5" t="n"/>
      <c r="P285" s="6">
        <f>E285*(L285+M285*1.5+N285*2+O285*3+N(K285))</f>
        <v/>
      </c>
      <c r="Q285" s="6" t="n">
        <v>357.12</v>
      </c>
      <c r="R285" s="6">
        <f>Q285-P285</f>
        <v/>
      </c>
    </row>
    <row r="286">
      <c r="A286" s="5" t="inlineStr">
        <is>
          <t>3306</t>
        </is>
      </c>
      <c r="B286" s="5" t="inlineStr"/>
      <c r="C286" s="5" t="inlineStr">
        <is>
          <t>"B"CAMERA 2NDAC</t>
        </is>
      </c>
      <c r="D286" s="5" t="inlineStr">
        <is>
          <t>Local600</t>
        </is>
      </c>
      <c r="E286" s="6" t="n">
        <v>23.04</v>
      </c>
      <c r="F286" s="5" t="n"/>
      <c r="G286" s="5" t="n"/>
      <c r="H286" s="5" t="n"/>
      <c r="I286" s="5" t="n"/>
      <c r="J286" s="7">
        <f>IF(AND(N(F286)&gt;0,N(I286)&gt;0),I286-F286-IF(N(G286)&gt;0,0.5,0)-IF(N(H286)&gt;0,0.5,0),0)</f>
        <v/>
      </c>
      <c r="K286" s="5" t="n"/>
      <c r="L286" s="7">
        <f>MIN(J286,8.0)</f>
        <v/>
      </c>
      <c r="M286" s="7">
        <f>MAX(0,MIN(J286,12)-8.0)</f>
        <v/>
      </c>
      <c r="N286" s="7">
        <f>MAX(0,J286-12)</f>
        <v/>
      </c>
      <c r="O286" s="5" t="n"/>
      <c r="P286" s="6">
        <f>E286*(L286+M286*1.5+N286*2+O286*3+N(K286))</f>
        <v/>
      </c>
      <c r="Q286" s="6" t="n">
        <v>357.12</v>
      </c>
      <c r="R286" s="6">
        <f>Q286-P286</f>
        <v/>
      </c>
    </row>
    <row r="287">
      <c r="P287" s="2" t="inlineStr">
        <is>
          <t>2NDASSTCAMERA LABOR</t>
        </is>
      </c>
      <c r="R287" s="8">
        <f>SUM(R285:R286)</f>
        <v/>
      </c>
    </row>
    <row r="289">
      <c r="B289" s="2" t="inlineStr">
        <is>
          <t>STILLPHOTOGRAPHER</t>
        </is>
      </c>
    </row>
    <row r="290">
      <c r="A290" s="5" t="inlineStr">
        <is>
          <t>3308</t>
        </is>
      </c>
      <c r="B290" s="5" t="inlineStr">
        <is>
          <t>Scott Patrick Green</t>
        </is>
      </c>
      <c r="C290" s="5" t="inlineStr">
        <is>
          <t>STILLPHOTOGRAPHER</t>
        </is>
      </c>
      <c r="D290" s="5" t="inlineStr">
        <is>
          <t>Local600</t>
        </is>
      </c>
      <c r="E290" s="6" t="n">
        <v>26.5</v>
      </c>
      <c r="F290" s="5" t="n"/>
      <c r="G290" s="5" t="n"/>
      <c r="H290" s="5" t="n"/>
      <c r="I290" s="5" t="n"/>
      <c r="J290" s="7">
        <f>IF(AND(N(F290)&gt;0,N(I290)&gt;0),I290-F290-IF(N(G290)&gt;0,0.5,0)-IF(N(H290)&gt;0,0.5,0),0)</f>
        <v/>
      </c>
      <c r="K290" s="5" t="n"/>
      <c r="L290" s="7">
        <f>MIN(J290,8.0)</f>
        <v/>
      </c>
      <c r="M290" s="7">
        <f>MAX(0,MIN(J290,12)-8.0)</f>
        <v/>
      </c>
      <c r="N290" s="7">
        <f>MAX(0,J290-12)</f>
        <v/>
      </c>
      <c r="O290" s="5" t="n"/>
      <c r="P290" s="6">
        <f>E290*(L290+M290*1.5+N290*2+O290*3+N(K290))</f>
        <v/>
      </c>
      <c r="Q290" s="6" t="n">
        <v>291.5</v>
      </c>
      <c r="R290" s="6">
        <f>Q290-P290</f>
        <v/>
      </c>
    </row>
    <row r="291">
      <c r="P291" s="2" t="inlineStr">
        <is>
          <t>STILLPHOTOGRAPHER LABOR</t>
        </is>
      </c>
      <c r="R291" s="8">
        <f>SUM(R290:R290)</f>
        <v/>
      </c>
    </row>
    <row r="293">
      <c r="B293" s="2" t="inlineStr">
        <is>
          <t>AERIAL/UNDERWATERPHOTOGRAPHY</t>
        </is>
      </c>
    </row>
    <row r="294">
      <c r="A294" s="5" t="inlineStr">
        <is>
          <t>3385</t>
        </is>
      </c>
      <c r="B294" s="5" t="inlineStr"/>
      <c r="C294" s="5" t="inlineStr">
        <is>
          <t>UNDERWATEROPERATOR</t>
        </is>
      </c>
      <c r="D294" s="5" t="inlineStr">
        <is>
          <t>Local600</t>
        </is>
      </c>
      <c r="E294" s="6" t="n">
        <v>65</v>
      </c>
      <c r="F294" s="5" t="n"/>
      <c r="G294" s="5" t="n"/>
      <c r="H294" s="5" t="n"/>
      <c r="I294" s="5" t="n"/>
      <c r="J294" s="7">
        <f>IF(AND(N(F294)&gt;0,N(I294)&gt;0),I294-F294-IF(N(G294)&gt;0,0.5,0)-IF(N(H294)&gt;0,0.5,0),0)</f>
        <v/>
      </c>
      <c r="K294" s="5" t="n"/>
      <c r="L294" s="7">
        <f>MIN(J294,8.0)</f>
        <v/>
      </c>
      <c r="M294" s="7">
        <f>MAX(0,MIN(J294,12)-8.0)</f>
        <v/>
      </c>
      <c r="N294" s="7">
        <f>MAX(0,J294-12)</f>
        <v/>
      </c>
      <c r="O294" s="5" t="n"/>
      <c r="P294" s="6">
        <f>E294*(L294+M294*1.5+N294*2+O294*3+N(K294))</f>
        <v/>
      </c>
      <c r="Q294" s="6" t="n">
        <v>910</v>
      </c>
      <c r="R294" s="6">
        <f>Q294-P294</f>
        <v/>
      </c>
    </row>
    <row r="295">
      <c r="P295" s="2" t="inlineStr">
        <is>
          <t>AERIAL/UNDERWATERPHOTOGRAPHY LABOR</t>
        </is>
      </c>
      <c r="R295" s="8">
        <f>SUM(R294:R294)</f>
        <v/>
      </c>
    </row>
    <row r="297">
      <c r="B297" s="2" t="inlineStr">
        <is>
          <t>SOUNDMIXER</t>
        </is>
      </c>
    </row>
    <row r="298">
      <c r="A298" s="5" t="inlineStr">
        <is>
          <t>3401</t>
        </is>
      </c>
      <c r="B298" s="5" t="inlineStr">
        <is>
          <t>Julian Howarth</t>
        </is>
      </c>
      <c r="C298" s="5" t="inlineStr">
        <is>
          <t>SOUNDMIXER</t>
        </is>
      </c>
      <c r="D298" s="5" t="inlineStr">
        <is>
          <t>Local695</t>
        </is>
      </c>
      <c r="E298" s="6" t="n">
        <v>26.5</v>
      </c>
      <c r="F298" s="5" t="n"/>
      <c r="G298" s="5" t="n"/>
      <c r="H298" s="5" t="n"/>
      <c r="I298" s="5" t="n"/>
      <c r="J298" s="7">
        <f>IF(AND(N(F298)&gt;0,N(I298)&gt;0),I298-F298-IF(N(G298)&gt;0,0.5,0)-IF(N(H298)&gt;0,0.5,0),0)</f>
        <v/>
      </c>
      <c r="K298" s="5" t="n"/>
      <c r="L298" s="7">
        <f>MIN(J298,10.0)</f>
        <v/>
      </c>
      <c r="M298" s="7">
        <f>MAX(0,MIN(J298,12)-10.0)</f>
        <v/>
      </c>
      <c r="N298" s="7">
        <f>MAX(0,J298-12)</f>
        <v/>
      </c>
      <c r="O298" s="5" t="n"/>
      <c r="P298" s="6">
        <f>E298*(L298+M298*1.5+N298*2+O298*3+N(K298))</f>
        <v/>
      </c>
      <c r="Q298" s="6" t="n">
        <v>410.75</v>
      </c>
      <c r="R298" s="6">
        <f>Q298-P298</f>
        <v/>
      </c>
    </row>
    <row r="299">
      <c r="P299" s="2" t="inlineStr">
        <is>
          <t>SOUNDMIXER LABOR</t>
        </is>
      </c>
      <c r="R299" s="8">
        <f>SUM(R298:R298)</f>
        <v/>
      </c>
    </row>
    <row r="301">
      <c r="B301" s="2" t="inlineStr">
        <is>
          <t>BOOMOPERATOR</t>
        </is>
      </c>
    </row>
    <row r="302">
      <c r="A302" s="5" t="inlineStr">
        <is>
          <t>3402</t>
        </is>
      </c>
      <c r="B302" s="5" t="inlineStr">
        <is>
          <t>Tim Song Jones</t>
        </is>
      </c>
      <c r="C302" s="5" t="inlineStr">
        <is>
          <t>BOOMOPERATOR</t>
        </is>
      </c>
      <c r="D302" s="5" t="inlineStr">
        <is>
          <t>Local695</t>
        </is>
      </c>
      <c r="E302" s="6" t="n">
        <v>23.04</v>
      </c>
      <c r="F302" s="5" t="n"/>
      <c r="G302" s="5" t="n"/>
      <c r="H302" s="5" t="n"/>
      <c r="I302" s="5" t="n"/>
      <c r="J302" s="7">
        <f>IF(AND(N(F302)&gt;0,N(I302)&gt;0),I302-F302-IF(N(G302)&gt;0,0.5,0)-IF(N(H302)&gt;0,0.5,0),0)</f>
        <v/>
      </c>
      <c r="K302" s="5" t="n"/>
      <c r="L302" s="7">
        <f>MIN(J302,10.0)</f>
        <v/>
      </c>
      <c r="M302" s="7">
        <f>MAX(0,MIN(J302,12)-10.0)</f>
        <v/>
      </c>
      <c r="N302" s="7">
        <f>MAX(0,J302-12)</f>
        <v/>
      </c>
      <c r="O302" s="5" t="n"/>
      <c r="P302" s="6">
        <f>E302*(L302+M302*1.5+N302*2+O302*3+N(K302))</f>
        <v/>
      </c>
      <c r="Q302" s="6" t="n">
        <v>357.12</v>
      </c>
      <c r="R302" s="6">
        <f>Q302-P302</f>
        <v/>
      </c>
    </row>
    <row r="303">
      <c r="P303" s="2" t="inlineStr">
        <is>
          <t>BOOMOPERATOR LABOR</t>
        </is>
      </c>
      <c r="R303" s="8">
        <f>SUM(R302:R302)</f>
        <v/>
      </c>
    </row>
    <row r="305">
      <c r="B305" s="2" t="inlineStr">
        <is>
          <t>CABLEPERSON</t>
        </is>
      </c>
    </row>
    <row r="306">
      <c r="A306" s="5" t="inlineStr">
        <is>
          <t>3403</t>
        </is>
      </c>
      <c r="B306" s="5" t="inlineStr"/>
      <c r="C306" s="5" t="inlineStr">
        <is>
          <t>UTILITYSOUND</t>
        </is>
      </c>
      <c r="D306" s="5" t="inlineStr">
        <is>
          <t>Local695</t>
        </is>
      </c>
      <c r="E306" s="6" t="n">
        <v>20.57</v>
      </c>
      <c r="F306" s="5" t="n"/>
      <c r="G306" s="5" t="n"/>
      <c r="H306" s="5" t="n"/>
      <c r="I306" s="5" t="n"/>
      <c r="J306" s="7">
        <f>IF(AND(N(F306)&gt;0,N(I306)&gt;0),I306-F306-IF(N(G306)&gt;0,0.5,0)-IF(N(H306)&gt;0,0.5,0),0)</f>
        <v/>
      </c>
      <c r="K306" s="5" t="n"/>
      <c r="L306" s="7">
        <f>MIN(J306,10.0)</f>
        <v/>
      </c>
      <c r="M306" s="7">
        <f>MAX(0,MIN(J306,12)-10.0)</f>
        <v/>
      </c>
      <c r="N306" s="7">
        <f>MAX(0,J306-12)</f>
        <v/>
      </c>
      <c r="O306" s="5" t="n"/>
      <c r="P306" s="6">
        <f>E306*(L306+M306*1.5+N306*2+O306*3+N(K306))</f>
        <v/>
      </c>
      <c r="Q306" s="6" t="n">
        <v>318.83</v>
      </c>
      <c r="R306" s="6">
        <f>Q306-P306</f>
        <v/>
      </c>
    </row>
    <row r="307">
      <c r="P307" s="2" t="inlineStr">
        <is>
          <t>CABLEPERSON LABOR</t>
        </is>
      </c>
      <c r="R307" s="8">
        <f>SUM(R306:R306)</f>
        <v/>
      </c>
    </row>
    <row r="309">
      <c r="B309" s="2" t="inlineStr">
        <is>
          <t>VIDEOASSIST</t>
        </is>
      </c>
    </row>
    <row r="310">
      <c r="A310" s="5" t="inlineStr">
        <is>
          <t>3404</t>
        </is>
      </c>
      <c r="B310" s="5" t="inlineStr">
        <is>
          <t>Jeff Snyder</t>
        </is>
      </c>
      <c r="C310" s="5" t="inlineStr">
        <is>
          <t>VIDEOASSISTOPERATOR</t>
        </is>
      </c>
      <c r="D310" s="5" t="inlineStr">
        <is>
          <t>Local695</t>
        </is>
      </c>
      <c r="E310" s="6" t="n">
        <v>23.04</v>
      </c>
      <c r="F310" s="5" t="n"/>
      <c r="G310" s="5" t="n"/>
      <c r="H310" s="5" t="n"/>
      <c r="I310" s="5" t="n"/>
      <c r="J310" s="7">
        <f>IF(AND(N(F310)&gt;0,N(I310)&gt;0),I310-F310-IF(N(G310)&gt;0,0.5,0)-IF(N(H310)&gt;0,0.5,0),0)</f>
        <v/>
      </c>
      <c r="K310" s="5" t="n"/>
      <c r="L310" s="7">
        <f>MIN(J310,10.0)</f>
        <v/>
      </c>
      <c r="M310" s="7">
        <f>MAX(0,MIN(J310,12)-10.0)</f>
        <v/>
      </c>
      <c r="N310" s="7">
        <f>MAX(0,J310-12)</f>
        <v/>
      </c>
      <c r="O310" s="5" t="n"/>
      <c r="P310" s="6">
        <f>E310*(L310+M310*1.5+N310*2+O310*3+N(K310))</f>
        <v/>
      </c>
      <c r="Q310" s="6" t="n">
        <v>357.12</v>
      </c>
      <c r="R310" s="6">
        <f>Q310-P310</f>
        <v/>
      </c>
    </row>
    <row r="311">
      <c r="P311" s="2" t="inlineStr">
        <is>
          <t>VIDEOASSIST LABOR</t>
        </is>
      </c>
      <c r="R311" s="8">
        <f>SUM(R310:R310)</f>
        <v/>
      </c>
    </row>
    <row r="313">
      <c r="B313" s="2" t="inlineStr">
        <is>
          <t>CAPTAIN</t>
        </is>
      </c>
    </row>
    <row r="314">
      <c r="A314" s="5" t="inlineStr">
        <is>
          <t>3502</t>
        </is>
      </c>
      <c r="B314" s="5" t="inlineStr">
        <is>
          <t>Kevin Caira</t>
        </is>
      </c>
      <c r="C314" s="5" t="inlineStr">
        <is>
          <t>TRANSPOCAPTAIN(LA)</t>
        </is>
      </c>
      <c r="D314" s="5" t="inlineStr">
        <is>
          <t>Local399</t>
        </is>
      </c>
      <c r="E314" s="6" t="n">
        <v>37.21</v>
      </c>
      <c r="F314" s="5" t="n"/>
      <c r="G314" s="5" t="n"/>
      <c r="H314" s="5" t="n"/>
      <c r="I314" s="5" t="n"/>
      <c r="J314" s="7">
        <f>IF(AND(N(F314)&gt;0,N(I314)&gt;0),I314-F314-IF(N(G314)&gt;0,0.5,0)-IF(N(H314)&gt;0,0.5,0),0)</f>
        <v/>
      </c>
      <c r="K314" s="5" t="n"/>
      <c r="L314" s="7">
        <f>MIN(J314,8.0)</f>
        <v/>
      </c>
      <c r="M314" s="7">
        <f>MAX(0,MIN(J314,12)-8.0)</f>
        <v/>
      </c>
      <c r="N314" s="7">
        <f>MAX(0,J314-12)</f>
        <v/>
      </c>
      <c r="O314" s="5" t="n"/>
      <c r="P314" s="6">
        <f>E314*(L314+M314*1.5+N314*2+O314*3+N(K314))</f>
        <v/>
      </c>
      <c r="Q314" s="6" t="n">
        <v>651.17</v>
      </c>
      <c r="R314" s="6">
        <f>Q314-P314</f>
        <v/>
      </c>
    </row>
    <row r="315">
      <c r="A315" s="5" t="inlineStr">
        <is>
          <t>3502</t>
        </is>
      </c>
      <c r="B315" s="5" t="inlineStr">
        <is>
          <t>Tina Peterson</t>
        </is>
      </c>
      <c r="C315" s="5" t="inlineStr">
        <is>
          <t>CO-CAPTAIN</t>
        </is>
      </c>
      <c r="D315" s="5" t="inlineStr">
        <is>
          <t>Local399</t>
        </is>
      </c>
      <c r="E315" s="6" t="n">
        <v>37.21</v>
      </c>
      <c r="F315" s="5" t="n"/>
      <c r="G315" s="5" t="n"/>
      <c r="H315" s="5" t="n"/>
      <c r="I315" s="5" t="n"/>
      <c r="J315" s="7">
        <f>IF(AND(N(F315)&gt;0,N(I315)&gt;0),I315-F315-IF(N(G315)&gt;0,0.5,0)-IF(N(H315)&gt;0,0.5,0),0)</f>
        <v/>
      </c>
      <c r="K315" s="5" t="n"/>
      <c r="L315" s="7">
        <f>MIN(J315,8.0)</f>
        <v/>
      </c>
      <c r="M315" s="7">
        <f>MAX(0,MIN(J315,12)-8.0)</f>
        <v/>
      </c>
      <c r="N315" s="7">
        <f>MAX(0,J315-12)</f>
        <v/>
      </c>
      <c r="O315" s="5" t="n"/>
      <c r="P315" s="6">
        <f>E315*(L315+M315*1.5+N315*2+O315*3+N(K315))</f>
        <v/>
      </c>
      <c r="Q315" s="6" t="n">
        <v>576.75</v>
      </c>
      <c r="R315" s="6">
        <f>Q315-P315</f>
        <v/>
      </c>
    </row>
    <row r="316">
      <c r="P316" s="2" t="inlineStr">
        <is>
          <t>CAPTAIN LABOR</t>
        </is>
      </c>
      <c r="R316" s="8">
        <f>SUM(R314:R315)</f>
        <v/>
      </c>
    </row>
    <row r="318">
      <c r="B318" s="2" t="inlineStr">
        <is>
          <t>DRIVERS</t>
        </is>
      </c>
    </row>
    <row r="319">
      <c r="A319" s="5" t="inlineStr">
        <is>
          <t>3503</t>
        </is>
      </c>
      <c r="B319" s="5" t="inlineStr"/>
      <c r="C319" s="5" t="inlineStr">
        <is>
          <t>GRIPTRUCK 48'TRACTORTRAILERDRIVER</t>
        </is>
      </c>
      <c r="D319" s="5" t="inlineStr"/>
      <c r="E319" s="6" t="n">
        <v>32.36</v>
      </c>
      <c r="F319" s="5" t="n"/>
      <c r="G319" s="5" t="n"/>
      <c r="H319" s="5" t="n"/>
      <c r="I319" s="5" t="n"/>
      <c r="J319" s="7">
        <f>IF(AND(N(F319)&gt;0,N(I319)&gt;0),I319-F319-IF(N(G319)&gt;0,0.5,0)-IF(N(H319)&gt;0,0.5,0),0)</f>
        <v/>
      </c>
      <c r="K319" s="5" t="n"/>
      <c r="L319" s="7">
        <f>MIN(J319,8.0)</f>
        <v/>
      </c>
      <c r="M319" s="7">
        <f>MAX(0,MIN(J319,12)-8.0)</f>
        <v/>
      </c>
      <c r="N319" s="7">
        <f>MAX(0,J319-12)</f>
        <v/>
      </c>
      <c r="O319" s="5" t="n"/>
      <c r="P319" s="6">
        <f>E319*(L319+M319*1.5+N319*2+O319*3+N(K319))</f>
        <v/>
      </c>
      <c r="Q319" s="6" t="n">
        <v>501.58</v>
      </c>
      <c r="R319" s="6">
        <f>Q319-P319</f>
        <v/>
      </c>
    </row>
    <row r="320">
      <c r="A320" s="5" t="inlineStr">
        <is>
          <t>3503</t>
        </is>
      </c>
      <c r="B320" s="5" t="inlineStr">
        <is>
          <t>Donald Wilson</t>
        </is>
      </c>
      <c r="C320" s="5" t="inlineStr">
        <is>
          <t>PROP 5-TON(ENCLOSED)</t>
        </is>
      </c>
      <c r="D320" s="5" t="inlineStr"/>
      <c r="E320" s="6" t="n">
        <v>32.36</v>
      </c>
      <c r="F320" s="5" t="n"/>
      <c r="G320" s="5" t="n"/>
      <c r="H320" s="5" t="n"/>
      <c r="I320" s="5" t="n"/>
      <c r="J320" s="7">
        <f>IF(AND(N(F320)&gt;0,N(I320)&gt;0),I320-F320-IF(N(G320)&gt;0,0.5,0)-IF(N(H320)&gt;0,0.5,0),0)</f>
        <v/>
      </c>
      <c r="K320" s="5" t="n"/>
      <c r="L320" s="7">
        <f>MIN(J320,8.0)</f>
        <v/>
      </c>
      <c r="M320" s="7">
        <f>MAX(0,MIN(J320,12)-8.0)</f>
        <v/>
      </c>
      <c r="N320" s="7">
        <f>MAX(0,J320-12)</f>
        <v/>
      </c>
      <c r="O320" s="5" t="n"/>
      <c r="P320" s="6">
        <f>E320*(L320+M320*1.5+N320*2+O320*3+N(K320))</f>
        <v/>
      </c>
      <c r="Q320" s="6" t="n">
        <v>501.58</v>
      </c>
      <c r="R320" s="6">
        <f>Q320-P320</f>
        <v/>
      </c>
    </row>
    <row r="321">
      <c r="A321" s="5" t="inlineStr">
        <is>
          <t>3503</t>
        </is>
      </c>
      <c r="B321" s="5" t="inlineStr"/>
      <c r="C321" s="5" t="inlineStr">
        <is>
          <t>WARDROBESTAKEBEDDRIVER#1</t>
        </is>
      </c>
      <c r="D321" s="5" t="inlineStr"/>
      <c r="E321" s="6" t="n">
        <v>37.99</v>
      </c>
      <c r="F321" s="5" t="n"/>
      <c r="G321" s="5" t="n"/>
      <c r="H321" s="5" t="n"/>
      <c r="I321" s="5" t="n"/>
      <c r="J321" s="7">
        <f>IF(AND(N(F321)&gt;0,N(I321)&gt;0),I321-F321-IF(N(G321)&gt;0,0.5,0)-IF(N(H321)&gt;0,0.5,0),0)</f>
        <v/>
      </c>
      <c r="K321" s="5" t="n"/>
      <c r="L321" s="7">
        <f>MIN(J321,8.0)</f>
        <v/>
      </c>
      <c r="M321" s="7">
        <f>MAX(0,MIN(J321,12)-8.0)</f>
        <v/>
      </c>
      <c r="N321" s="7">
        <f>MAX(0,J321-12)</f>
        <v/>
      </c>
      <c r="O321" s="5" t="n"/>
      <c r="P321" s="6">
        <f>E321*(L321+M321*1.5+N321*2+O321*3+N(K321))</f>
        <v/>
      </c>
      <c r="Q321" s="6" t="n">
        <v>588.85</v>
      </c>
      <c r="R321" s="6">
        <f>Q321-P321</f>
        <v/>
      </c>
    </row>
    <row r="322">
      <c r="A322" s="5" t="inlineStr">
        <is>
          <t>3503</t>
        </is>
      </c>
      <c r="B322" s="5" t="inlineStr"/>
      <c r="C322" s="5" t="inlineStr">
        <is>
          <t>MAKEUPHAIRTRAILERDRIVER</t>
        </is>
      </c>
      <c r="D322" s="5" t="inlineStr"/>
      <c r="E322" s="6" t="n">
        <v>32.36</v>
      </c>
      <c r="F322" s="5" t="n"/>
      <c r="G322" s="5" t="n"/>
      <c r="H322" s="5" t="n"/>
      <c r="I322" s="5" t="n"/>
      <c r="J322" s="7">
        <f>IF(AND(N(F322)&gt;0,N(I322)&gt;0),I322-F322-IF(N(G322)&gt;0,0.5,0)-IF(N(H322)&gt;0,0.5,0),0)</f>
        <v/>
      </c>
      <c r="K322" s="5" t="n"/>
      <c r="L322" s="7">
        <f>MIN(J322,8.0)</f>
        <v/>
      </c>
      <c r="M322" s="7">
        <f>MAX(0,MIN(J322,12)-8.0)</f>
        <v/>
      </c>
      <c r="N322" s="7">
        <f>MAX(0,J322-12)</f>
        <v/>
      </c>
      <c r="O322" s="5" t="n"/>
      <c r="P322" s="6">
        <f>E322*(L322+M322*1.5+N322*2+O322*3+N(K322))</f>
        <v/>
      </c>
      <c r="Q322" s="6" t="n">
        <v>501.58</v>
      </c>
      <c r="R322" s="6">
        <f>Q322-P322</f>
        <v/>
      </c>
    </row>
    <row r="323">
      <c r="A323" s="5" t="inlineStr">
        <is>
          <t>3503</t>
        </is>
      </c>
      <c r="B323" s="5" t="inlineStr"/>
      <c r="C323" s="5" t="inlineStr">
        <is>
          <t>ELECTRIC 10TONDRIVER(GENIEOPERATOR)</t>
        </is>
      </c>
      <c r="D323" s="5" t="inlineStr"/>
      <c r="E323" s="6" t="n">
        <v>37.99</v>
      </c>
      <c r="F323" s="5" t="n"/>
      <c r="G323" s="5" t="n"/>
      <c r="H323" s="5" t="n"/>
      <c r="I323" s="5" t="n"/>
      <c r="J323" s="7">
        <f>IF(AND(N(F323)&gt;0,N(I323)&gt;0),I323-F323-IF(N(G323)&gt;0,0.5,0)-IF(N(H323)&gt;0,0.5,0),0)</f>
        <v/>
      </c>
      <c r="K323" s="5" t="n"/>
      <c r="L323" s="7">
        <f>MIN(J323,8.0)</f>
        <v/>
      </c>
      <c r="M323" s="7">
        <f>MAX(0,MIN(J323,12)-8.0)</f>
        <v/>
      </c>
      <c r="N323" s="7">
        <f>MAX(0,J323-12)</f>
        <v/>
      </c>
      <c r="O323" s="5" t="n"/>
      <c r="P323" s="6">
        <f>E323*(L323+M323*1.5+N323*2+O323*3+N(K323))</f>
        <v/>
      </c>
      <c r="Q323" s="6" t="n">
        <v>588.85</v>
      </c>
      <c r="R323" s="6">
        <f>Q323-P323</f>
        <v/>
      </c>
    </row>
    <row r="324">
      <c r="A324" s="5" t="inlineStr">
        <is>
          <t>3503</t>
        </is>
      </c>
      <c r="B324" s="5" t="inlineStr"/>
      <c r="C324" s="5" t="inlineStr">
        <is>
          <t>SOUNDCCSTAKEBEDFUELTRUCKDRIVER</t>
        </is>
      </c>
      <c r="D324" s="5" t="inlineStr"/>
      <c r="E324" s="6" t="n">
        <v>32.36</v>
      </c>
      <c r="F324" s="5" t="n"/>
      <c r="G324" s="5" t="n"/>
      <c r="H324" s="5" t="n"/>
      <c r="I324" s="5" t="n"/>
      <c r="J324" s="7">
        <f>IF(AND(N(F324)&gt;0,N(I324)&gt;0),I324-F324-IF(N(G324)&gt;0,0.5,0)-IF(N(H324)&gt;0,0.5,0),0)</f>
        <v/>
      </c>
      <c r="K324" s="5" t="n"/>
      <c r="L324" s="7">
        <f>MIN(J324,8.0)</f>
        <v/>
      </c>
      <c r="M324" s="7">
        <f>MAX(0,MIN(J324,12)-8.0)</f>
        <v/>
      </c>
      <c r="N324" s="7">
        <f>MAX(0,J324-12)</f>
        <v/>
      </c>
      <c r="O324" s="5" t="n"/>
      <c r="P324" s="6">
        <f>E324*(L324+M324*1.5+N324*2+O324*3+N(K324))</f>
        <v/>
      </c>
      <c r="Q324" s="6" t="n">
        <v>501.58</v>
      </c>
      <c r="R324" s="6">
        <f>Q324-P324</f>
        <v/>
      </c>
    </row>
    <row r="325">
      <c r="A325" s="5" t="inlineStr">
        <is>
          <t>3503</t>
        </is>
      </c>
      <c r="B325" s="5" t="inlineStr"/>
      <c r="C325" s="5" t="inlineStr">
        <is>
          <t>9-ROOMHONEYWAGONTRACTORDRIVER</t>
        </is>
      </c>
      <c r="D325" s="5" t="inlineStr"/>
      <c r="E325" s="6" t="n">
        <v>32.36</v>
      </c>
      <c r="F325" s="5" t="n"/>
      <c r="G325" s="5" t="n"/>
      <c r="H325" s="5" t="n"/>
      <c r="I325" s="5" t="n"/>
      <c r="J325" s="7">
        <f>IF(AND(N(F325)&gt;0,N(I325)&gt;0),I325-F325-IF(N(G325)&gt;0,0.5,0)-IF(N(H325)&gt;0,0.5,0),0)</f>
        <v/>
      </c>
      <c r="K325" s="5" t="n"/>
      <c r="L325" s="7">
        <f>MIN(J325,8.0)</f>
        <v/>
      </c>
      <c r="M325" s="7">
        <f>MAX(0,MIN(J325,12)-8.0)</f>
        <v/>
      </c>
      <c r="N325" s="7">
        <f>MAX(0,J325-12)</f>
        <v/>
      </c>
      <c r="O325" s="5" t="n"/>
      <c r="P325" s="6">
        <f>E325*(L325+M325*1.5+N325*2+O325*3+N(K325))</f>
        <v/>
      </c>
      <c r="Q325" s="6" t="n">
        <v>501.58</v>
      </c>
      <c r="R325" s="6">
        <f>Q325-P325</f>
        <v/>
      </c>
    </row>
    <row r="326">
      <c r="A326" s="5" t="inlineStr">
        <is>
          <t>3503</t>
        </is>
      </c>
      <c r="B326" s="5" t="inlineStr"/>
      <c r="C326" s="5" t="inlineStr">
        <is>
          <t>FORDTRANSITVANDRIVER#1</t>
        </is>
      </c>
      <c r="D326" s="5" t="inlineStr"/>
      <c r="E326" s="6" t="n">
        <v>32.36</v>
      </c>
      <c r="F326" s="5" t="n"/>
      <c r="G326" s="5" t="n"/>
      <c r="H326" s="5" t="n"/>
      <c r="I326" s="5" t="n"/>
      <c r="J326" s="7">
        <f>IF(AND(N(F326)&gt;0,N(I326)&gt;0),I326-F326-IF(N(G326)&gt;0,0.5,0)-IF(N(H326)&gt;0,0.5,0),0)</f>
        <v/>
      </c>
      <c r="K326" s="5" t="n"/>
      <c r="L326" s="7">
        <f>MIN(J326,8.0)</f>
        <v/>
      </c>
      <c r="M326" s="7">
        <f>MAX(0,MIN(J326,12)-8.0)</f>
        <v/>
      </c>
      <c r="N326" s="7">
        <f>MAX(0,J326-12)</f>
        <v/>
      </c>
      <c r="O326" s="5" t="n"/>
      <c r="P326" s="6">
        <f>E326*(L326+M326*1.5+N326*2+O326*3+N(K326))</f>
        <v/>
      </c>
      <c r="Q326" s="6" t="n">
        <v>501.58</v>
      </c>
      <c r="R326" s="6">
        <f>Q326-P326</f>
        <v/>
      </c>
    </row>
    <row r="327">
      <c r="A327" s="5" t="inlineStr">
        <is>
          <t>3503</t>
        </is>
      </c>
      <c r="B327" s="5" t="inlineStr">
        <is>
          <t>Kaiser Clark</t>
        </is>
      </c>
      <c r="C327" s="5" t="inlineStr">
        <is>
          <t>CSETDECTRUCKDRIVER#1</t>
        </is>
      </c>
      <c r="D327" s="5" t="inlineStr"/>
      <c r="E327" s="6" t="n">
        <v>32.36</v>
      </c>
      <c r="F327" s="5" t="n"/>
      <c r="G327" s="5" t="n"/>
      <c r="H327" s="5" t="n"/>
      <c r="I327" s="5" t="n"/>
      <c r="J327" s="7">
        <f>IF(AND(N(F327)&gt;0,N(I327)&gt;0),I327-F327-IF(N(G327)&gt;0,0.5,0)-IF(N(H327)&gt;0,0.5,0),0)</f>
        <v/>
      </c>
      <c r="K327" s="5" t="n"/>
      <c r="L327" s="7">
        <f>MIN(J327,8.0)</f>
        <v/>
      </c>
      <c r="M327" s="7">
        <f>MAX(0,MIN(J327,12)-8.0)</f>
        <v/>
      </c>
      <c r="N327" s="7">
        <f>MAX(0,J327-12)</f>
        <v/>
      </c>
      <c r="O327" s="5" t="n"/>
      <c r="P327" s="6">
        <f>E327*(L327+M327*1.5+N327*2+O327*3+N(K327))</f>
        <v/>
      </c>
      <c r="Q327" s="6" t="n">
        <v>501.58</v>
      </c>
      <c r="R327" s="6">
        <f>Q327-P327</f>
        <v/>
      </c>
    </row>
    <row r="328">
      <c r="A328" s="5" t="inlineStr">
        <is>
          <t>3503</t>
        </is>
      </c>
      <c r="B328" s="5" t="inlineStr"/>
      <c r="C328" s="5" t="inlineStr">
        <is>
          <t>C 5-TONENCLOSEDRIGGINGGRIPDRIVER</t>
        </is>
      </c>
      <c r="D328" s="5" t="inlineStr"/>
      <c r="E328" s="6" t="n">
        <v>32.36</v>
      </c>
      <c r="F328" s="5" t="n"/>
      <c r="G328" s="5" t="n"/>
      <c r="H328" s="5" t="n"/>
      <c r="I328" s="5" t="n"/>
      <c r="J328" s="7">
        <f>IF(AND(N(F328)&gt;0,N(I328)&gt;0),I328-F328-IF(N(G328)&gt;0,0.5,0)-IF(N(H328)&gt;0,0.5,0),0)</f>
        <v/>
      </c>
      <c r="K328" s="5" t="n"/>
      <c r="L328" s="7">
        <f>MIN(J328,8.0)</f>
        <v/>
      </c>
      <c r="M328" s="7">
        <f>MAX(0,MIN(J328,12)-8.0)</f>
        <v/>
      </c>
      <c r="N328" s="7">
        <f>MAX(0,J328-12)</f>
        <v/>
      </c>
      <c r="O328" s="5" t="n"/>
      <c r="P328" s="6">
        <f>E328*(L328+M328*1.5+N328*2+O328*3+N(K328))</f>
        <v/>
      </c>
      <c r="Q328" s="5" t="n"/>
      <c r="R328" s="6">
        <f>Q328-P328</f>
        <v/>
      </c>
    </row>
    <row r="329">
      <c r="A329" s="5" t="inlineStr">
        <is>
          <t>3503</t>
        </is>
      </c>
      <c r="B329" s="5" t="inlineStr"/>
      <c r="C329" s="5" t="inlineStr">
        <is>
          <t>SCOUTBUS</t>
        </is>
      </c>
      <c r="D329" s="5" t="inlineStr"/>
      <c r="E329" s="6" t="n">
        <v>32.36</v>
      </c>
      <c r="F329" s="5" t="n"/>
      <c r="G329" s="5" t="n"/>
      <c r="H329" s="5" t="n"/>
      <c r="I329" s="5" t="n"/>
      <c r="J329" s="7">
        <f>IF(AND(N(F329)&gt;0,N(I329)&gt;0),I329-F329-IF(N(G329)&gt;0,0.5,0)-IF(N(H329)&gt;0,0.5,0),0)</f>
        <v/>
      </c>
      <c r="K329" s="5" t="n"/>
      <c r="L329" s="7">
        <f>MIN(J329,8.0)</f>
        <v/>
      </c>
      <c r="M329" s="7">
        <f>MAX(0,MIN(J329,12)-8.0)</f>
        <v/>
      </c>
      <c r="N329" s="7">
        <f>MAX(0,J329-12)</f>
        <v/>
      </c>
      <c r="O329" s="5" t="n"/>
      <c r="P329" s="6">
        <f>E329*(L329+M329*1.5+N329*2+O329*3+N(K329))</f>
        <v/>
      </c>
      <c r="Q329" s="5" t="n"/>
      <c r="R329" s="6">
        <f>Q329-P329</f>
        <v/>
      </c>
    </row>
    <row r="330">
      <c r="A330" s="5" t="inlineStr">
        <is>
          <t>3503</t>
        </is>
      </c>
      <c r="B330" s="5" t="inlineStr"/>
      <c r="C330" s="5" t="inlineStr">
        <is>
          <t>DRIVERMANDAYS</t>
        </is>
      </c>
      <c r="D330" s="5" t="inlineStr"/>
      <c r="E330" s="6" t="n">
        <v>32.36</v>
      </c>
      <c r="F330" s="5" t="n"/>
      <c r="G330" s="5" t="n"/>
      <c r="H330" s="5" t="n"/>
      <c r="I330" s="5" t="n"/>
      <c r="J330" s="7">
        <f>IF(AND(N(F330)&gt;0,N(I330)&gt;0),I330-F330-IF(N(G330)&gt;0,0.5,0)-IF(N(H330)&gt;0,0.5,0),0)</f>
        <v/>
      </c>
      <c r="K330" s="5" t="n"/>
      <c r="L330" s="7">
        <f>MIN(J330,8.0)</f>
        <v/>
      </c>
      <c r="M330" s="7">
        <f>MAX(0,MIN(J330,12)-8.0)</f>
        <v/>
      </c>
      <c r="N330" s="7">
        <f>MAX(0,J330-12)</f>
        <v/>
      </c>
      <c r="O330" s="5" t="n"/>
      <c r="P330" s="6">
        <f>E330*(L330+M330*1.5+N330*2+O330*3+N(K330))</f>
        <v/>
      </c>
      <c r="Q330" s="5" t="n"/>
      <c r="R330" s="6">
        <f>Q330-P330</f>
        <v/>
      </c>
    </row>
    <row r="331">
      <c r="P331" s="2" t="inlineStr">
        <is>
          <t>DRIVERS LABOR</t>
        </is>
      </c>
      <c r="R331" s="8">
        <f>SUM(R319:R330)</f>
        <v/>
      </c>
    </row>
    <row r="333">
      <c r="B333" s="2" t="inlineStr">
        <is>
          <t>LOCATIONSITEFEES</t>
        </is>
      </c>
    </row>
    <row r="334">
      <c r="A334" s="5" t="inlineStr">
        <is>
          <t>3607</t>
        </is>
      </c>
      <c r="B334" s="5" t="inlineStr"/>
      <c r="C334" s="5" t="inlineStr">
        <is>
          <t>Location#1(Hospital ER, LACountry Childrens Shelter, Shelter Dorm, Dept...</t>
        </is>
      </c>
      <c r="D334" s="5" t="inlineStr">
        <is>
          <t>Local400</t>
        </is>
      </c>
      <c r="E334" s="6" t="n">
        <v>50000</v>
      </c>
      <c r="F334" s="5" t="n"/>
      <c r="G334" s="5" t="n"/>
      <c r="H334" s="5" t="n"/>
      <c r="I334" s="5" t="n"/>
      <c r="J334" s="7">
        <f>IF(AND(N(F334)&gt;0,N(I334)&gt;0),I334-F334-IF(N(G334)&gt;0,0.5,0)-IF(N(H334)&gt;0,0.5,0),0)</f>
        <v/>
      </c>
      <c r="K334" s="5" t="n"/>
      <c r="L334" s="7">
        <f>MIN(J334,8.0)</f>
        <v/>
      </c>
      <c r="M334" s="7">
        <f>MAX(0,MIN(J334,12)-8.0)</f>
        <v/>
      </c>
      <c r="N334" s="7">
        <f>MAX(0,J334-12)</f>
        <v/>
      </c>
      <c r="O334" s="5" t="n"/>
      <c r="P334" s="6">
        <f>E334*(L334+M334*1.5+N334*2+O334*3+N(K334))</f>
        <v/>
      </c>
      <c r="Q334" s="6" t="n">
        <v>50000</v>
      </c>
      <c r="R334" s="6">
        <f>Q334-P334</f>
        <v/>
      </c>
    </row>
    <row r="335">
      <c r="P335" s="2" t="inlineStr">
        <is>
          <t>LOCATIONSITEFEES LABOR</t>
        </is>
      </c>
      <c r="R335" s="8">
        <f>SUM(R334:R334)</f>
        <v/>
      </c>
    </row>
    <row r="337">
      <c r="B337" s="2" t="inlineStr">
        <is>
          <t>CATERINGLABOR</t>
        </is>
      </c>
    </row>
    <row r="338">
      <c r="A338" s="5" t="inlineStr">
        <is>
          <t>3621</t>
        </is>
      </c>
      <c r="B338" s="5" t="inlineStr"/>
      <c r="C338" s="5" t="inlineStr">
        <is>
          <t>COOKDRIVER#1</t>
        </is>
      </c>
      <c r="D338" s="5" t="inlineStr">
        <is>
          <t>Local399</t>
        </is>
      </c>
      <c r="E338" s="6" t="n">
        <v>32.36</v>
      </c>
      <c r="F338" s="5" t="n"/>
      <c r="G338" s="5" t="n"/>
      <c r="H338" s="5" t="n"/>
      <c r="I338" s="5" t="n"/>
      <c r="J338" s="7">
        <f>IF(AND(N(F338)&gt;0,N(I338)&gt;0),I338-F338-IF(N(G338)&gt;0,0.5,0)-IF(N(H338)&gt;0,0.5,0),0)</f>
        <v/>
      </c>
      <c r="K338" s="5" t="n"/>
      <c r="L338" s="7">
        <f>MIN(J338,8.0)</f>
        <v/>
      </c>
      <c r="M338" s="7">
        <f>MAX(0,MIN(J338,12)-8.0)</f>
        <v/>
      </c>
      <c r="N338" s="7">
        <f>MAX(0,J338-12)</f>
        <v/>
      </c>
      <c r="O338" s="5" t="n"/>
      <c r="P338" s="6">
        <f>E338*(L338+M338*1.5+N338*2+O338*3+N(K338))</f>
        <v/>
      </c>
      <c r="Q338" s="6" t="n">
        <v>647.2</v>
      </c>
      <c r="R338" s="6">
        <f>Q338-P338</f>
        <v/>
      </c>
    </row>
    <row r="339">
      <c r="A339" s="5" t="inlineStr">
        <is>
          <t>3621</t>
        </is>
      </c>
      <c r="B339" s="5" t="inlineStr"/>
      <c r="C339" s="5" t="inlineStr">
        <is>
          <t>1STASSTCATERER#1</t>
        </is>
      </c>
      <c r="D339" s="5" t="inlineStr"/>
      <c r="E339" s="6" t="n">
        <v>17</v>
      </c>
      <c r="F339" s="5" t="n"/>
      <c r="G339" s="5" t="n"/>
      <c r="H339" s="5" t="n"/>
      <c r="I339" s="5" t="n"/>
      <c r="J339" s="7">
        <f>IF(AND(N(F339)&gt;0,N(I339)&gt;0),I339-F339-IF(N(G339)&gt;0,0.5,0)-IF(N(H339)&gt;0,0.5,0),0)</f>
        <v/>
      </c>
      <c r="K339" s="5" t="n"/>
      <c r="L339" s="7">
        <f>MIN(J339,8.0)</f>
        <v/>
      </c>
      <c r="M339" s="7">
        <f>MAX(0,MIN(J339,12)-8.0)</f>
        <v/>
      </c>
      <c r="N339" s="7">
        <f>MAX(0,J339-12)</f>
        <v/>
      </c>
      <c r="O339" s="5" t="n"/>
      <c r="P339" s="6">
        <f>E339*(L339+M339*1.5+N339*2+O339*3+N(K339))</f>
        <v/>
      </c>
      <c r="Q339" s="6" t="n">
        <v>340</v>
      </c>
      <c r="R339" s="6">
        <f>Q339-P339</f>
        <v/>
      </c>
    </row>
    <row r="340">
      <c r="A340" s="5" t="inlineStr">
        <is>
          <t>3621</t>
        </is>
      </c>
      <c r="B340" s="5" t="inlineStr"/>
      <c r="C340" s="5" t="inlineStr">
        <is>
          <t>1STASSTCATERER#2</t>
        </is>
      </c>
      <c r="D340" s="5" t="inlineStr"/>
      <c r="E340" s="6" t="n">
        <v>16</v>
      </c>
      <c r="F340" s="5" t="n"/>
      <c r="G340" s="5" t="n"/>
      <c r="H340" s="5" t="n"/>
      <c r="I340" s="5" t="n"/>
      <c r="J340" s="7">
        <f>IF(AND(N(F340)&gt;0,N(I340)&gt;0),I340-F340-IF(N(G340)&gt;0,0.5,0)-IF(N(H340)&gt;0,0.5,0),0)</f>
        <v/>
      </c>
      <c r="K340" s="5" t="n"/>
      <c r="L340" s="7">
        <f>MIN(J340,8.0)</f>
        <v/>
      </c>
      <c r="M340" s="7">
        <f>MAX(0,MIN(J340,12)-8.0)</f>
        <v/>
      </c>
      <c r="N340" s="7">
        <f>MAX(0,J340-12)</f>
        <v/>
      </c>
      <c r="O340" s="5" t="n"/>
      <c r="P340" s="6">
        <f>E340*(L340+M340*1.5+N340*2+O340*3+N(K340))</f>
        <v/>
      </c>
      <c r="Q340" s="6" t="n">
        <v>320</v>
      </c>
      <c r="R340" s="6">
        <f>Q340-P340</f>
        <v/>
      </c>
    </row>
    <row r="341">
      <c r="P341" s="2" t="inlineStr">
        <is>
          <t>CATERINGLABOR LABOR</t>
        </is>
      </c>
      <c r="R341" s="8">
        <f>SUM(R338:R340)</f>
        <v/>
      </c>
    </row>
    <row r="343">
      <c r="K343" s="9" t="inlineStr">
        <is>
          <t>TOTAL</t>
        </is>
      </c>
      <c r="P343" s="9" t="inlineStr">
        <is>
          <t>ACTUAL</t>
        </is>
      </c>
      <c r="Q343" s="9" t="inlineStr">
        <is>
          <t>BUDGET</t>
        </is>
      </c>
      <c r="R343" s="9" t="inlineStr">
        <is>
          <t>TOTAL VAR</t>
        </is>
      </c>
    </row>
    <row r="344">
      <c r="P344" s="9" t="inlineStr">
        <is>
          <t>DAY COST</t>
        </is>
      </c>
      <c r="Q344" s="9" t="inlineStr">
        <is>
          <t>DY COST</t>
        </is>
      </c>
      <c r="R344" s="9" t="inlineStr">
        <is>
          <t>(OVER) / UNDER</t>
        </is>
      </c>
    </row>
    <row r="345">
      <c r="P345" s="10">
        <f>SUM(P6:P6)+SUM(P10:P11)+SUM(P15:P17)+SUM(P21:P22)+SUM(P26:P32)+SUM(P36:P36)+SUM(P40:P41)+SUM(P45:P45)+SUM(P49:P49)+SUM(P53:P54)+SUM(P58:P58)+SUM(P62:P62)+SUM(P66:P67)+SUM(P71:P71)+SUM(P75:P75)+SUM(P79:P80)+SUM(P84:P84)+SUM(P88:P88)+SUM(P92:P93)+SUM(P97:P100)+SUM(P104:P104)+SUM(P108:P109)+SUM(P113:P113)+SUM(P117:P117)+SUM(P121:P121)+SUM(P125:P125)+SUM(P129:P130)+SUM(P134:P134)+SUM(P138:P139)+SUM(P143:P145)+SUM(P149:P149)+SUM(P153:P153)+SUM(P157:P158)+SUM(P162:P163)+SUM(P167:P167)+SUM(P171:P173)+SUM(P177:P177)+SUM(P181:P181)+SUM(P185:P187)+SUM(P191:P191)+SUM(P195:P195)+SUM(P199:P199)+SUM(P203:P203)+SUM(P207:P207)+SUM(P211:P211)+SUM(P215:P216)+SUM(P220:P220)+SUM(P224:P224)+SUM(P228:P228)+SUM(P232:P233)+SUM(P237:P237)+SUM(P241:P241)+SUM(P245:P245)+SUM(P249:P249)+SUM(P253:P254)+SUM(P258:P260)+SUM(P264:P264)+SUM(P268:P268)+SUM(P272:P272)+SUM(P276:P276)+SUM(P280:P281)+SUM(P285:P286)+SUM(P290:P290)+SUM(P294:P294)+SUM(P298:P298)+SUM(P302:P302)+SUM(P306:P306)+SUM(P310:P310)+SUM(P314:P315)+SUM(P319:P330)+SUM(P334:P334)+SUM(P338:P340)</f>
        <v/>
      </c>
      <c r="Q345" s="10">
        <f>SUM(Q6:Q6)+SUM(Q10:Q11)+SUM(Q15:Q17)+SUM(Q21:Q22)+SUM(Q26:Q32)+SUM(Q36:Q36)+SUM(Q40:Q41)+SUM(Q45:Q45)+SUM(Q49:Q49)+SUM(Q53:Q54)+SUM(Q58:Q58)+SUM(Q62:Q62)+SUM(Q66:Q67)+SUM(Q71:Q71)+SUM(Q75:Q75)+SUM(Q79:Q80)+SUM(Q84:Q84)+SUM(Q88:Q88)+SUM(Q92:Q93)+SUM(Q97:Q100)+SUM(Q104:Q104)+SUM(Q108:Q109)+SUM(Q113:Q113)+SUM(Q117:Q117)+SUM(Q121:Q121)+SUM(Q125:Q125)+SUM(Q129:Q130)+SUM(Q134:Q134)+SUM(Q138:Q139)+SUM(Q143:Q145)+SUM(Q149:Q149)+SUM(Q153:Q153)+SUM(Q157:Q158)+SUM(Q162:Q163)+SUM(Q167:Q167)+SUM(Q171:Q173)+SUM(Q177:Q177)+SUM(Q181:Q181)+SUM(Q185:Q187)+SUM(Q191:Q191)+SUM(Q195:Q195)+SUM(Q199:Q199)+SUM(Q203:Q203)+SUM(Q207:Q207)+SUM(Q211:Q211)+SUM(Q215:Q216)+SUM(Q220:Q220)+SUM(Q224:Q224)+SUM(Q228:Q228)+SUM(Q232:Q233)+SUM(Q237:Q237)+SUM(Q241:Q241)+SUM(Q245:Q245)+SUM(Q249:Q249)+SUM(Q253:Q254)+SUM(Q258:Q260)+SUM(Q264:Q264)+SUM(Q268:Q268)+SUM(Q272:Q272)+SUM(Q276:Q276)+SUM(Q280:Q281)+SUM(Q285:Q286)+SUM(Q290:Q290)+SUM(Q294:Q294)+SUM(Q298:Q298)+SUM(Q302:Q302)+SUM(Q306:Q306)+SUM(Q310:Q310)+SUM(Q314:Q315)+SUM(Q319:Q330)+SUM(Q334:Q334)+SUM(Q338:Q340)</f>
        <v/>
      </c>
      <c r="R345" s="10">
        <f>SUM(R6:R6)+SUM(R10:R11)+SUM(R15:R17)+SUM(R21:R22)+SUM(R26:R32)+SUM(R36:R36)+SUM(R40:R41)+SUM(R45:R45)+SUM(R49:R49)+SUM(R53:R54)+SUM(R58:R58)+SUM(R62:R62)+SUM(R66:R67)+SUM(R71:R71)+SUM(R75:R75)+SUM(R79:R80)+SUM(R84:R84)+SUM(R88:R88)+SUM(R92:R93)+SUM(R97:R100)+SUM(R104:R104)+SUM(R108:R109)+SUM(R113:R113)+SUM(R117:R117)+SUM(R121:R121)+SUM(R125:R125)+SUM(R129:R130)+SUM(R134:R134)+SUM(R138:R139)+SUM(R143:R145)+SUM(R149:R149)+SUM(R153:R153)+SUM(R157:R158)+SUM(R162:R163)+SUM(R167:R167)+SUM(R171:R173)+SUM(R177:R177)+SUM(R181:R181)+SUM(R185:R187)+SUM(R191:R191)+SUM(R195:R195)+SUM(R199:R199)+SUM(R203:R203)+SUM(R207:R207)+SUM(R211:R211)+SUM(R215:R216)+SUM(R220:R220)+SUM(R224:R224)+SUM(R228:R228)+SUM(R232:R233)+SUM(R237:R237)+SUM(R241:R241)+SUM(R245:R245)+SUM(R249:R249)+SUM(R253:R254)+SUM(R258:R260)+SUM(R264:R264)+SUM(R268:R268)+SUM(R272:R272)+SUM(R276:R276)+SUM(R280:R281)+SUM(R285:R286)+SUM(R290:R290)+SUM(R294:R294)+SUM(R298:R298)+SUM(R302:R302)+SUM(R306:R306)+SUM(R310:R310)+SUM(R314:R315)+SUM(R319:R330)+SUM(R334:R334)+SUM(R338:R340)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R34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20" customWidth="1" min="3" max="3"/>
    <col width="9" customWidth="1" min="4" max="4"/>
    <col width="9" customWidth="1" min="5" max="5"/>
    <col width="7" customWidth="1" min="6" max="6"/>
    <col width="7" customWidth="1" min="7" max="7"/>
    <col width="8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12" customWidth="1" min="16" max="16"/>
    <col width="13" customWidth="1" min="17" max="17"/>
    <col width="14" customWidth="1" min="18" max="18"/>
  </cols>
  <sheetData>
    <row r="1">
      <c r="A1" s="1" t="inlineStr">
        <is>
          <t>HOT COST</t>
        </is>
      </c>
      <c r="C1" t="inlineStr">
        <is>
          <t>Friday 17 Nov 2017</t>
        </is>
      </c>
      <c r="F1" s="2" t="inlineStr">
        <is>
          <t>DAY #25</t>
        </is>
      </c>
    </row>
    <row r="2">
      <c r="A2" s="3" t="inlineStr">
        <is>
          <t>enter CALL, LUNCH, WRAP as decimal hours (e.g. 7.5) — everything right of WRAP computes</t>
        </is>
      </c>
    </row>
    <row r="4">
      <c r="A4" s="4" t="inlineStr">
        <is>
          <t>ACCT</t>
        </is>
      </c>
      <c r="B4" s="4" t="inlineStr">
        <is>
          <t>NAME</t>
        </is>
      </c>
      <c r="C4" s="4" t="inlineStr">
        <is>
          <t>POSITION</t>
        </is>
      </c>
      <c r="D4" s="4" t="inlineStr">
        <is>
          <t>UNION</t>
        </is>
      </c>
      <c r="E4" s="4" t="inlineStr">
        <is>
          <t>RATE</t>
        </is>
      </c>
      <c r="F4" s="4" t="inlineStr">
        <is>
          <t>CALL</t>
        </is>
      </c>
      <c r="G4" s="4" t="inlineStr">
        <is>
          <t>LUNCH</t>
        </is>
      </c>
      <c r="H4" s="4" t="inlineStr">
        <is>
          <t>LUNCH 2</t>
        </is>
      </c>
      <c r="I4" s="4" t="inlineStr">
        <is>
          <t>WRAP</t>
        </is>
      </c>
      <c r="J4" s="4" t="inlineStr">
        <is>
          <t>HRS</t>
        </is>
      </c>
      <c r="K4" s="4" t="inlineStr">
        <is>
          <t>MP'S</t>
        </is>
      </c>
      <c r="L4" s="4" t="inlineStr">
        <is>
          <t>ST</t>
        </is>
      </c>
      <c r="M4" s="4" t="inlineStr">
        <is>
          <t>1.5X</t>
        </is>
      </c>
      <c r="N4" s="4" t="inlineStr">
        <is>
          <t>2X</t>
        </is>
      </c>
      <c r="O4" s="4" t="inlineStr">
        <is>
          <t>3X</t>
        </is>
      </c>
      <c r="P4" s="4" t="inlineStr">
        <is>
          <t>TOTAL / DAY</t>
        </is>
      </c>
      <c r="Q4" s="4" t="inlineStr">
        <is>
          <t>BUDGET / DAY</t>
        </is>
      </c>
      <c r="R4" s="4" t="inlineStr">
        <is>
          <t>(OVER) / UNDER</t>
        </is>
      </c>
    </row>
    <row r="5">
      <c r="B5" s="2" t="inlineStr">
        <is>
          <t>LEAD#</t>
        </is>
      </c>
    </row>
    <row r="6">
      <c r="A6" s="5" t="inlineStr">
        <is>
          <t>1401</t>
        </is>
      </c>
      <c r="B6" s="5" t="inlineStr">
        <is>
          <t>Linda Cardellini</t>
        </is>
      </c>
      <c r="C6" s="5" t="inlineStr">
        <is>
          <t>"ANNA"</t>
        </is>
      </c>
      <c r="D6" s="5" t="inlineStr"/>
      <c r="E6" s="6" t="n">
        <v>1211.8</v>
      </c>
      <c r="F6" s="5" t="n"/>
      <c r="G6" s="5" t="n"/>
      <c r="H6" s="5" t="n"/>
      <c r="I6" s="5" t="n"/>
      <c r="J6" s="7">
        <f>IF(AND(N(F6)&gt;0,N(I6)&gt;0),I6-F6-IF(N(G6)&gt;0,0.5,0)-IF(N(H6)&gt;0,0.5,0),0)</f>
        <v/>
      </c>
      <c r="K6" s="5" t="n"/>
      <c r="L6" s="7">
        <f>MIN(J6,8.0)</f>
        <v/>
      </c>
      <c r="M6" s="7">
        <f>MAX(0,MIN(J6,12)-8.0)</f>
        <v/>
      </c>
      <c r="N6" s="7">
        <f>MAX(0,J6-12)</f>
        <v/>
      </c>
      <c r="O6" s="5" t="n"/>
      <c r="P6" s="6">
        <f>E6*(L6+M6*1.5+N6*2+O6*3+N(K6))</f>
        <v/>
      </c>
      <c r="Q6" s="6" t="n">
        <v>1211.8</v>
      </c>
      <c r="R6" s="6">
        <f>Q6-P6</f>
        <v/>
      </c>
    </row>
    <row r="7">
      <c r="P7" s="2" t="inlineStr">
        <is>
          <t>LEAD# LABOR</t>
        </is>
      </c>
      <c r="R7" s="8">
        <f>SUM(R6:R6)</f>
        <v/>
      </c>
    </row>
    <row r="9">
      <c r="B9" s="2" t="inlineStr">
        <is>
          <t>LEAD#2&amp;#</t>
        </is>
      </c>
    </row>
    <row r="10">
      <c r="A10" s="5" t="inlineStr">
        <is>
          <t>1402</t>
        </is>
      </c>
      <c r="B10" s="5" t="inlineStr">
        <is>
          <t>Roman Christou</t>
        </is>
      </c>
      <c r="C10" s="5" t="inlineStr">
        <is>
          <t>"CHRIS"(Minor)</t>
        </is>
      </c>
      <c r="D10" s="5" t="inlineStr"/>
      <c r="E10" s="6" t="n">
        <v>755.4</v>
      </c>
      <c r="F10" s="5" t="n"/>
      <c r="G10" s="5" t="n"/>
      <c r="H10" s="5" t="n"/>
      <c r="I10" s="5" t="n"/>
      <c r="J10" s="7">
        <f>IF(AND(N(F10)&gt;0,N(I10)&gt;0),I10-F10-IF(N(G10)&gt;0,0.5,0)-IF(N(H10)&gt;0,0.5,0),0)</f>
        <v/>
      </c>
      <c r="K10" s="5" t="n"/>
      <c r="L10" s="7">
        <f>MIN(J10,8.0)</f>
        <v/>
      </c>
      <c r="M10" s="7">
        <f>MAX(0,MIN(J10,12)-8.0)</f>
        <v/>
      </c>
      <c r="N10" s="7">
        <f>MAX(0,J10-12)</f>
        <v/>
      </c>
      <c r="O10" s="5" t="n"/>
      <c r="P10" s="6">
        <f>E10*(L10+M10*1.5+N10*2+O10*3+N(K10))</f>
        <v/>
      </c>
      <c r="Q10" s="6" t="n">
        <v>755.4</v>
      </c>
      <c r="R10" s="6">
        <f>Q10-P10</f>
        <v/>
      </c>
    </row>
    <row r="11">
      <c r="A11" s="5" t="inlineStr">
        <is>
          <t>1402</t>
        </is>
      </c>
      <c r="B11" s="5" t="inlineStr">
        <is>
          <t>Jaynee Lynee Kinchen</t>
        </is>
      </c>
      <c r="C11" s="5" t="inlineStr">
        <is>
          <t>"SAMANTHA"(Minor)</t>
        </is>
      </c>
      <c r="D11" s="5" t="inlineStr"/>
      <c r="E11" s="6" t="n">
        <v>755.4</v>
      </c>
      <c r="F11" s="5" t="n"/>
      <c r="G11" s="5" t="n"/>
      <c r="H11" s="5" t="n"/>
      <c r="I11" s="5" t="n"/>
      <c r="J11" s="7">
        <f>IF(AND(N(F11)&gt;0,N(I11)&gt;0),I11-F11-IF(N(G11)&gt;0,0.5,0)-IF(N(H11)&gt;0,0.5,0),0)</f>
        <v/>
      </c>
      <c r="K11" s="5" t="n"/>
      <c r="L11" s="7">
        <f>MIN(J11,8.0)</f>
        <v/>
      </c>
      <c r="M11" s="7">
        <f>MAX(0,MIN(J11,12)-8.0)</f>
        <v/>
      </c>
      <c r="N11" s="7">
        <f>MAX(0,J11-12)</f>
        <v/>
      </c>
      <c r="O11" s="5" t="n"/>
      <c r="P11" s="6">
        <f>E11*(L11+M11*1.5+N11*2+O11*3+N(K11))</f>
        <v/>
      </c>
      <c r="Q11" s="6" t="n">
        <v>755.4</v>
      </c>
      <c r="R11" s="6">
        <f>Q11-P11</f>
        <v/>
      </c>
    </row>
    <row r="12">
      <c r="P12" s="2" t="inlineStr">
        <is>
          <t>LEAD#2&amp;# LABOR</t>
        </is>
      </c>
      <c r="R12" s="8">
        <f>SUM(R10:R11)</f>
        <v/>
      </c>
    </row>
    <row r="14">
      <c r="B14" s="2" t="inlineStr">
        <is>
          <t>OTHERLEADCAST</t>
        </is>
      </c>
    </row>
    <row r="15">
      <c r="A15" s="5" t="inlineStr">
        <is>
          <t>1403</t>
        </is>
      </c>
      <c r="B15" s="5" t="inlineStr">
        <is>
          <t>Raymond Cruz</t>
        </is>
      </c>
      <c r="C15" s="5" t="inlineStr">
        <is>
          <t>"RAFAELOLVERA"</t>
        </is>
      </c>
      <c r="D15" s="5" t="inlineStr"/>
      <c r="E15" s="6" t="n">
        <v>1211.8</v>
      </c>
      <c r="F15" s="5" t="n"/>
      <c r="G15" s="5" t="n"/>
      <c r="H15" s="5" t="n"/>
      <c r="I15" s="5" t="n"/>
      <c r="J15" s="7">
        <f>IF(AND(N(F15)&gt;0,N(I15)&gt;0),I15-F15-IF(N(G15)&gt;0,0.5,0)-IF(N(H15)&gt;0,0.5,0),0)</f>
        <v/>
      </c>
      <c r="K15" s="5" t="n"/>
      <c r="L15" s="7">
        <f>MIN(J15,8.0)</f>
        <v/>
      </c>
      <c r="M15" s="7">
        <f>MAX(0,MIN(J15,12)-8.0)</f>
        <v/>
      </c>
      <c r="N15" s="7">
        <f>MAX(0,J15-12)</f>
        <v/>
      </c>
      <c r="O15" s="5" t="n"/>
      <c r="P15" s="6">
        <f>E15*(L15+M15*1.5+N15*2+O15*3+N(K15))</f>
        <v/>
      </c>
      <c r="Q15" s="6" t="n">
        <v>1211.8</v>
      </c>
      <c r="R15" s="6">
        <f>Q15-P15</f>
        <v/>
      </c>
    </row>
    <row r="16">
      <c r="A16" s="5" t="inlineStr">
        <is>
          <t>1403</t>
        </is>
      </c>
      <c r="B16" s="5" t="inlineStr">
        <is>
          <t>Marisol Ramirez</t>
        </is>
      </c>
      <c r="C16" s="5" t="inlineStr">
        <is>
          <t>"LALLORONA"</t>
        </is>
      </c>
      <c r="D16" s="5" t="inlineStr"/>
      <c r="E16" s="6" t="n">
        <v>1211.8</v>
      </c>
      <c r="F16" s="5" t="n"/>
      <c r="G16" s="5" t="n"/>
      <c r="H16" s="5" t="n"/>
      <c r="I16" s="5" t="n"/>
      <c r="J16" s="7">
        <f>IF(AND(N(F16)&gt;0,N(I16)&gt;0),I16-F16-IF(N(G16)&gt;0,0.5,0)-IF(N(H16)&gt;0,0.5,0),0)</f>
        <v/>
      </c>
      <c r="K16" s="5" t="n"/>
      <c r="L16" s="7">
        <f>MIN(J16,8.0)</f>
        <v/>
      </c>
      <c r="M16" s="7">
        <f>MAX(0,MIN(J16,12)-8.0)</f>
        <v/>
      </c>
      <c r="N16" s="7">
        <f>MAX(0,J16-12)</f>
        <v/>
      </c>
      <c r="O16" s="5" t="n"/>
      <c r="P16" s="6">
        <f>E16*(L16+M16*1.5+N16*2+O16*3+N(K16))</f>
        <v/>
      </c>
      <c r="Q16" s="6" t="n">
        <v>1211.8</v>
      </c>
      <c r="R16" s="6">
        <f>Q16-P16</f>
        <v/>
      </c>
    </row>
    <row r="17">
      <c r="A17" s="5" t="inlineStr">
        <is>
          <t>1403</t>
        </is>
      </c>
      <c r="B17" s="5" t="inlineStr">
        <is>
          <t>Patrica Velasquez</t>
        </is>
      </c>
      <c r="C17" s="5" t="inlineStr">
        <is>
          <t>"PATRICIA"</t>
        </is>
      </c>
      <c r="D17" s="5" t="inlineStr"/>
      <c r="E17" s="6" t="n">
        <v>1972</v>
      </c>
      <c r="F17" s="5" t="n"/>
      <c r="G17" s="5" t="n"/>
      <c r="H17" s="5" t="n"/>
      <c r="I17" s="5" t="n"/>
      <c r="J17" s="7">
        <f>IF(AND(N(F17)&gt;0,N(I17)&gt;0),I17-F17-IF(N(G17)&gt;0,0.5,0)-IF(N(H17)&gt;0,0.5,0),0)</f>
        <v/>
      </c>
      <c r="K17" s="5" t="n"/>
      <c r="L17" s="7">
        <f>MIN(J17,8.0)</f>
        <v/>
      </c>
      <c r="M17" s="7">
        <f>MAX(0,MIN(J17,12)-8.0)</f>
        <v/>
      </c>
      <c r="N17" s="7">
        <f>MAX(0,J17-12)</f>
        <v/>
      </c>
      <c r="O17" s="5" t="n"/>
      <c r="P17" s="6">
        <f>E17*(L17+M17*1.5+N17*2+O17*3+N(K17))</f>
        <v/>
      </c>
      <c r="Q17" s="6" t="n">
        <v>1972</v>
      </c>
      <c r="R17" s="6">
        <f>Q17-P17</f>
        <v/>
      </c>
    </row>
    <row r="18">
      <c r="P18" s="2" t="inlineStr">
        <is>
          <t>OTHERLEADCAST LABOR</t>
        </is>
      </c>
      <c r="R18" s="8">
        <f>SUM(R15:R17)</f>
        <v/>
      </c>
    </row>
    <row r="20">
      <c r="B20" s="2" t="inlineStr">
        <is>
          <t>SUPPORTINGCAST</t>
        </is>
      </c>
    </row>
    <row r="21">
      <c r="A21" s="5" t="inlineStr">
        <is>
          <t>1404</t>
        </is>
      </c>
      <c r="B21" s="5" t="inlineStr">
        <is>
          <t>Sean Patrick Thomas</t>
        </is>
      </c>
      <c r="C21" s="5" t="inlineStr">
        <is>
          <t>DETCOOPER</t>
        </is>
      </c>
      <c r="D21" s="5" t="inlineStr"/>
      <c r="E21" s="6" t="n">
        <v>1211.8</v>
      </c>
      <c r="F21" s="5" t="n"/>
      <c r="G21" s="5" t="n"/>
      <c r="H21" s="5" t="n"/>
      <c r="I21" s="5" t="n"/>
      <c r="J21" s="7">
        <f>IF(AND(N(F21)&gt;0,N(I21)&gt;0),I21-F21-IF(N(G21)&gt;0,0.5,0)-IF(N(H21)&gt;0,0.5,0),0)</f>
        <v/>
      </c>
      <c r="K21" s="5" t="n"/>
      <c r="L21" s="7">
        <f>MIN(J21,8.0)</f>
        <v/>
      </c>
      <c r="M21" s="7">
        <f>MAX(0,MIN(J21,12)-8.0)</f>
        <v/>
      </c>
      <c r="N21" s="7">
        <f>MAX(0,J21-12)</f>
        <v/>
      </c>
      <c r="O21" s="5" t="n"/>
      <c r="P21" s="6">
        <f>E21*(L21+M21*1.5+N21*2+O21*3+N(K21))</f>
        <v/>
      </c>
      <c r="Q21" s="6" t="n">
        <v>1211.8</v>
      </c>
      <c r="R21" s="6">
        <f>Q21-P21</f>
        <v/>
      </c>
    </row>
    <row r="22">
      <c r="A22" s="5" t="inlineStr">
        <is>
          <t>1404</t>
        </is>
      </c>
      <c r="B22" s="5" t="inlineStr">
        <is>
          <t>Tony Amendola</t>
        </is>
      </c>
      <c r="C22" s="5" t="inlineStr">
        <is>
          <t>"FATHERPEREZ"</t>
        </is>
      </c>
      <c r="D22" s="5" t="inlineStr"/>
      <c r="E22" s="6" t="n">
        <v>1972</v>
      </c>
      <c r="F22" s="5" t="n"/>
      <c r="G22" s="5" t="n"/>
      <c r="H22" s="5" t="n"/>
      <c r="I22" s="5" t="n"/>
      <c r="J22" s="7">
        <f>IF(AND(N(F22)&gt;0,N(I22)&gt;0),I22-F22-IF(N(G22)&gt;0,0.5,0)-IF(N(H22)&gt;0,0.5,0),0)</f>
        <v/>
      </c>
      <c r="K22" s="5" t="n"/>
      <c r="L22" s="7">
        <f>MIN(J22,8.0)</f>
        <v/>
      </c>
      <c r="M22" s="7">
        <f>MAX(0,MIN(J22,12)-8.0)</f>
        <v/>
      </c>
      <c r="N22" s="7">
        <f>MAX(0,J22-12)</f>
        <v/>
      </c>
      <c r="O22" s="5" t="n"/>
      <c r="P22" s="6">
        <f>E22*(L22+M22*1.5+N22*2+O22*3+N(K22))</f>
        <v/>
      </c>
      <c r="Q22" s="6" t="n">
        <v>1972</v>
      </c>
      <c r="R22" s="6">
        <f>Q22-P22</f>
        <v/>
      </c>
    </row>
    <row r="23">
      <c r="P23" s="2" t="inlineStr">
        <is>
          <t>SUPPORTINGCAST LABOR</t>
        </is>
      </c>
      <c r="R23" s="8">
        <f>SUM(R21:R22)</f>
        <v/>
      </c>
    </row>
    <row r="25">
      <c r="B25" s="2" t="inlineStr">
        <is>
          <t>DAYPLAYERS</t>
        </is>
      </c>
    </row>
    <row r="26">
      <c r="A26" s="5" t="inlineStr">
        <is>
          <t>1405</t>
        </is>
      </c>
      <c r="B26" s="5" t="inlineStr">
        <is>
          <t>Kristy Keng(Drop/Pickup)</t>
        </is>
      </c>
      <c r="C26" s="5" t="inlineStr">
        <is>
          <t>"DONNA"</t>
        </is>
      </c>
      <c r="D26" s="5" t="inlineStr"/>
      <c r="E26" s="6" t="n">
        <v>1972</v>
      </c>
      <c r="F26" s="5" t="n"/>
      <c r="G26" s="5" t="n"/>
      <c r="H26" s="5" t="n"/>
      <c r="I26" s="5" t="n"/>
      <c r="J26" s="7">
        <f>IF(AND(N(F26)&gt;0,N(I26)&gt;0),I26-F26-IF(N(G26)&gt;0,0.5,0)-IF(N(H26)&gt;0,0.5,0),0)</f>
        <v/>
      </c>
      <c r="K26" s="5" t="n"/>
      <c r="L26" s="7">
        <f>MIN(J26,8.0)</f>
        <v/>
      </c>
      <c r="M26" s="7">
        <f>MAX(0,MIN(J26,12)-8.0)</f>
        <v/>
      </c>
      <c r="N26" s="7">
        <f>MAX(0,J26-12)</f>
        <v/>
      </c>
      <c r="O26" s="5" t="n"/>
      <c r="P26" s="6">
        <f>E26*(L26+M26*1.5+N26*2+O26*3+N(K26))</f>
        <v/>
      </c>
      <c r="Q26" s="6" t="n">
        <v>1972</v>
      </c>
      <c r="R26" s="6">
        <f>Q26-P26</f>
        <v/>
      </c>
    </row>
    <row r="27">
      <c r="A27" s="5" t="inlineStr">
        <is>
          <t>1405</t>
        </is>
      </c>
      <c r="B27" s="5" t="inlineStr">
        <is>
          <t>Oliver Alexander</t>
        </is>
      </c>
      <c r="C27" s="5" t="inlineStr">
        <is>
          <t>"CARLOS"(Minor)</t>
        </is>
      </c>
      <c r="D27" s="5" t="inlineStr"/>
      <c r="E27" s="6" t="n">
        <v>1249</v>
      </c>
      <c r="F27" s="5" t="n"/>
      <c r="G27" s="5" t="n"/>
      <c r="H27" s="5" t="n"/>
      <c r="I27" s="5" t="n"/>
      <c r="J27" s="7">
        <f>IF(AND(N(F27)&gt;0,N(I27)&gt;0),I27-F27-IF(N(G27)&gt;0,0.5,0)-IF(N(H27)&gt;0,0.5,0),0)</f>
        <v/>
      </c>
      <c r="K27" s="5" t="n"/>
      <c r="L27" s="7">
        <f>MIN(J27,8.0)</f>
        <v/>
      </c>
      <c r="M27" s="7">
        <f>MAX(0,MIN(J27,12)-8.0)</f>
        <v/>
      </c>
      <c r="N27" s="7">
        <f>MAX(0,J27-12)</f>
        <v/>
      </c>
      <c r="O27" s="5" t="n"/>
      <c r="P27" s="6">
        <f>E27*(L27+M27*1.5+N27*2+O27*3+N(K27))</f>
        <v/>
      </c>
      <c r="Q27" s="6" t="n">
        <v>1249</v>
      </c>
      <c r="R27" s="6">
        <f>Q27-P27</f>
        <v/>
      </c>
    </row>
    <row r="28">
      <c r="A28" s="5" t="inlineStr">
        <is>
          <t>1405</t>
        </is>
      </c>
      <c r="B28" s="5" t="inlineStr">
        <is>
          <t>Adam Lewandowski</t>
        </is>
      </c>
      <c r="C28" s="5" t="inlineStr">
        <is>
          <t>"TOMAS"(Minor)</t>
        </is>
      </c>
      <c r="D28" s="5" t="inlineStr"/>
      <c r="E28" s="6" t="n">
        <v>1249</v>
      </c>
      <c r="F28" s="5" t="n"/>
      <c r="G28" s="5" t="n"/>
      <c r="H28" s="5" t="n"/>
      <c r="I28" s="5" t="n"/>
      <c r="J28" s="7">
        <f>IF(AND(N(F28)&gt;0,N(I28)&gt;0),I28-F28-IF(N(G28)&gt;0,0.5,0)-IF(N(H28)&gt;0,0.5,0),0)</f>
        <v/>
      </c>
      <c r="K28" s="5" t="n"/>
      <c r="L28" s="7">
        <f>MIN(J28,8.0)</f>
        <v/>
      </c>
      <c r="M28" s="7">
        <f>MAX(0,MIN(J28,12)-8.0)</f>
        <v/>
      </c>
      <c r="N28" s="7">
        <f>MAX(0,J28-12)</f>
        <v/>
      </c>
      <c r="O28" s="5" t="n"/>
      <c r="P28" s="6">
        <f>E28*(L28+M28*1.5+N28*2+O28*3+N(K28))</f>
        <v/>
      </c>
      <c r="Q28" s="6" t="n">
        <v>1249</v>
      </c>
      <c r="R28" s="6">
        <f>Q28-P28</f>
        <v/>
      </c>
    </row>
    <row r="29">
      <c r="A29" s="5" t="inlineStr">
        <is>
          <t>1405</t>
        </is>
      </c>
      <c r="B29" s="5" t="inlineStr">
        <is>
          <t>Paul Rodriquez Jr.</t>
        </is>
      </c>
      <c r="C29" s="5" t="inlineStr">
        <is>
          <t>"OFFICERCLARO"</t>
        </is>
      </c>
      <c r="D29" s="5" t="inlineStr"/>
      <c r="E29" s="6" t="n">
        <v>1972</v>
      </c>
      <c r="F29" s="5" t="n"/>
      <c r="G29" s="5" t="n"/>
      <c r="H29" s="5" t="n"/>
      <c r="I29" s="5" t="n"/>
      <c r="J29" s="7">
        <f>IF(AND(N(F29)&gt;0,N(I29)&gt;0),I29-F29-IF(N(G29)&gt;0,0.5,0)-IF(N(H29)&gt;0,0.5,0),0)</f>
        <v/>
      </c>
      <c r="K29" s="5" t="n"/>
      <c r="L29" s="7">
        <f>MIN(J29,8.0)</f>
        <v/>
      </c>
      <c r="M29" s="7">
        <f>MAX(0,MIN(J29,12)-8.0)</f>
        <v/>
      </c>
      <c r="N29" s="7">
        <f>MAX(0,J29-12)</f>
        <v/>
      </c>
      <c r="O29" s="5" t="n"/>
      <c r="P29" s="6">
        <f>E29*(L29+M29*1.5+N29*2+O29*3+N(K29))</f>
        <v/>
      </c>
      <c r="Q29" s="6" t="n">
        <v>1972</v>
      </c>
      <c r="R29" s="6">
        <f>Q29-P29</f>
        <v/>
      </c>
    </row>
    <row r="30">
      <c r="A30" s="5" t="inlineStr">
        <is>
          <t>1405</t>
        </is>
      </c>
      <c r="B30" s="5" t="inlineStr">
        <is>
          <t>Sophia Santi</t>
        </is>
      </c>
      <c r="C30" s="5" t="inlineStr">
        <is>
          <t>"FEMALECUSTOMER"</t>
        </is>
      </c>
      <c r="D30" s="5" t="inlineStr"/>
      <c r="E30" s="6" t="n">
        <v>1972</v>
      </c>
      <c r="F30" s="5" t="n"/>
      <c r="G30" s="5" t="n"/>
      <c r="H30" s="5" t="n"/>
      <c r="I30" s="5" t="n"/>
      <c r="J30" s="7">
        <f>IF(AND(N(F30)&gt;0,N(I30)&gt;0),I30-F30-IF(N(G30)&gt;0,0.5,0)-IF(N(H30)&gt;0,0.5,0),0)</f>
        <v/>
      </c>
      <c r="K30" s="5" t="n"/>
      <c r="L30" s="7">
        <f>MIN(J30,8.0)</f>
        <v/>
      </c>
      <c r="M30" s="7">
        <f>MAX(0,MIN(J30,12)-8.0)</f>
        <v/>
      </c>
      <c r="N30" s="7">
        <f>MAX(0,J30-12)</f>
        <v/>
      </c>
      <c r="O30" s="5" t="n"/>
      <c r="P30" s="6">
        <f>E30*(L30+M30*1.5+N30*2+O30*3+N(K30))</f>
        <v/>
      </c>
      <c r="Q30" s="6" t="n">
        <v>1972</v>
      </c>
      <c r="R30" s="6">
        <f>Q30-P30</f>
        <v/>
      </c>
    </row>
    <row r="31">
      <c r="A31" s="5" t="inlineStr">
        <is>
          <t>1405</t>
        </is>
      </c>
      <c r="B31" s="5" t="inlineStr">
        <is>
          <t>John Marshall Jones</t>
        </is>
      </c>
      <c r="C31" s="5" t="inlineStr">
        <is>
          <t>"MRHANKINS"</t>
        </is>
      </c>
      <c r="D31" s="5" t="inlineStr"/>
      <c r="E31" s="6" t="n">
        <v>1972</v>
      </c>
      <c r="F31" s="5" t="n"/>
      <c r="G31" s="5" t="n"/>
      <c r="H31" s="5" t="n"/>
      <c r="I31" s="5" t="n"/>
      <c r="J31" s="7">
        <f>IF(AND(N(F31)&gt;0,N(I31)&gt;0),I31-F31-IF(N(G31)&gt;0,0.5,0)-IF(N(H31)&gt;0,0.5,0),0)</f>
        <v/>
      </c>
      <c r="K31" s="5" t="n"/>
      <c r="L31" s="7">
        <f>MIN(J31,8.0)</f>
        <v/>
      </c>
      <c r="M31" s="7">
        <f>MAX(0,MIN(J31,12)-8.0)</f>
        <v/>
      </c>
      <c r="N31" s="7">
        <f>MAX(0,J31-12)</f>
        <v/>
      </c>
      <c r="O31" s="5" t="n"/>
      <c r="P31" s="6">
        <f>E31*(L31+M31*1.5+N31*2+O31*3+N(K31))</f>
        <v/>
      </c>
      <c r="Q31" s="6" t="n">
        <v>1972</v>
      </c>
      <c r="R31" s="6">
        <f>Q31-P31</f>
        <v/>
      </c>
    </row>
    <row r="32">
      <c r="A32" s="5" t="inlineStr">
        <is>
          <t>1405</t>
        </is>
      </c>
      <c r="B32" s="5" t="inlineStr">
        <is>
          <t>Madeleine Mcgraw</t>
        </is>
      </c>
      <c r="C32" s="5" t="inlineStr">
        <is>
          <t>"APRIL"(Minor)</t>
        </is>
      </c>
      <c r="D32" s="5" t="inlineStr"/>
      <c r="E32" s="6" t="n">
        <v>1249</v>
      </c>
      <c r="F32" s="5" t="n"/>
      <c r="G32" s="5" t="n"/>
      <c r="H32" s="5" t="n"/>
      <c r="I32" s="5" t="n"/>
      <c r="J32" s="7">
        <f>IF(AND(N(F32)&gt;0,N(I32)&gt;0),I32-F32-IF(N(G32)&gt;0,0.5,0)-IF(N(H32)&gt;0,0.5,0),0)</f>
        <v/>
      </c>
      <c r="K32" s="5" t="n"/>
      <c r="L32" s="7">
        <f>MIN(J32,8.0)</f>
        <v/>
      </c>
      <c r="M32" s="7">
        <f>MAX(0,MIN(J32,12)-8.0)</f>
        <v/>
      </c>
      <c r="N32" s="7">
        <f>MAX(0,J32-12)</f>
        <v/>
      </c>
      <c r="O32" s="5" t="n"/>
      <c r="P32" s="6">
        <f>E32*(L32+M32*1.5+N32*2+O32*3+N(K32))</f>
        <v/>
      </c>
      <c r="Q32" s="6" t="n">
        <v>1249</v>
      </c>
      <c r="R32" s="6">
        <f>Q32-P32</f>
        <v/>
      </c>
    </row>
    <row r="33">
      <c r="P33" s="2" t="inlineStr">
        <is>
          <t>DAYPLAYERS LABOR</t>
        </is>
      </c>
      <c r="R33" s="8">
        <f>SUM(R26:R32)</f>
        <v/>
      </c>
    </row>
    <row r="35">
      <c r="B35" s="2" t="inlineStr">
        <is>
          <t>STUNTCOORD</t>
        </is>
      </c>
    </row>
    <row r="36">
      <c r="A36" s="5" t="inlineStr">
        <is>
          <t>1406</t>
        </is>
      </c>
      <c r="B36" s="5" t="inlineStr">
        <is>
          <t>Rob King</t>
        </is>
      </c>
      <c r="C36" s="5" t="inlineStr">
        <is>
          <t>STUNTCOORDINATOR</t>
        </is>
      </c>
      <c r="D36" s="5" t="inlineStr"/>
      <c r="E36" s="6" t="n">
        <v>1173</v>
      </c>
      <c r="F36" s="5" t="n"/>
      <c r="G36" s="5" t="n"/>
      <c r="H36" s="5" t="n"/>
      <c r="I36" s="5" t="n"/>
      <c r="J36" s="7">
        <f>IF(AND(N(F36)&gt;0,N(I36)&gt;0),I36-F36-IF(N(G36)&gt;0,0.5,0)-IF(N(H36)&gt;0,0.5,0),0)</f>
        <v/>
      </c>
      <c r="K36" s="5" t="n"/>
      <c r="L36" s="7">
        <f>MIN(J36,8.0)</f>
        <v/>
      </c>
      <c r="M36" s="7">
        <f>MAX(0,MIN(J36,12)-8.0)</f>
        <v/>
      </c>
      <c r="N36" s="7">
        <f>MAX(0,J36-12)</f>
        <v/>
      </c>
      <c r="O36" s="5" t="n"/>
      <c r="P36" s="6">
        <f>E36*(L36+M36*1.5+N36*2+O36*3+N(K36))</f>
        <v/>
      </c>
      <c r="Q36" s="6" t="n">
        <v>1173</v>
      </c>
      <c r="R36" s="6">
        <f>Q36-P36</f>
        <v/>
      </c>
    </row>
    <row r="37">
      <c r="P37" s="2" t="inlineStr">
        <is>
          <t>STUNTCOORD LABOR</t>
        </is>
      </c>
      <c r="R37" s="8">
        <f>SUM(R36:R36)</f>
        <v/>
      </c>
    </row>
    <row r="39">
      <c r="B39" s="2" t="inlineStr">
        <is>
          <t>TEACHER/WELFAREWORKER</t>
        </is>
      </c>
    </row>
    <row r="40">
      <c r="A40" s="5" t="inlineStr">
        <is>
          <t>1412</t>
        </is>
      </c>
      <c r="B40" s="5" t="inlineStr"/>
      <c r="C40" s="5" t="inlineStr">
        <is>
          <t>WELFAREWORKER</t>
        </is>
      </c>
      <c r="D40" s="5" t="inlineStr">
        <is>
          <t>Local884</t>
        </is>
      </c>
      <c r="E40" s="6" t="n">
        <v>25.5</v>
      </c>
      <c r="F40" s="5" t="n"/>
      <c r="G40" s="5" t="n"/>
      <c r="H40" s="5" t="n"/>
      <c r="I40" s="5" t="n"/>
      <c r="J40" s="7">
        <f>IF(AND(N(F40)&gt;0,N(I40)&gt;0),I40-F40-IF(N(G40)&gt;0,0.5,0)-IF(N(H40)&gt;0,0.5,0),0)</f>
        <v/>
      </c>
      <c r="K40" s="5" t="n"/>
      <c r="L40" s="7">
        <f>MIN(J40,8.0)</f>
        <v/>
      </c>
      <c r="M40" s="7">
        <f>MAX(0,MIN(J40,12)-8.0)</f>
        <v/>
      </c>
      <c r="N40" s="7">
        <f>MAX(0,J40-12)</f>
        <v/>
      </c>
      <c r="O40" s="5" t="n"/>
      <c r="P40" s="6">
        <f>E40*(L40+M40*1.5+N40*2+O40*3+N(K40))</f>
        <v/>
      </c>
      <c r="Q40" s="6" t="n">
        <v>280.5</v>
      </c>
      <c r="R40" s="6">
        <f>Q40-P40</f>
        <v/>
      </c>
    </row>
    <row r="41">
      <c r="A41" s="5" t="inlineStr">
        <is>
          <t>1412</t>
        </is>
      </c>
      <c r="B41" s="5" t="inlineStr"/>
      <c r="C41" s="5" t="inlineStr">
        <is>
          <t>ADDLWELFAREWORKER</t>
        </is>
      </c>
      <c r="D41" s="5" t="inlineStr">
        <is>
          <t>Local884</t>
        </is>
      </c>
      <c r="E41" s="6" t="n">
        <v>25.5</v>
      </c>
      <c r="F41" s="5" t="n"/>
      <c r="G41" s="5" t="n"/>
      <c r="H41" s="5" t="n"/>
      <c r="I41" s="5" t="n"/>
      <c r="J41" s="7">
        <f>IF(AND(N(F41)&gt;0,N(I41)&gt;0),I41-F41-IF(N(G41)&gt;0,0.5,0)-IF(N(H41)&gt;0,0.5,0),0)</f>
        <v/>
      </c>
      <c r="K41" s="5" t="n"/>
      <c r="L41" s="7">
        <f>MIN(J41,8.0)</f>
        <v/>
      </c>
      <c r="M41" s="7">
        <f>MAX(0,MIN(J41,12)-8.0)</f>
        <v/>
      </c>
      <c r="N41" s="7">
        <f>MAX(0,J41-12)</f>
        <v/>
      </c>
      <c r="O41" s="5" t="n"/>
      <c r="P41" s="6">
        <f>E41*(L41+M41*1.5+N41*2+O41*3+N(K41))</f>
        <v/>
      </c>
      <c r="Q41" s="6" t="n">
        <v>280.5</v>
      </c>
      <c r="R41" s="6">
        <f>Q41-P41</f>
        <v/>
      </c>
    </row>
    <row r="42">
      <c r="P42" s="2" t="inlineStr">
        <is>
          <t>TEACHER/WELFAREWORKER LABOR</t>
        </is>
      </c>
      <c r="R42" s="8">
        <f>SUM(R40:R41)</f>
        <v/>
      </c>
    </row>
    <row r="44">
      <c r="B44" s="2" t="inlineStr">
        <is>
          <t>CASTINGDIRECTORS</t>
        </is>
      </c>
    </row>
    <row r="45">
      <c r="A45" s="5" t="inlineStr">
        <is>
          <t>1413</t>
        </is>
      </c>
      <c r="B45" s="5" t="inlineStr">
        <is>
          <t>Rich Delia</t>
        </is>
      </c>
      <c r="C45" s="5" t="inlineStr">
        <is>
          <t>CASTINGDIRECTOR</t>
        </is>
      </c>
      <c r="D45" s="5" t="inlineStr"/>
      <c r="E45" s="6" t="n">
        <v>600</v>
      </c>
      <c r="F45" s="5" t="n"/>
      <c r="G45" s="5" t="n"/>
      <c r="H45" s="5" t="n"/>
      <c r="I45" s="5" t="n"/>
      <c r="J45" s="7">
        <f>IF(AND(N(F45)&gt;0,N(I45)&gt;0),I45-F45-IF(N(G45)&gt;0,0.5,0)-IF(N(H45)&gt;0,0.5,0),0)</f>
        <v/>
      </c>
      <c r="K45" s="5" t="n"/>
      <c r="L45" s="7">
        <f>MIN(J45,8.0)</f>
        <v/>
      </c>
      <c r="M45" s="7">
        <f>MAX(0,MIN(J45,12)-8.0)</f>
        <v/>
      </c>
      <c r="N45" s="7">
        <f>MAX(0,J45-12)</f>
        <v/>
      </c>
      <c r="O45" s="5" t="n"/>
      <c r="P45" s="6">
        <f>E45*(L45+M45*1.5+N45*2+O45*3+N(K45))</f>
        <v/>
      </c>
      <c r="Q45" s="5" t="n"/>
      <c r="R45" s="6">
        <f>Q45-P45</f>
        <v/>
      </c>
    </row>
    <row r="46">
      <c r="P46" s="2" t="inlineStr">
        <is>
          <t>CASTINGDIRECTORS LABOR</t>
        </is>
      </c>
      <c r="R46" s="8">
        <f>SUM(R45:R45)</f>
        <v/>
      </c>
    </row>
    <row r="48">
      <c r="B48" s="2" t="inlineStr">
        <is>
          <t>CASTINGASSOCIATES/ASSISTANTS</t>
        </is>
      </c>
    </row>
    <row r="49">
      <c r="A49" s="5" t="inlineStr">
        <is>
          <t>1414</t>
        </is>
      </c>
      <c r="B49" s="5" t="inlineStr">
        <is>
          <t>Adam Richards</t>
        </is>
      </c>
      <c r="C49" s="5" t="inlineStr">
        <is>
          <t>CASTINGASSOCIATE</t>
        </is>
      </c>
      <c r="D49" s="5" t="inlineStr"/>
      <c r="E49" s="6" t="n">
        <v>200</v>
      </c>
      <c r="F49" s="5" t="n"/>
      <c r="G49" s="5" t="n"/>
      <c r="H49" s="5" t="n"/>
      <c r="I49" s="5" t="n"/>
      <c r="J49" s="7">
        <f>IF(AND(N(F49)&gt;0,N(I49)&gt;0),I49-F49-IF(N(G49)&gt;0,0.5,0)-IF(N(H49)&gt;0,0.5,0),0)</f>
        <v/>
      </c>
      <c r="K49" s="5" t="n"/>
      <c r="L49" s="7">
        <f>MIN(J49,8.0)</f>
        <v/>
      </c>
      <c r="M49" s="7">
        <f>MAX(0,MIN(J49,12)-8.0)</f>
        <v/>
      </c>
      <c r="N49" s="7">
        <f>MAX(0,J49-12)</f>
        <v/>
      </c>
      <c r="O49" s="5" t="n"/>
      <c r="P49" s="6">
        <f>E49*(L49+M49*1.5+N49*2+O49*3+N(K49))</f>
        <v/>
      </c>
      <c r="Q49" s="5" t="n"/>
      <c r="R49" s="6">
        <f>Q49-P49</f>
        <v/>
      </c>
    </row>
    <row r="50">
      <c r="P50" s="2" t="inlineStr">
        <is>
          <t>CASTINGASSOCIATES/ASSISTANTS LABOR</t>
        </is>
      </c>
      <c r="R50" s="8">
        <f>SUM(R49:R49)</f>
        <v/>
      </c>
    </row>
    <row r="52">
      <c r="B52" s="2" t="inlineStr">
        <is>
          <t>CASTDRIVERS/VEHICLES</t>
        </is>
      </c>
    </row>
    <row r="53">
      <c r="A53" s="5" t="inlineStr">
        <is>
          <t>1455</t>
        </is>
      </c>
      <c r="B53" s="5" t="inlineStr"/>
      <c r="C53" s="5" t="inlineStr">
        <is>
          <t>CAST 3-RMDRIVER</t>
        </is>
      </c>
      <c r="D53" s="5" t="inlineStr">
        <is>
          <t>Local399</t>
        </is>
      </c>
      <c r="E53" s="6" t="n">
        <v>32.36</v>
      </c>
      <c r="F53" s="5" t="n"/>
      <c r="G53" s="5" t="n"/>
      <c r="H53" s="5" t="n"/>
      <c r="I53" s="5" t="n"/>
      <c r="J53" s="7">
        <f>IF(AND(N(F53)&gt;0,N(I53)&gt;0),I53-F53-IF(N(G53)&gt;0,0.5,0)-IF(N(H53)&gt;0,0.5,0),0)</f>
        <v/>
      </c>
      <c r="K53" s="5" t="n"/>
      <c r="L53" s="7">
        <f>MIN(J53,8.0)</f>
        <v/>
      </c>
      <c r="M53" s="7">
        <f>MAX(0,MIN(J53,12)-8.0)</f>
        <v/>
      </c>
      <c r="N53" s="7">
        <f>MAX(0,J53-12)</f>
        <v/>
      </c>
      <c r="O53" s="5" t="n"/>
      <c r="P53" s="6">
        <f>E53*(L53+M53*1.5+N53*2+O53*3+N(K53))</f>
        <v/>
      </c>
      <c r="Q53" s="6" t="n">
        <v>501.58</v>
      </c>
      <c r="R53" s="6">
        <f>Q53-P53</f>
        <v/>
      </c>
    </row>
    <row r="54">
      <c r="A54" s="5" t="inlineStr">
        <is>
          <t>1455</t>
        </is>
      </c>
      <c r="B54" s="5" t="inlineStr"/>
      <c r="C54" s="5" t="inlineStr">
        <is>
          <t>CASTMINIVANDRIVER</t>
        </is>
      </c>
      <c r="D54" s="5" t="inlineStr">
        <is>
          <t>Local399</t>
        </is>
      </c>
      <c r="E54" s="6" t="n">
        <v>32.36</v>
      </c>
      <c r="F54" s="5" t="n"/>
      <c r="G54" s="5" t="n"/>
      <c r="H54" s="5" t="n"/>
      <c r="I54" s="5" t="n"/>
      <c r="J54" s="7">
        <f>IF(AND(N(F54)&gt;0,N(I54)&gt;0),I54-F54-IF(N(G54)&gt;0,0.5,0)-IF(N(H54)&gt;0,0.5,0),0)</f>
        <v/>
      </c>
      <c r="K54" s="5" t="n"/>
      <c r="L54" s="7">
        <f>MIN(J54,8.0)</f>
        <v/>
      </c>
      <c r="M54" s="7">
        <f>MAX(0,MIN(J54,12)-8.0)</f>
        <v/>
      </c>
      <c r="N54" s="7">
        <f>MAX(0,J54-12)</f>
        <v/>
      </c>
      <c r="O54" s="5" t="n"/>
      <c r="P54" s="6">
        <f>E54*(L54+M54*1.5+N54*2+O54*3+N(K54))</f>
        <v/>
      </c>
      <c r="Q54" s="6" t="n">
        <v>501.58</v>
      </c>
      <c r="R54" s="6">
        <f>Q54-P54</f>
        <v/>
      </c>
    </row>
    <row r="55">
      <c r="P55" s="2" t="inlineStr">
        <is>
          <t>CASTDRIVERS/VEHICLES LABOR</t>
        </is>
      </c>
      <c r="R55" s="8">
        <f>SUM(R53:R54)</f>
        <v/>
      </c>
    </row>
    <row r="57">
      <c r="B57" s="2" t="inlineStr">
        <is>
          <t>PRODUCTIONMANAGER</t>
        </is>
      </c>
    </row>
    <row r="58">
      <c r="A58" s="5" t="inlineStr">
        <is>
          <t>2001</t>
        </is>
      </c>
      <c r="B58" s="5" t="inlineStr">
        <is>
          <t>Carrie Morrow</t>
        </is>
      </c>
      <c r="C58" s="5" t="inlineStr">
        <is>
          <t>UPM</t>
        </is>
      </c>
      <c r="D58" s="5" t="inlineStr">
        <is>
          <t>DGA</t>
        </is>
      </c>
      <c r="E58" s="6" t="n">
        <v>1063.6</v>
      </c>
      <c r="F58" s="5" t="n"/>
      <c r="G58" s="5" t="n"/>
      <c r="H58" s="5" t="n"/>
      <c r="I58" s="5" t="n"/>
      <c r="J58" s="7">
        <f>IF(AND(N(F58)&gt;0,N(I58)&gt;0),I58-F58-IF(N(G58)&gt;0,0.5,0)-IF(N(H58)&gt;0,0.5,0),0)</f>
        <v/>
      </c>
      <c r="K58" s="5" t="n"/>
      <c r="L58" s="7">
        <f>MIN(J58,8.0)</f>
        <v/>
      </c>
      <c r="M58" s="7">
        <f>MAX(0,MIN(J58,12)-8.0)</f>
        <v/>
      </c>
      <c r="N58" s="7">
        <f>MAX(0,J58-12)</f>
        <v/>
      </c>
      <c r="O58" s="5" t="n"/>
      <c r="P58" s="6">
        <f>E58*(L58+M58*1.5+N58*2+O58*3+N(K58))</f>
        <v/>
      </c>
      <c r="Q58" s="6" t="n">
        <v>1063.6</v>
      </c>
      <c r="R58" s="6">
        <f>Q58-P58</f>
        <v/>
      </c>
    </row>
    <row r="59">
      <c r="P59" s="2" t="inlineStr">
        <is>
          <t>PRODUCTIONMANAGER LABOR</t>
        </is>
      </c>
      <c r="R59" s="8">
        <f>SUM(R58:R58)</f>
        <v/>
      </c>
    </row>
    <row r="61">
      <c r="B61" s="2" t="inlineStr">
        <is>
          <t>1STASSTDIRECTOR</t>
        </is>
      </c>
    </row>
    <row r="62">
      <c r="A62" s="5" t="inlineStr">
        <is>
          <t>2002</t>
        </is>
      </c>
      <c r="B62" s="5" t="inlineStr">
        <is>
          <t>James Moran</t>
        </is>
      </c>
      <c r="C62" s="5" t="inlineStr">
        <is>
          <t>1STASSTDIRECTOR</t>
        </is>
      </c>
      <c r="D62" s="5" t="inlineStr">
        <is>
          <t>DGA</t>
        </is>
      </c>
      <c r="E62" s="6" t="n">
        <v>985.6</v>
      </c>
      <c r="F62" s="5" t="n"/>
      <c r="G62" s="5" t="n"/>
      <c r="H62" s="5" t="n"/>
      <c r="I62" s="5" t="n"/>
      <c r="J62" s="7">
        <f>IF(AND(N(F62)&gt;0,N(I62)&gt;0),I62-F62-IF(N(G62)&gt;0,0.5,0)-IF(N(H62)&gt;0,0.5,0),0)</f>
        <v/>
      </c>
      <c r="K62" s="5" t="n"/>
      <c r="L62" s="7">
        <f>MIN(J62,8.0)</f>
        <v/>
      </c>
      <c r="M62" s="7">
        <f>MAX(0,MIN(J62,12)-8.0)</f>
        <v/>
      </c>
      <c r="N62" s="7">
        <f>MAX(0,J62-12)</f>
        <v/>
      </c>
      <c r="O62" s="5" t="n"/>
      <c r="P62" s="6">
        <f>E62*(L62+M62*1.5+N62*2+O62*3+N(K62))</f>
        <v/>
      </c>
      <c r="Q62" s="6" t="n">
        <v>985.6</v>
      </c>
      <c r="R62" s="6">
        <f>Q62-P62</f>
        <v/>
      </c>
    </row>
    <row r="63">
      <c r="P63" s="2" t="inlineStr">
        <is>
          <t>1STASSTDIRECTOR LABOR</t>
        </is>
      </c>
      <c r="R63" s="8">
        <f>SUM(R62:R62)</f>
        <v/>
      </c>
    </row>
    <row r="65">
      <c r="B65" s="2" t="inlineStr">
        <is>
          <t>2NDASSTDIRECTORS</t>
        </is>
      </c>
    </row>
    <row r="66">
      <c r="A66" s="5" t="inlineStr">
        <is>
          <t>2003</t>
        </is>
      </c>
      <c r="B66" s="5" t="inlineStr">
        <is>
          <t>Mark Newland</t>
        </is>
      </c>
      <c r="C66" s="5" t="inlineStr">
        <is>
          <t>KEY 2NDA. D.</t>
        </is>
      </c>
      <c r="D66" s="5" t="inlineStr">
        <is>
          <t>DGA</t>
        </is>
      </c>
      <c r="E66" s="6" t="n">
        <v>674.6</v>
      </c>
      <c r="F66" s="5" t="n"/>
      <c r="G66" s="5" t="n"/>
      <c r="H66" s="5" t="n"/>
      <c r="I66" s="5" t="n"/>
      <c r="J66" s="7">
        <f>IF(AND(N(F66)&gt;0,N(I66)&gt;0),I66-F66-IF(N(G66)&gt;0,0.5,0)-IF(N(H66)&gt;0,0.5,0),0)</f>
        <v/>
      </c>
      <c r="K66" s="5" t="n"/>
      <c r="L66" s="7">
        <f>MIN(J66,8.0)</f>
        <v/>
      </c>
      <c r="M66" s="7">
        <f>MAX(0,MIN(J66,12)-8.0)</f>
        <v/>
      </c>
      <c r="N66" s="7">
        <f>MAX(0,J66-12)</f>
        <v/>
      </c>
      <c r="O66" s="5" t="n"/>
      <c r="P66" s="6">
        <f>E66*(L66+M66*1.5+N66*2+O66*3+N(K66))</f>
        <v/>
      </c>
      <c r="Q66" s="6" t="n">
        <v>674.6</v>
      </c>
      <c r="R66" s="6">
        <f>Q66-P66</f>
        <v/>
      </c>
    </row>
    <row r="67">
      <c r="A67" s="5" t="inlineStr">
        <is>
          <t>2003</t>
        </is>
      </c>
      <c r="B67" s="5" t="inlineStr"/>
      <c r="C67" s="5" t="inlineStr">
        <is>
          <t>2ND 2NDA. D.</t>
        </is>
      </c>
      <c r="D67" s="5" t="inlineStr">
        <is>
          <t>DGA</t>
        </is>
      </c>
      <c r="E67" s="6" t="n">
        <v>526</v>
      </c>
      <c r="F67" s="5" t="n"/>
      <c r="G67" s="5" t="n"/>
      <c r="H67" s="5" t="n"/>
      <c r="I67" s="5" t="n"/>
      <c r="J67" s="7">
        <f>IF(AND(N(F67)&gt;0,N(I67)&gt;0),I67-F67-IF(N(G67)&gt;0,0.5,0)-IF(N(H67)&gt;0,0.5,0),0)</f>
        <v/>
      </c>
      <c r="K67" s="5" t="n"/>
      <c r="L67" s="7">
        <f>MIN(J67,8.0)</f>
        <v/>
      </c>
      <c r="M67" s="7">
        <f>MAX(0,MIN(J67,12)-8.0)</f>
        <v/>
      </c>
      <c r="N67" s="7">
        <f>MAX(0,J67-12)</f>
        <v/>
      </c>
      <c r="O67" s="5" t="n"/>
      <c r="P67" s="6">
        <f>E67*(L67+M67*1.5+N67*2+O67*3+N(K67))</f>
        <v/>
      </c>
      <c r="Q67" s="6" t="n">
        <v>526</v>
      </c>
      <c r="R67" s="6">
        <f>Q67-P67</f>
        <v/>
      </c>
    </row>
    <row r="68">
      <c r="P68" s="2" t="inlineStr">
        <is>
          <t>2NDASSTDIRECTORS LABOR</t>
        </is>
      </c>
      <c r="R68" s="8">
        <f>SUM(R66:R67)</f>
        <v/>
      </c>
    </row>
    <row r="70">
      <c r="B70" s="2" t="inlineStr">
        <is>
          <t>SCRIPTSUPERVISOR</t>
        </is>
      </c>
    </row>
    <row r="71">
      <c r="A71" s="5" t="inlineStr">
        <is>
          <t>2005</t>
        </is>
      </c>
      <c r="B71" s="5" t="inlineStr">
        <is>
          <t>Renata Amador</t>
        </is>
      </c>
      <c r="C71" s="5" t="inlineStr">
        <is>
          <t>SCRIPTSUPERVISOR</t>
        </is>
      </c>
      <c r="D71" s="5" t="inlineStr">
        <is>
          <t>Local871</t>
        </is>
      </c>
      <c r="E71" s="6" t="n">
        <v>25.5</v>
      </c>
      <c r="F71" s="5" t="n"/>
      <c r="G71" s="5" t="n"/>
      <c r="H71" s="5" t="n"/>
      <c r="I71" s="5" t="n"/>
      <c r="J71" s="7">
        <f>IF(AND(N(F71)&gt;0,N(I71)&gt;0),I71-F71-IF(N(G71)&gt;0,0.5,0)-IF(N(H71)&gt;0,0.5,0),0)</f>
        <v/>
      </c>
      <c r="K71" s="5" t="n"/>
      <c r="L71" s="7">
        <f>MIN(J71,10.0)</f>
        <v/>
      </c>
      <c r="M71" s="7">
        <f>MAX(0,MIN(J71,12)-10.0)</f>
        <v/>
      </c>
      <c r="N71" s="7">
        <f>MAX(0,J71-12)</f>
        <v/>
      </c>
      <c r="O71" s="5" t="n"/>
      <c r="P71" s="6">
        <f>E71*(L71+M71*1.5+N71*2+O71*3+N(K71))</f>
        <v/>
      </c>
      <c r="Q71" s="6" t="n">
        <v>439.87</v>
      </c>
      <c r="R71" s="6">
        <f>Q71-P71</f>
        <v/>
      </c>
    </row>
    <row r="72">
      <c r="P72" s="2" t="inlineStr">
        <is>
          <t>SCRIPTSUPERVISOR LABOR</t>
        </is>
      </c>
      <c r="R72" s="8">
        <f>SUM(R71:R71)</f>
        <v/>
      </c>
    </row>
    <row r="74">
      <c r="B74" s="2" t="inlineStr">
        <is>
          <t>LOCATIONMANAGERS</t>
        </is>
      </c>
    </row>
    <row r="75">
      <c r="A75" s="5" t="inlineStr">
        <is>
          <t>2007</t>
        </is>
      </c>
      <c r="B75" s="5" t="inlineStr">
        <is>
          <t>Stacey Brashear-Rodriquez</t>
        </is>
      </c>
      <c r="C75" s="5" t="inlineStr">
        <is>
          <t>LOCATIONMANAGER</t>
        </is>
      </c>
      <c r="D75" s="5" t="inlineStr">
        <is>
          <t>Local399</t>
        </is>
      </c>
      <c r="E75" s="6" t="n">
        <v>557.6</v>
      </c>
      <c r="F75" s="5" t="n"/>
      <c r="G75" s="5" t="n"/>
      <c r="H75" s="5" t="n"/>
      <c r="I75" s="5" t="n"/>
      <c r="J75" s="7">
        <f>IF(AND(N(F75)&gt;0,N(I75)&gt;0),I75-F75-IF(N(G75)&gt;0,0.5,0)-IF(N(H75)&gt;0,0.5,0),0)</f>
        <v/>
      </c>
      <c r="K75" s="5" t="n"/>
      <c r="L75" s="7">
        <f>MIN(J75,8.0)</f>
        <v/>
      </c>
      <c r="M75" s="7">
        <f>MAX(0,MIN(J75,12)-8.0)</f>
        <v/>
      </c>
      <c r="N75" s="7">
        <f>MAX(0,J75-12)</f>
        <v/>
      </c>
      <c r="O75" s="5" t="n"/>
      <c r="P75" s="6">
        <f>E75*(L75+M75*1.5+N75*2+O75*3+N(K75))</f>
        <v/>
      </c>
      <c r="Q75" s="6" t="n">
        <v>557.6</v>
      </c>
      <c r="R75" s="6">
        <f>Q75-P75</f>
        <v/>
      </c>
    </row>
    <row r="76">
      <c r="P76" s="2" t="inlineStr">
        <is>
          <t>LOCATIONMANAGERS LABOR</t>
        </is>
      </c>
      <c r="R76" s="8">
        <f>SUM(R75:R75)</f>
        <v/>
      </c>
    </row>
    <row r="78">
      <c r="B78" s="2" t="inlineStr">
        <is>
          <t>ASSISTANTLOCATIONMANAGERS</t>
        </is>
      </c>
    </row>
    <row r="79">
      <c r="A79" s="5" t="inlineStr">
        <is>
          <t>2008</t>
        </is>
      </c>
      <c r="B79" s="5" t="inlineStr">
        <is>
          <t>Rich Heichel</t>
        </is>
      </c>
      <c r="C79" s="5" t="inlineStr">
        <is>
          <t>KEYASSTLOCATIONMGR#1</t>
        </is>
      </c>
      <c r="D79" s="5" t="inlineStr">
        <is>
          <t>Local399</t>
        </is>
      </c>
      <c r="E79" s="6" t="n">
        <v>334.2</v>
      </c>
      <c r="F79" s="5" t="n"/>
      <c r="G79" s="5" t="n"/>
      <c r="H79" s="5" t="n"/>
      <c r="I79" s="5" t="n"/>
      <c r="J79" s="7">
        <f>IF(AND(N(F79)&gt;0,N(I79)&gt;0),I79-F79-IF(N(G79)&gt;0,0.5,0)-IF(N(H79)&gt;0,0.5,0),0)</f>
        <v/>
      </c>
      <c r="K79" s="5" t="n"/>
      <c r="L79" s="7">
        <f>MIN(J79,8.0)</f>
        <v/>
      </c>
      <c r="M79" s="7">
        <f>MAX(0,MIN(J79,12)-8.0)</f>
        <v/>
      </c>
      <c r="N79" s="7">
        <f>MAX(0,J79-12)</f>
        <v/>
      </c>
      <c r="O79" s="5" t="n"/>
      <c r="P79" s="6">
        <f>E79*(L79+M79*1.5+N79*2+O79*3+N(K79))</f>
        <v/>
      </c>
      <c r="Q79" s="6" t="n">
        <v>334.2</v>
      </c>
      <c r="R79" s="6">
        <f>Q79-P79</f>
        <v/>
      </c>
    </row>
    <row r="80">
      <c r="A80" s="5" t="inlineStr">
        <is>
          <t>2008</t>
        </is>
      </c>
      <c r="B80" s="5" t="inlineStr">
        <is>
          <t>Jason Mc Cauley</t>
        </is>
      </c>
      <c r="C80" s="5" t="inlineStr">
        <is>
          <t>LOCATIONASST</t>
        </is>
      </c>
      <c r="D80" s="5" t="inlineStr">
        <is>
          <t>Local399</t>
        </is>
      </c>
      <c r="E80" s="6" t="n">
        <v>229</v>
      </c>
      <c r="F80" s="5" t="n"/>
      <c r="G80" s="5" t="n"/>
      <c r="H80" s="5" t="n"/>
      <c r="I80" s="5" t="n"/>
      <c r="J80" s="7">
        <f>IF(AND(N(F80)&gt;0,N(I80)&gt;0),I80-F80-IF(N(G80)&gt;0,0.5,0)-IF(N(H80)&gt;0,0.5,0),0)</f>
        <v/>
      </c>
      <c r="K80" s="5" t="n"/>
      <c r="L80" s="7">
        <f>MIN(J80,8.0)</f>
        <v/>
      </c>
      <c r="M80" s="7">
        <f>MAX(0,MIN(J80,12)-8.0)</f>
        <v/>
      </c>
      <c r="N80" s="7">
        <f>MAX(0,J80-12)</f>
        <v/>
      </c>
      <c r="O80" s="5" t="n"/>
      <c r="P80" s="6">
        <f>E80*(L80+M80*1.5+N80*2+O80*3+N(K80))</f>
        <v/>
      </c>
      <c r="Q80" s="6" t="n">
        <v>229</v>
      </c>
      <c r="R80" s="6">
        <f>Q80-P80</f>
        <v/>
      </c>
    </row>
    <row r="81">
      <c r="P81" s="2" t="inlineStr">
        <is>
          <t>ASSISTANTLOCATIONMANAGERS LABOR</t>
        </is>
      </c>
      <c r="R81" s="8">
        <f>SUM(R79:R80)</f>
        <v/>
      </c>
    </row>
    <row r="83">
      <c r="B83" s="2" t="inlineStr">
        <is>
          <t>PRODUCTIONCOORDINATOR</t>
        </is>
      </c>
    </row>
    <row r="84">
      <c r="A84" s="5" t="inlineStr">
        <is>
          <t>2009</t>
        </is>
      </c>
      <c r="B84" s="5" t="inlineStr">
        <is>
          <t>Ali Griffith</t>
        </is>
      </c>
      <c r="C84" s="5" t="inlineStr">
        <is>
          <t>PRODUCTIONOFCCOORD</t>
        </is>
      </c>
      <c r="D84" s="5" t="inlineStr"/>
      <c r="E84" s="6" t="n">
        <v>360</v>
      </c>
      <c r="F84" s="5" t="n"/>
      <c r="G84" s="5" t="n"/>
      <c r="H84" s="5" t="n"/>
      <c r="I84" s="5" t="n"/>
      <c r="J84" s="7">
        <f>IF(AND(N(F84)&gt;0,N(I84)&gt;0),I84-F84-IF(N(G84)&gt;0,0.5,0)-IF(N(H84)&gt;0,0.5,0),0)</f>
        <v/>
      </c>
      <c r="K84" s="5" t="n"/>
      <c r="L84" s="7">
        <f>MIN(J84,8.0)</f>
        <v/>
      </c>
      <c r="M84" s="7">
        <f>MAX(0,MIN(J84,12)-8.0)</f>
        <v/>
      </c>
      <c r="N84" s="7">
        <f>MAX(0,J84-12)</f>
        <v/>
      </c>
      <c r="O84" s="5" t="n"/>
      <c r="P84" s="6">
        <f>E84*(L84+M84*1.5+N84*2+O84*3+N(K84))</f>
        <v/>
      </c>
      <c r="Q84" s="6" t="n">
        <v>360</v>
      </c>
      <c r="R84" s="6">
        <f>Q84-P84</f>
        <v/>
      </c>
    </row>
    <row r="85">
      <c r="P85" s="2" t="inlineStr">
        <is>
          <t>PRODUCTIONCOORDINATOR LABOR</t>
        </is>
      </c>
      <c r="R85" s="8">
        <f>SUM(R84:R84)</f>
        <v/>
      </c>
    </row>
    <row r="87">
      <c r="B87" s="2" t="inlineStr">
        <is>
          <t>ASSTPRODUCTIONCOORDINATOR</t>
        </is>
      </c>
    </row>
    <row r="88">
      <c r="A88" s="5" t="inlineStr">
        <is>
          <t>2010</t>
        </is>
      </c>
      <c r="B88" s="5" t="inlineStr">
        <is>
          <t>Holly Dellocono</t>
        </is>
      </c>
      <c r="C88" s="5" t="inlineStr">
        <is>
          <t>APOC</t>
        </is>
      </c>
      <c r="D88" s="5" t="inlineStr">
        <is>
          <t>Local871</t>
        </is>
      </c>
      <c r="E88" s="6" t="n">
        <v>20.57</v>
      </c>
      <c r="F88" s="5" t="n"/>
      <c r="G88" s="5" t="n"/>
      <c r="H88" s="5" t="n"/>
      <c r="I88" s="5" t="n"/>
      <c r="J88" s="7">
        <f>IF(AND(N(F88)&gt;0,N(I88)&gt;0),I88-F88-IF(N(G88)&gt;0,0.5,0)-IF(N(H88)&gt;0,0.5,0),0)</f>
        <v/>
      </c>
      <c r="K88" s="5" t="n"/>
      <c r="L88" s="7">
        <f>MIN(J88,10.0)</f>
        <v/>
      </c>
      <c r="M88" s="7">
        <f>MAX(0,MIN(J88,12)-10.0)</f>
        <v/>
      </c>
      <c r="N88" s="7">
        <f>MAX(0,J88-12)</f>
        <v/>
      </c>
      <c r="O88" s="5" t="n"/>
      <c r="P88" s="6">
        <f>E88*(L88+M88*1.5+N88*2+O88*3+N(K88))</f>
        <v/>
      </c>
      <c r="Q88" s="6" t="n">
        <v>287.98</v>
      </c>
      <c r="R88" s="6">
        <f>Q88-P88</f>
        <v/>
      </c>
    </row>
    <row r="89">
      <c r="P89" s="2" t="inlineStr">
        <is>
          <t>ASSTPRODUCTIONCOORDINATOR LABOR</t>
        </is>
      </c>
      <c r="R89" s="8">
        <f>SUM(R88:R88)</f>
        <v/>
      </c>
    </row>
    <row r="91">
      <c r="B91" s="2" t="inlineStr">
        <is>
          <t>OFFICESTAFFASSISTANTS</t>
        </is>
      </c>
    </row>
    <row r="92">
      <c r="A92" s="5" t="inlineStr">
        <is>
          <t>2011</t>
        </is>
      </c>
      <c r="B92" s="5" t="inlineStr">
        <is>
          <t>John Humber</t>
        </is>
      </c>
      <c r="C92" s="5" t="inlineStr">
        <is>
          <t>OFFICEPA#1</t>
        </is>
      </c>
      <c r="D92" s="5" t="inlineStr"/>
      <c r="E92" s="6" t="n">
        <v>22.5</v>
      </c>
      <c r="F92" s="5" t="n"/>
      <c r="G92" s="5" t="n"/>
      <c r="H92" s="5" t="n"/>
      <c r="I92" s="5" t="n"/>
      <c r="J92" s="7">
        <f>IF(AND(N(F92)&gt;0,N(I92)&gt;0),I92-F92-IF(N(G92)&gt;0,0.5,0)-IF(N(H92)&gt;0,0.5,0),0)</f>
        <v/>
      </c>
      <c r="K92" s="5" t="n"/>
      <c r="L92" s="7">
        <f>MIN(J92,8.0)</f>
        <v/>
      </c>
      <c r="M92" s="7">
        <f>MAX(0,MIN(J92,12)-8.0)</f>
        <v/>
      </c>
      <c r="N92" s="7">
        <f>MAX(0,J92-12)</f>
        <v/>
      </c>
      <c r="O92" s="5" t="n"/>
      <c r="P92" s="6">
        <f>E92*(L92+M92*1.5+N92*2+O92*3+N(K92))</f>
        <v/>
      </c>
      <c r="Q92" s="6" t="n">
        <v>168</v>
      </c>
      <c r="R92" s="6">
        <f>Q92-P92</f>
        <v/>
      </c>
    </row>
    <row r="93">
      <c r="A93" s="5" t="inlineStr">
        <is>
          <t>2011</t>
        </is>
      </c>
      <c r="B93" s="5" t="inlineStr">
        <is>
          <t>Sarah Semenas</t>
        </is>
      </c>
      <c r="C93" s="5" t="inlineStr">
        <is>
          <t>OFFICEPA#2</t>
        </is>
      </c>
      <c r="D93" s="5" t="inlineStr"/>
      <c r="E93" s="6" t="n">
        <v>22.5</v>
      </c>
      <c r="F93" s="5" t="n"/>
      <c r="G93" s="5" t="n"/>
      <c r="H93" s="5" t="n"/>
      <c r="I93" s="5" t="n"/>
      <c r="J93" s="7">
        <f>IF(AND(N(F93)&gt;0,N(I93)&gt;0),I93-F93-IF(N(G93)&gt;0,0.5,0)-IF(N(H93)&gt;0,0.5,0),0)</f>
        <v/>
      </c>
      <c r="K93" s="5" t="n"/>
      <c r="L93" s="7">
        <f>MIN(J93,8.0)</f>
        <v/>
      </c>
      <c r="M93" s="7">
        <f>MAX(0,MIN(J93,12)-8.0)</f>
        <v/>
      </c>
      <c r="N93" s="7">
        <f>MAX(0,J93-12)</f>
        <v/>
      </c>
      <c r="O93" s="5" t="n"/>
      <c r="P93" s="6">
        <f>E93*(L93+M93*1.5+N93*2+O93*3+N(K93))</f>
        <v/>
      </c>
      <c r="Q93" s="6" t="n">
        <v>168</v>
      </c>
      <c r="R93" s="6">
        <f>Q93-P93</f>
        <v/>
      </c>
    </row>
    <row r="94">
      <c r="P94" s="2" t="inlineStr">
        <is>
          <t>OFFICESTAFFASSISTANTS LABOR</t>
        </is>
      </c>
      <c r="R94" s="8">
        <f>SUM(R92:R93)</f>
        <v/>
      </c>
    </row>
    <row r="96">
      <c r="B96" s="2" t="inlineStr">
        <is>
          <t>SETSTAFFASSISTANTS</t>
        </is>
      </c>
    </row>
    <row r="97">
      <c r="A97" s="5" t="inlineStr">
        <is>
          <t>2012</t>
        </is>
      </c>
      <c r="B97" s="5" t="inlineStr">
        <is>
          <t>Paula Henry</t>
        </is>
      </c>
      <c r="C97" s="5" t="inlineStr">
        <is>
          <t>KEYSETPA</t>
        </is>
      </c>
      <c r="D97" s="5" t="inlineStr"/>
      <c r="E97" s="6" t="n">
        <v>12</v>
      </c>
      <c r="F97" s="5" t="n"/>
      <c r="G97" s="5" t="n"/>
      <c r="H97" s="5" t="n"/>
      <c r="I97" s="5" t="n"/>
      <c r="J97" s="7">
        <f>IF(AND(N(F97)&gt;0,N(I97)&gt;0),I97-F97-IF(N(G97)&gt;0,0.5,0)-IF(N(H97)&gt;0,0.5,0),0)</f>
        <v/>
      </c>
      <c r="K97" s="5" t="n"/>
      <c r="L97" s="7">
        <f>MIN(J97,8.0)</f>
        <v/>
      </c>
      <c r="M97" s="7">
        <f>MAX(0,MIN(J97,12)-8.0)</f>
        <v/>
      </c>
      <c r="N97" s="7">
        <f>MAX(0,J97-12)</f>
        <v/>
      </c>
      <c r="O97" s="5" t="n"/>
      <c r="P97" s="6">
        <f>E97*(L97+M97*1.5+N97*2+O97*3+N(K97))</f>
        <v/>
      </c>
      <c r="Q97" s="6" t="n">
        <v>216</v>
      </c>
      <c r="R97" s="6">
        <f>Q97-P97</f>
        <v/>
      </c>
    </row>
    <row r="98">
      <c r="A98" s="5" t="inlineStr">
        <is>
          <t>2012</t>
        </is>
      </c>
      <c r="B98" s="5" t="inlineStr"/>
      <c r="C98" s="5" t="inlineStr">
        <is>
          <t>SETPA#2</t>
        </is>
      </c>
      <c r="D98" s="5" t="inlineStr"/>
      <c r="E98" s="6" t="n">
        <v>12</v>
      </c>
      <c r="F98" s="5" t="n"/>
      <c r="G98" s="5" t="n"/>
      <c r="H98" s="5" t="n"/>
      <c r="I98" s="5" t="n"/>
      <c r="J98" s="7">
        <f>IF(AND(N(F98)&gt;0,N(I98)&gt;0),I98-F98-IF(N(G98)&gt;0,0.5,0)-IF(N(H98)&gt;0,0.5,0),0)</f>
        <v/>
      </c>
      <c r="K98" s="5" t="n"/>
      <c r="L98" s="7">
        <f>MIN(J98,8.0)</f>
        <v/>
      </c>
      <c r="M98" s="7">
        <f>MAX(0,MIN(J98,12)-8.0)</f>
        <v/>
      </c>
      <c r="N98" s="7">
        <f>MAX(0,J98-12)</f>
        <v/>
      </c>
      <c r="O98" s="5" t="n"/>
      <c r="P98" s="6">
        <f>E98*(L98+M98*1.5+N98*2+O98*3+N(K98))</f>
        <v/>
      </c>
      <c r="Q98" s="6" t="n">
        <v>216</v>
      </c>
      <c r="R98" s="6">
        <f>Q98-P98</f>
        <v/>
      </c>
    </row>
    <row r="99">
      <c r="A99" s="5" t="inlineStr">
        <is>
          <t>2012</t>
        </is>
      </c>
      <c r="B99" s="5" t="inlineStr"/>
      <c r="C99" s="5" t="inlineStr">
        <is>
          <t>SETPA#3</t>
        </is>
      </c>
      <c r="D99" s="5" t="inlineStr"/>
      <c r="E99" s="6" t="n">
        <v>12</v>
      </c>
      <c r="F99" s="5" t="n"/>
      <c r="G99" s="5" t="n"/>
      <c r="H99" s="5" t="n"/>
      <c r="I99" s="5" t="n"/>
      <c r="J99" s="7">
        <f>IF(AND(N(F99)&gt;0,N(I99)&gt;0),I99-F99-IF(N(G99)&gt;0,0.5,0)-IF(N(H99)&gt;0,0.5,0),0)</f>
        <v/>
      </c>
      <c r="K99" s="5" t="n"/>
      <c r="L99" s="7">
        <f>MIN(J99,8.0)</f>
        <v/>
      </c>
      <c r="M99" s="7">
        <f>MAX(0,MIN(J99,12)-8.0)</f>
        <v/>
      </c>
      <c r="N99" s="7">
        <f>MAX(0,J99-12)</f>
        <v/>
      </c>
      <c r="O99" s="5" t="n"/>
      <c r="P99" s="6">
        <f>E99*(L99+M99*1.5+N99*2+O99*3+N(K99))</f>
        <v/>
      </c>
      <c r="Q99" s="6" t="n">
        <v>216</v>
      </c>
      <c r="R99" s="6">
        <f>Q99-P99</f>
        <v/>
      </c>
    </row>
    <row r="100">
      <c r="A100" s="5" t="inlineStr">
        <is>
          <t>2012</t>
        </is>
      </c>
      <c r="B100" s="5" t="inlineStr"/>
      <c r="C100" s="5" t="inlineStr">
        <is>
          <t>SETPA#4</t>
        </is>
      </c>
      <c r="D100" s="5" t="inlineStr"/>
      <c r="E100" s="6" t="n">
        <v>12</v>
      </c>
      <c r="F100" s="5" t="n"/>
      <c r="G100" s="5" t="n"/>
      <c r="H100" s="5" t="n"/>
      <c r="I100" s="5" t="n"/>
      <c r="J100" s="7">
        <f>IF(AND(N(F100)&gt;0,N(I100)&gt;0),I100-F100-IF(N(G100)&gt;0,0.5,0)-IF(N(H100)&gt;0,0.5,0),0)</f>
        <v/>
      </c>
      <c r="K100" s="5" t="n"/>
      <c r="L100" s="7">
        <f>MIN(J100,8.0)</f>
        <v/>
      </c>
      <c r="M100" s="7">
        <f>MAX(0,MIN(J100,12)-8.0)</f>
        <v/>
      </c>
      <c r="N100" s="7">
        <f>MAX(0,J100-12)</f>
        <v/>
      </c>
      <c r="O100" s="5" t="n"/>
      <c r="P100" s="6">
        <f>E100*(L100+M100*1.5+N100*2+O100*3+N(K100))</f>
        <v/>
      </c>
      <c r="Q100" s="6" t="n">
        <v>216</v>
      </c>
      <c r="R100" s="6">
        <f>Q100-P100</f>
        <v/>
      </c>
    </row>
    <row r="101">
      <c r="P101" s="2" t="inlineStr">
        <is>
          <t>SETSTAFFASSISTANTS LABOR</t>
        </is>
      </c>
      <c r="R101" s="8">
        <f>SUM(R97:R100)</f>
        <v/>
      </c>
    </row>
    <row r="103">
      <c r="B103" s="2" t="inlineStr">
        <is>
          <t>PRODUCTIONACCOUNTANT</t>
        </is>
      </c>
    </row>
    <row r="104">
      <c r="A104" s="5" t="inlineStr">
        <is>
          <t>2013</t>
        </is>
      </c>
      <c r="B104" s="5" t="inlineStr">
        <is>
          <t>Joel Tokarsky</t>
        </is>
      </c>
      <c r="C104" s="5" t="inlineStr">
        <is>
          <t>PRODUCTIONACCOUNTANT</t>
        </is>
      </c>
      <c r="D104" s="5" t="inlineStr">
        <is>
          <t>Local871</t>
        </is>
      </c>
      <c r="E104" s="6" t="n">
        <v>740</v>
      </c>
      <c r="F104" s="5" t="n"/>
      <c r="G104" s="5" t="n"/>
      <c r="H104" s="5" t="n"/>
      <c r="I104" s="5" t="n"/>
      <c r="J104" s="7">
        <f>IF(AND(N(F104)&gt;0,N(I104)&gt;0),I104-F104-IF(N(G104)&gt;0,0.5,0)-IF(N(H104)&gt;0,0.5,0),0)</f>
        <v/>
      </c>
      <c r="K104" s="5" t="n"/>
      <c r="L104" s="7">
        <f>MIN(J104,10.0)</f>
        <v/>
      </c>
      <c r="M104" s="7">
        <f>MAX(0,MIN(J104,12)-10.0)</f>
        <v/>
      </c>
      <c r="N104" s="7">
        <f>MAX(0,J104-12)</f>
        <v/>
      </c>
      <c r="O104" s="5" t="n"/>
      <c r="P104" s="6">
        <f>E104*(L104+M104*1.5+N104*2+O104*3+N(K104))</f>
        <v/>
      </c>
      <c r="Q104" s="6" t="n">
        <v>740</v>
      </c>
      <c r="R104" s="6">
        <f>Q104-P104</f>
        <v/>
      </c>
    </row>
    <row r="105">
      <c r="P105" s="2" t="inlineStr">
        <is>
          <t>PRODUCTIONACCOUNTANT LABOR</t>
        </is>
      </c>
      <c r="R105" s="8">
        <f>SUM(R104:R104)</f>
        <v/>
      </c>
    </row>
    <row r="107">
      <c r="B107" s="2" t="inlineStr">
        <is>
          <t>ASSTPRODUCTIONACCOUNTANTS</t>
        </is>
      </c>
    </row>
    <row r="108">
      <c r="A108" s="5" t="inlineStr">
        <is>
          <t>2014</t>
        </is>
      </c>
      <c r="B108" s="5" t="inlineStr">
        <is>
          <t>Co-Co Aiello</t>
        </is>
      </c>
      <c r="C108" s="5" t="inlineStr">
        <is>
          <t>1STASSTACCT</t>
        </is>
      </c>
      <c r="D108" s="5" t="inlineStr">
        <is>
          <t>Local871</t>
        </is>
      </c>
      <c r="E108" s="6" t="n">
        <v>480</v>
      </c>
      <c r="F108" s="5" t="n"/>
      <c r="G108" s="5" t="n"/>
      <c r="H108" s="5" t="n"/>
      <c r="I108" s="5" t="n"/>
      <c r="J108" s="7">
        <f>IF(AND(N(F108)&gt;0,N(I108)&gt;0),I108-F108-IF(N(G108)&gt;0,0.5,0)-IF(N(H108)&gt;0,0.5,0),0)</f>
        <v/>
      </c>
      <c r="K108" s="5" t="n"/>
      <c r="L108" s="7">
        <f>MIN(J108,10.0)</f>
        <v/>
      </c>
      <c r="M108" s="7">
        <f>MAX(0,MIN(J108,12)-10.0)</f>
        <v/>
      </c>
      <c r="N108" s="7">
        <f>MAX(0,J108-12)</f>
        <v/>
      </c>
      <c r="O108" s="5" t="n"/>
      <c r="P108" s="6">
        <f>E108*(L108+M108*1.5+N108*2+O108*3+N(K108))</f>
        <v/>
      </c>
      <c r="Q108" s="6" t="n">
        <v>480</v>
      </c>
      <c r="R108" s="6">
        <f>Q108-P108</f>
        <v/>
      </c>
    </row>
    <row r="109">
      <c r="A109" s="5" t="inlineStr">
        <is>
          <t>2014</t>
        </is>
      </c>
      <c r="B109" s="5" t="inlineStr">
        <is>
          <t>Steve Goldstein</t>
        </is>
      </c>
      <c r="C109" s="5" t="inlineStr">
        <is>
          <t>PAYROLLACCT</t>
        </is>
      </c>
      <c r="D109" s="5" t="inlineStr">
        <is>
          <t>Local871</t>
        </is>
      </c>
      <c r="E109" s="6" t="n">
        <v>420</v>
      </c>
      <c r="F109" s="5" t="n"/>
      <c r="G109" s="5" t="n"/>
      <c r="H109" s="5" t="n"/>
      <c r="I109" s="5" t="n"/>
      <c r="J109" s="7">
        <f>IF(AND(N(F109)&gt;0,N(I109)&gt;0),I109-F109-IF(N(G109)&gt;0,0.5,0)-IF(N(H109)&gt;0,0.5,0),0)</f>
        <v/>
      </c>
      <c r="K109" s="5" t="n"/>
      <c r="L109" s="7">
        <f>MIN(J109,10.0)</f>
        <v/>
      </c>
      <c r="M109" s="7">
        <f>MAX(0,MIN(J109,12)-10.0)</f>
        <v/>
      </c>
      <c r="N109" s="7">
        <f>MAX(0,J109-12)</f>
        <v/>
      </c>
      <c r="O109" s="5" t="n"/>
      <c r="P109" s="6">
        <f>E109*(L109+M109*1.5+N109*2+O109*3+N(K109))</f>
        <v/>
      </c>
      <c r="Q109" s="6" t="n">
        <v>420</v>
      </c>
      <c r="R109" s="6">
        <f>Q109-P109</f>
        <v/>
      </c>
    </row>
    <row r="110">
      <c r="P110" s="2" t="inlineStr">
        <is>
          <t>ASSTPRODUCTIONACCOUNTANTS LABOR</t>
        </is>
      </c>
      <c r="R110" s="8">
        <f>SUM(R108:R109)</f>
        <v/>
      </c>
    </row>
    <row r="112">
      <c r="B112" s="2" t="inlineStr">
        <is>
          <t>CONSTRUCTIONCOORDINATOR</t>
        </is>
      </c>
    </row>
    <row r="113">
      <c r="A113" s="5" t="inlineStr">
        <is>
          <t>2302</t>
        </is>
      </c>
      <c r="B113" s="5" t="inlineStr">
        <is>
          <t>Drew Rebelin</t>
        </is>
      </c>
      <c r="C113" s="5" t="inlineStr">
        <is>
          <t>CONSTCOORDINATOR</t>
        </is>
      </c>
      <c r="D113" s="5" t="inlineStr">
        <is>
          <t>Local44</t>
        </is>
      </c>
      <c r="E113" s="6" t="n">
        <v>400</v>
      </c>
      <c r="F113" s="5" t="n"/>
      <c r="G113" s="5" t="n"/>
      <c r="H113" s="5" t="n"/>
      <c r="I113" s="5" t="n"/>
      <c r="J113" s="7">
        <f>IF(AND(N(F113)&gt;0,N(I113)&gt;0),I113-F113-IF(N(G113)&gt;0,0.5,0)-IF(N(H113)&gt;0,0.5,0),0)</f>
        <v/>
      </c>
      <c r="K113" s="5" t="n"/>
      <c r="L113" s="7">
        <f>MIN(J113,10.0)</f>
        <v/>
      </c>
      <c r="M113" s="7">
        <f>MAX(0,MIN(J113,12)-10.0)</f>
        <v/>
      </c>
      <c r="N113" s="7">
        <f>MAX(0,J113-12)</f>
        <v/>
      </c>
      <c r="O113" s="5" t="n"/>
      <c r="P113" s="6">
        <f>E113*(L113+M113*1.5+N113*2+O113*3+N(K113))</f>
        <v/>
      </c>
      <c r="Q113" s="5" t="n"/>
      <c r="R113" s="6">
        <f>Q113-P113</f>
        <v/>
      </c>
    </row>
    <row r="114">
      <c r="P114" s="2" t="inlineStr">
        <is>
          <t>CONSTRUCTIONCOORDINATOR LABOR</t>
        </is>
      </c>
      <c r="R114" s="8">
        <f>SUM(R113:R113)</f>
        <v/>
      </c>
    </row>
    <row r="116">
      <c r="B116" s="2" t="inlineStr">
        <is>
          <t>PAINTFOREMAN</t>
        </is>
      </c>
    </row>
    <row r="117">
      <c r="A117" s="5" t="inlineStr">
        <is>
          <t>2304</t>
        </is>
      </c>
      <c r="B117" s="5" t="inlineStr">
        <is>
          <t>Kristeen Reimnitz</t>
        </is>
      </c>
      <c r="C117" s="5" t="inlineStr">
        <is>
          <t>PAINTER</t>
        </is>
      </c>
      <c r="D117" s="5" t="inlineStr">
        <is>
          <t>Local729</t>
        </is>
      </c>
      <c r="E117" s="6" t="n">
        <v>23.04</v>
      </c>
      <c r="F117" s="5" t="n"/>
      <c r="G117" s="5" t="n"/>
      <c r="H117" s="5" t="n"/>
      <c r="I117" s="5" t="n"/>
      <c r="J117" s="7">
        <f>IF(AND(N(F117)&gt;0,N(I117)&gt;0),I117-F117-IF(N(G117)&gt;0,0.5,0)-IF(N(H117)&gt;0,0.5,0),0)</f>
        <v/>
      </c>
      <c r="K117" s="5" t="n"/>
      <c r="L117" s="7">
        <f>MIN(J117,10.0)</f>
        <v/>
      </c>
      <c r="M117" s="7">
        <f>MAX(0,MIN(J117,12)-10.0)</f>
        <v/>
      </c>
      <c r="N117" s="7">
        <f>MAX(0,J117-12)</f>
        <v/>
      </c>
      <c r="O117" s="5" t="n"/>
      <c r="P117" s="6">
        <f>E117*(L117+M117*1.5+N117*2+O117*3+N(K117))</f>
        <v/>
      </c>
      <c r="Q117" s="5" t="n"/>
      <c r="R117" s="6">
        <f>Q117-P117</f>
        <v/>
      </c>
    </row>
    <row r="118">
      <c r="P118" s="2" t="inlineStr">
        <is>
          <t>PAINTFOREMAN LABOR</t>
        </is>
      </c>
      <c r="R118" s="8">
        <f>SUM(R117:R117)</f>
        <v/>
      </c>
    </row>
    <row r="120">
      <c r="B120" s="2" t="inlineStr">
        <is>
          <t>FIRSTAIDLABOR</t>
        </is>
      </c>
    </row>
    <row r="121">
      <c r="A121" s="5" t="inlineStr">
        <is>
          <t>2310</t>
        </is>
      </c>
      <c r="B121" s="5" t="inlineStr"/>
      <c r="C121" s="5" t="inlineStr">
        <is>
          <t>CONSTRUCTIONMEDIC</t>
        </is>
      </c>
      <c r="D121" s="5" t="inlineStr">
        <is>
          <t>Local80</t>
        </is>
      </c>
      <c r="E121" s="6" t="n">
        <v>23.04</v>
      </c>
      <c r="F121" s="5" t="n"/>
      <c r="G121" s="5" t="n"/>
      <c r="H121" s="5" t="n"/>
      <c r="I121" s="5" t="n"/>
      <c r="J121" s="7">
        <f>IF(AND(N(F121)&gt;0,N(I121)&gt;0),I121-F121-IF(N(G121)&gt;0,0.5,0)-IF(N(H121)&gt;0,0.5,0),0)</f>
        <v/>
      </c>
      <c r="K121" s="5" t="n"/>
      <c r="L121" s="7">
        <f>MIN(J121,10.0)</f>
        <v/>
      </c>
      <c r="M121" s="7">
        <f>MAX(0,MIN(J121,12)-10.0)</f>
        <v/>
      </c>
      <c r="N121" s="7">
        <f>MAX(0,J121-12)</f>
        <v/>
      </c>
      <c r="O121" s="5" t="n"/>
      <c r="P121" s="6">
        <f>E121*(L121+M121*1.5+N121*2+O121*3+N(K121))</f>
        <v/>
      </c>
      <c r="Q121" s="5" t="n"/>
      <c r="R121" s="6">
        <f>Q121-P121</f>
        <v/>
      </c>
    </row>
    <row r="122">
      <c r="P122" s="2" t="inlineStr">
        <is>
          <t>FIRSTAIDLABOR LABOR</t>
        </is>
      </c>
      <c r="R122" s="8">
        <f>SUM(R121:R121)</f>
        <v/>
      </c>
    </row>
    <row r="124">
      <c r="B124" s="2" t="inlineStr">
        <is>
          <t>KEYGRIP</t>
        </is>
      </c>
    </row>
    <row r="125">
      <c r="A125" s="5" t="inlineStr">
        <is>
          <t>2501</t>
        </is>
      </c>
      <c r="B125" s="5" t="inlineStr">
        <is>
          <t>Pat O'Mara</t>
        </is>
      </c>
      <c r="C125" s="5" t="inlineStr">
        <is>
          <t>KEYGRIP</t>
        </is>
      </c>
      <c r="D125" s="5" t="inlineStr">
        <is>
          <t>Local80</t>
        </is>
      </c>
      <c r="E125" s="6" t="n">
        <v>25.5</v>
      </c>
      <c r="F125" s="5" t="n"/>
      <c r="G125" s="5" t="n"/>
      <c r="H125" s="5" t="n"/>
      <c r="I125" s="5" t="n"/>
      <c r="J125" s="7">
        <f>IF(AND(N(F125)&gt;0,N(I125)&gt;0),I125-F125-IF(N(G125)&gt;0,0.5,0)-IF(N(H125)&gt;0,0.5,0),0)</f>
        <v/>
      </c>
      <c r="K125" s="5" t="n"/>
      <c r="L125" s="7">
        <f>MIN(J125,10.0)</f>
        <v/>
      </c>
      <c r="M125" s="7">
        <f>MAX(0,MIN(J125,12)-10.0)</f>
        <v/>
      </c>
      <c r="N125" s="7">
        <f>MAX(0,J125-12)</f>
        <v/>
      </c>
      <c r="O125" s="5" t="n"/>
      <c r="P125" s="6">
        <f>E125*(L125+M125*1.5+N125*2+O125*3+N(K125))</f>
        <v/>
      </c>
      <c r="Q125" s="6" t="n">
        <v>395.25</v>
      </c>
      <c r="R125" s="6">
        <f>Q125-P125</f>
        <v/>
      </c>
    </row>
    <row r="126">
      <c r="P126" s="2" t="inlineStr">
        <is>
          <t>KEYGRIP LABOR</t>
        </is>
      </c>
      <c r="R126" s="8">
        <f>SUM(R125:R125)</f>
        <v/>
      </c>
    </row>
    <row r="128">
      <c r="B128" s="2" t="inlineStr">
        <is>
          <t>BESTBOYGRIP</t>
        </is>
      </c>
    </row>
    <row r="129">
      <c r="A129" s="5" t="inlineStr">
        <is>
          <t>2502</t>
        </is>
      </c>
      <c r="B129" s="5" t="inlineStr">
        <is>
          <t>Aaron Fairley</t>
        </is>
      </c>
      <c r="C129" s="5" t="inlineStr">
        <is>
          <t>BESTBOYGRIP</t>
        </is>
      </c>
      <c r="D129" s="5" t="inlineStr">
        <is>
          <t>Local80</t>
        </is>
      </c>
      <c r="E129" s="6" t="n">
        <v>23.04</v>
      </c>
      <c r="F129" s="5" t="n"/>
      <c r="G129" s="5" t="n"/>
      <c r="H129" s="5" t="n"/>
      <c r="I129" s="5" t="n"/>
      <c r="J129" s="7">
        <f>IF(AND(N(F129)&gt;0,N(I129)&gt;0),I129-F129-IF(N(G129)&gt;0,0.5,0)-IF(N(H129)&gt;0,0.5,0),0)</f>
        <v/>
      </c>
      <c r="K129" s="5" t="n"/>
      <c r="L129" s="7">
        <f>MIN(J129,10.0)</f>
        <v/>
      </c>
      <c r="M129" s="7">
        <f>MAX(0,MIN(J129,12)-10.0)</f>
        <v/>
      </c>
      <c r="N129" s="7">
        <f>MAX(0,J129-12)</f>
        <v/>
      </c>
      <c r="O129" s="5" t="n"/>
      <c r="P129" s="6">
        <f>E129*(L129+M129*1.5+N129*2+O129*3+N(K129))</f>
        <v/>
      </c>
      <c r="Q129" s="6" t="n">
        <v>357.12</v>
      </c>
      <c r="R129" s="6">
        <f>Q129-P129</f>
        <v/>
      </c>
    </row>
    <row r="130">
      <c r="A130" s="5" t="inlineStr">
        <is>
          <t>2502</t>
        </is>
      </c>
      <c r="B130" s="5" t="inlineStr"/>
      <c r="C130" s="5" t="inlineStr">
        <is>
          <t>STUDIOBESTBOYGRIP</t>
        </is>
      </c>
      <c r="D130" s="5" t="inlineStr">
        <is>
          <t>Local80</t>
        </is>
      </c>
      <c r="E130" s="6" t="n">
        <v>43.05</v>
      </c>
      <c r="F130" s="5" t="n"/>
      <c r="G130" s="5" t="n"/>
      <c r="H130" s="5" t="n"/>
      <c r="I130" s="5" t="n"/>
      <c r="J130" s="7">
        <f>IF(AND(N(F130)&gt;0,N(I130)&gt;0),I130-F130-IF(N(G130)&gt;0,0.5,0)-IF(N(H130)&gt;0,0.5,0),0)</f>
        <v/>
      </c>
      <c r="K130" s="5" t="n"/>
      <c r="L130" s="7">
        <f>MIN(J130,10.0)</f>
        <v/>
      </c>
      <c r="M130" s="7">
        <f>MAX(0,MIN(J130,12)-10.0)</f>
        <v/>
      </c>
      <c r="N130" s="7">
        <f>MAX(0,J130-12)</f>
        <v/>
      </c>
      <c r="O130" s="5" t="n"/>
      <c r="P130" s="6">
        <f>E130*(L130+M130*1.5+N130*2+O130*3+N(K130))</f>
        <v/>
      </c>
      <c r="Q130" s="6" t="n">
        <v>667.27</v>
      </c>
      <c r="R130" s="6">
        <f>Q130-P130</f>
        <v/>
      </c>
    </row>
    <row r="131">
      <c r="P131" s="2" t="inlineStr">
        <is>
          <t>BESTBOYGRIP LABOR</t>
        </is>
      </c>
      <c r="R131" s="8">
        <f>SUM(R129:R130)</f>
        <v/>
      </c>
    </row>
    <row r="133">
      <c r="B133" s="2" t="inlineStr">
        <is>
          <t>DOLLYGRIP</t>
        </is>
      </c>
    </row>
    <row r="134">
      <c r="A134" s="5" t="inlineStr">
        <is>
          <t>2503</t>
        </is>
      </c>
      <c r="B134" s="5" t="inlineStr">
        <is>
          <t>Peter Weidenfeller</t>
        </is>
      </c>
      <c r="C134" s="5" t="inlineStr">
        <is>
          <t>"A"DOLLYGRIP</t>
        </is>
      </c>
      <c r="D134" s="5" t="inlineStr">
        <is>
          <t>Local80</t>
        </is>
      </c>
      <c r="E134" s="6" t="n">
        <v>23.04</v>
      </c>
      <c r="F134" s="5" t="n"/>
      <c r="G134" s="5" t="n"/>
      <c r="H134" s="5" t="n"/>
      <c r="I134" s="5" t="n"/>
      <c r="J134" s="7">
        <f>IF(AND(N(F134)&gt;0,N(I134)&gt;0),I134-F134-IF(N(G134)&gt;0,0.5,0)-IF(N(H134)&gt;0,0.5,0),0)</f>
        <v/>
      </c>
      <c r="K134" s="5" t="n"/>
      <c r="L134" s="7">
        <f>MIN(J134,10.0)</f>
        <v/>
      </c>
      <c r="M134" s="7">
        <f>MAX(0,MIN(J134,12)-10.0)</f>
        <v/>
      </c>
      <c r="N134" s="7">
        <f>MAX(0,J134-12)</f>
        <v/>
      </c>
      <c r="O134" s="5" t="n"/>
      <c r="P134" s="6">
        <f>E134*(L134+M134*1.5+N134*2+O134*3+N(K134))</f>
        <v/>
      </c>
      <c r="Q134" s="6" t="n">
        <v>357.12</v>
      </c>
      <c r="R134" s="6">
        <f>Q134-P134</f>
        <v/>
      </c>
    </row>
    <row r="135">
      <c r="P135" s="2" t="inlineStr">
        <is>
          <t>DOLLYGRIP LABOR</t>
        </is>
      </c>
      <c r="R135" s="8">
        <f>SUM(R134:R134)</f>
        <v/>
      </c>
    </row>
    <row r="137">
      <c r="B137" s="2" t="inlineStr">
        <is>
          <t>CRANEGRIPS</t>
        </is>
      </c>
    </row>
    <row r="138">
      <c r="A138" s="5" t="inlineStr">
        <is>
          <t>2504</t>
        </is>
      </c>
      <c r="B138" s="5" t="inlineStr"/>
      <c r="C138" s="5" t="inlineStr">
        <is>
          <t>CRANEOPERATOR</t>
        </is>
      </c>
      <c r="D138" s="5" t="inlineStr">
        <is>
          <t>Local80</t>
        </is>
      </c>
      <c r="E138" s="6" t="n">
        <v>792</v>
      </c>
      <c r="F138" s="5" t="n"/>
      <c r="G138" s="5" t="n"/>
      <c r="H138" s="5" t="n"/>
      <c r="I138" s="5" t="n"/>
      <c r="J138" s="7">
        <f>IF(AND(N(F138)&gt;0,N(I138)&gt;0),I138-F138-IF(N(G138)&gt;0,0.5,0)-IF(N(H138)&gt;0,0.5,0),0)</f>
        <v/>
      </c>
      <c r="K138" s="5" t="n"/>
      <c r="L138" s="7">
        <f>MIN(J138,10.0)</f>
        <v/>
      </c>
      <c r="M138" s="7">
        <f>MAX(0,MIN(J138,12)-10.0)</f>
        <v/>
      </c>
      <c r="N138" s="7">
        <f>MAX(0,J138-12)</f>
        <v/>
      </c>
      <c r="O138" s="5" t="n"/>
      <c r="P138" s="6">
        <f>E138*(L138+M138*1.5+N138*2+O138*3+N(K138))</f>
        <v/>
      </c>
      <c r="Q138" s="6" t="n">
        <v>924</v>
      </c>
      <c r="R138" s="6">
        <f>Q138-P138</f>
        <v/>
      </c>
    </row>
    <row r="139">
      <c r="A139" s="5" t="inlineStr">
        <is>
          <t>2504</t>
        </is>
      </c>
      <c r="B139" s="5" t="inlineStr"/>
      <c r="C139" s="5" t="inlineStr">
        <is>
          <t>CRANEASSISTANT</t>
        </is>
      </c>
      <c r="D139" s="5" t="inlineStr">
        <is>
          <t>Local80</t>
        </is>
      </c>
      <c r="E139" s="6" t="n">
        <v>660</v>
      </c>
      <c r="F139" s="5" t="n"/>
      <c r="G139" s="5" t="n"/>
      <c r="H139" s="5" t="n"/>
      <c r="I139" s="5" t="n"/>
      <c r="J139" s="7">
        <f>IF(AND(N(F139)&gt;0,N(I139)&gt;0),I139-F139-IF(N(G139)&gt;0,0.5,0)-IF(N(H139)&gt;0,0.5,0),0)</f>
        <v/>
      </c>
      <c r="K139" s="5" t="n"/>
      <c r="L139" s="7">
        <f>MIN(J139,10.0)</f>
        <v/>
      </c>
      <c r="M139" s="7">
        <f>MAX(0,MIN(J139,12)-10.0)</f>
        <v/>
      </c>
      <c r="N139" s="7">
        <f>MAX(0,J139-12)</f>
        <v/>
      </c>
      <c r="O139" s="5" t="n"/>
      <c r="P139" s="6">
        <f>E139*(L139+M139*1.5+N139*2+O139*3+N(K139))</f>
        <v/>
      </c>
      <c r="Q139" s="6" t="n">
        <v>770</v>
      </c>
      <c r="R139" s="6">
        <f>Q139-P139</f>
        <v/>
      </c>
    </row>
    <row r="140">
      <c r="P140" s="2" t="inlineStr">
        <is>
          <t>CRANEGRIPS LABOR</t>
        </is>
      </c>
      <c r="R140" s="8">
        <f>SUM(R138:R139)</f>
        <v/>
      </c>
    </row>
    <row r="142">
      <c r="B142" s="2" t="inlineStr">
        <is>
          <t>COMPANYGRIPS</t>
        </is>
      </c>
    </row>
    <row r="143">
      <c r="A143" s="5" t="inlineStr">
        <is>
          <t>2505</t>
        </is>
      </c>
      <c r="B143" s="5" t="inlineStr"/>
      <c r="C143" s="5" t="inlineStr">
        <is>
          <t>GRIP#1</t>
        </is>
      </c>
      <c r="D143" s="5" t="inlineStr">
        <is>
          <t>Local80</t>
        </is>
      </c>
      <c r="E143" s="6" t="n">
        <v>20.57</v>
      </c>
      <c r="F143" s="5" t="n"/>
      <c r="G143" s="5" t="n"/>
      <c r="H143" s="5" t="n"/>
      <c r="I143" s="5" t="n"/>
      <c r="J143" s="7">
        <f>IF(AND(N(F143)&gt;0,N(I143)&gt;0),I143-F143-IF(N(G143)&gt;0,0.5,0)-IF(N(H143)&gt;0,0.5,0),0)</f>
        <v/>
      </c>
      <c r="K143" s="5" t="n"/>
      <c r="L143" s="7">
        <f>MIN(J143,10.0)</f>
        <v/>
      </c>
      <c r="M143" s="7">
        <f>MAX(0,MIN(J143,12)-10.0)</f>
        <v/>
      </c>
      <c r="N143" s="7">
        <f>MAX(0,J143-12)</f>
        <v/>
      </c>
      <c r="O143" s="5" t="n"/>
      <c r="P143" s="6">
        <f>E143*(L143+M143*1.5+N143*2+O143*3+N(K143))</f>
        <v/>
      </c>
      <c r="Q143" s="6" t="n">
        <v>318.83</v>
      </c>
      <c r="R143" s="6">
        <f>Q143-P143</f>
        <v/>
      </c>
    </row>
    <row r="144">
      <c r="A144" s="5" t="inlineStr">
        <is>
          <t>2505</t>
        </is>
      </c>
      <c r="B144" s="5" t="inlineStr"/>
      <c r="C144" s="5" t="inlineStr">
        <is>
          <t>GRIP#2</t>
        </is>
      </c>
      <c r="D144" s="5" t="inlineStr">
        <is>
          <t>Local80</t>
        </is>
      </c>
      <c r="E144" s="6" t="n">
        <v>20.57</v>
      </c>
      <c r="F144" s="5" t="n"/>
      <c r="G144" s="5" t="n"/>
      <c r="H144" s="5" t="n"/>
      <c r="I144" s="5" t="n"/>
      <c r="J144" s="7">
        <f>IF(AND(N(F144)&gt;0,N(I144)&gt;0),I144-F144-IF(N(G144)&gt;0,0.5,0)-IF(N(H144)&gt;0,0.5,0),0)</f>
        <v/>
      </c>
      <c r="K144" s="5" t="n"/>
      <c r="L144" s="7">
        <f>MIN(J144,10.0)</f>
        <v/>
      </c>
      <c r="M144" s="7">
        <f>MAX(0,MIN(J144,12)-10.0)</f>
        <v/>
      </c>
      <c r="N144" s="7">
        <f>MAX(0,J144-12)</f>
        <v/>
      </c>
      <c r="O144" s="5" t="n"/>
      <c r="P144" s="6">
        <f>E144*(L144+M144*1.5+N144*2+O144*3+N(K144))</f>
        <v/>
      </c>
      <c r="Q144" s="6" t="n">
        <v>318.83</v>
      </c>
      <c r="R144" s="6">
        <f>Q144-P144</f>
        <v/>
      </c>
    </row>
    <row r="145">
      <c r="A145" s="5" t="inlineStr">
        <is>
          <t>2505</t>
        </is>
      </c>
      <c r="B145" s="5" t="inlineStr"/>
      <c r="C145" s="5" t="inlineStr">
        <is>
          <t>GRIP#3</t>
        </is>
      </c>
      <c r="D145" s="5" t="inlineStr">
        <is>
          <t>Local80</t>
        </is>
      </c>
      <c r="E145" s="6" t="n">
        <v>20.57</v>
      </c>
      <c r="F145" s="5" t="n"/>
      <c r="G145" s="5" t="n"/>
      <c r="H145" s="5" t="n"/>
      <c r="I145" s="5" t="n"/>
      <c r="J145" s="7">
        <f>IF(AND(N(F145)&gt;0,N(I145)&gt;0),I145-F145-IF(N(G145)&gt;0,0.5,0)-IF(N(H145)&gt;0,0.5,0),0)</f>
        <v/>
      </c>
      <c r="K145" s="5" t="n"/>
      <c r="L145" s="7">
        <f>MIN(J145,10.0)</f>
        <v/>
      </c>
      <c r="M145" s="7">
        <f>MAX(0,MIN(J145,12)-10.0)</f>
        <v/>
      </c>
      <c r="N145" s="7">
        <f>MAX(0,J145-12)</f>
        <v/>
      </c>
      <c r="O145" s="5" t="n"/>
      <c r="P145" s="6">
        <f>E145*(L145+M145*1.5+N145*2+O145*3+N(K145))</f>
        <v/>
      </c>
      <c r="Q145" s="6" t="n">
        <v>318.83</v>
      </c>
      <c r="R145" s="6">
        <f>Q145-P145</f>
        <v/>
      </c>
    </row>
    <row r="146">
      <c r="P146" s="2" t="inlineStr">
        <is>
          <t>COMPANYGRIPS LABOR</t>
        </is>
      </c>
      <c r="R146" s="8">
        <f>SUM(R143:R145)</f>
        <v/>
      </c>
    </row>
    <row r="148">
      <c r="B148" s="2" t="inlineStr">
        <is>
          <t>OTHERLABOR</t>
        </is>
      </c>
    </row>
    <row r="149">
      <c r="A149" s="5" t="inlineStr">
        <is>
          <t>2506</t>
        </is>
      </c>
      <c r="B149" s="5" t="inlineStr"/>
      <c r="C149" s="5" t="inlineStr">
        <is>
          <t>GRIPMANDAYS&amp;RIGGINGMANDAYS</t>
        </is>
      </c>
      <c r="D149" s="5" t="inlineStr">
        <is>
          <t>Local80</t>
        </is>
      </c>
      <c r="E149" s="6" t="n">
        <v>20.57</v>
      </c>
      <c r="F149" s="5" t="n"/>
      <c r="G149" s="5" t="n"/>
      <c r="H149" s="5" t="n"/>
      <c r="I149" s="5" t="n"/>
      <c r="J149" s="7">
        <f>IF(AND(N(F149)&gt;0,N(I149)&gt;0),I149-F149-IF(N(G149)&gt;0,0.5,0)-IF(N(H149)&gt;0,0.5,0),0)</f>
        <v/>
      </c>
      <c r="K149" s="5" t="n"/>
      <c r="L149" s="7">
        <f>MIN(J149,10.0)</f>
        <v/>
      </c>
      <c r="M149" s="7">
        <f>MAX(0,MIN(J149,12)-10.0)</f>
        <v/>
      </c>
      <c r="N149" s="7">
        <f>MAX(0,J149-12)</f>
        <v/>
      </c>
      <c r="O149" s="5" t="n"/>
      <c r="P149" s="6">
        <f>E149*(L149+M149*1.5+N149*2+O149*3+N(K149))</f>
        <v/>
      </c>
      <c r="Q149" s="6" t="n">
        <v>318.83</v>
      </c>
      <c r="R149" s="6">
        <f>Q149-P149</f>
        <v/>
      </c>
    </row>
    <row r="150">
      <c r="P150" s="2" t="inlineStr">
        <is>
          <t>OTHERLABOR LABOR</t>
        </is>
      </c>
      <c r="R150" s="8">
        <f>SUM(R149:R149)</f>
        <v/>
      </c>
    </row>
    <row r="152">
      <c r="B152" s="2" t="inlineStr">
        <is>
          <t>STANDBYLABOR</t>
        </is>
      </c>
    </row>
    <row r="153">
      <c r="A153" s="5" t="inlineStr">
        <is>
          <t>2510</t>
        </is>
      </c>
      <c r="B153" s="5" t="inlineStr"/>
      <c r="C153" s="5" t="inlineStr">
        <is>
          <t>LAYOUTBOARD</t>
        </is>
      </c>
      <c r="D153" s="5" t="inlineStr">
        <is>
          <t>Local729</t>
        </is>
      </c>
      <c r="E153" s="6" t="n">
        <v>25.5</v>
      </c>
      <c r="F153" s="5" t="n"/>
      <c r="G153" s="5" t="n"/>
      <c r="H153" s="5" t="n"/>
      <c r="I153" s="5" t="n"/>
      <c r="J153" s="7">
        <f>IF(AND(N(F153)&gt;0,N(I153)&gt;0),I153-F153-IF(N(G153)&gt;0,0.5,0)-IF(N(H153)&gt;0,0.5,0),0)</f>
        <v/>
      </c>
      <c r="K153" s="5" t="n"/>
      <c r="L153" s="7">
        <f>MIN(J153,10.0)</f>
        <v/>
      </c>
      <c r="M153" s="7">
        <f>MAX(0,MIN(J153,12)-10.0)</f>
        <v/>
      </c>
      <c r="N153" s="7">
        <f>MAX(0,J153-12)</f>
        <v/>
      </c>
      <c r="O153" s="5" t="n"/>
      <c r="P153" s="6">
        <f>E153*(L153+M153*1.5+N153*2+O153*3+N(K153))</f>
        <v/>
      </c>
      <c r="Q153" s="6" t="n">
        <v>395.25</v>
      </c>
      <c r="R153" s="6">
        <f>Q153-P153</f>
        <v/>
      </c>
    </row>
    <row r="154">
      <c r="P154" s="2" t="inlineStr">
        <is>
          <t>STANDBYLABOR LABOR</t>
        </is>
      </c>
      <c r="R154" s="8">
        <f>SUM(R153:R153)</f>
        <v/>
      </c>
    </row>
    <row r="156">
      <c r="B156" s="2" t="inlineStr">
        <is>
          <t>SETCRAFTSERVICELABOR</t>
        </is>
      </c>
    </row>
    <row r="157">
      <c r="A157" s="5" t="inlineStr">
        <is>
          <t>2511</t>
        </is>
      </c>
      <c r="B157" s="5" t="inlineStr">
        <is>
          <t>Maurico Solis</t>
        </is>
      </c>
      <c r="C157" s="5" t="inlineStr">
        <is>
          <t>KEYCRAFTSERVICE</t>
        </is>
      </c>
      <c r="D157" s="5" t="inlineStr">
        <is>
          <t>Local80</t>
        </is>
      </c>
      <c r="E157" s="6" t="n">
        <v>25.5</v>
      </c>
      <c r="F157" s="5" t="n"/>
      <c r="G157" s="5" t="n"/>
      <c r="H157" s="5" t="n"/>
      <c r="I157" s="5" t="n"/>
      <c r="J157" s="7">
        <f>IF(AND(N(F157)&gt;0,N(I157)&gt;0),I157-F157-IF(N(G157)&gt;0,0.5,0)-IF(N(H157)&gt;0,0.5,0),0)</f>
        <v/>
      </c>
      <c r="K157" s="5" t="n"/>
      <c r="L157" s="7">
        <f>MIN(J157,10.0)</f>
        <v/>
      </c>
      <c r="M157" s="7">
        <f>MAX(0,MIN(J157,12)-10.0)</f>
        <v/>
      </c>
      <c r="N157" s="7">
        <f>MAX(0,J157-12)</f>
        <v/>
      </c>
      <c r="O157" s="5" t="n"/>
      <c r="P157" s="6">
        <f>E157*(L157+M157*1.5+N157*2+O157*3+N(K157))</f>
        <v/>
      </c>
      <c r="Q157" s="6" t="n">
        <v>439.87</v>
      </c>
      <c r="R157" s="6">
        <f>Q157-P157</f>
        <v/>
      </c>
    </row>
    <row r="158">
      <c r="A158" s="5" t="inlineStr">
        <is>
          <t>2511</t>
        </is>
      </c>
      <c r="B158" s="5" t="inlineStr"/>
      <c r="C158" s="5" t="inlineStr">
        <is>
          <t>ASSTCRAFTSERVICE</t>
        </is>
      </c>
      <c r="D158" s="5" t="inlineStr">
        <is>
          <t>Local80</t>
        </is>
      </c>
      <c r="E158" s="6" t="n">
        <v>23.04</v>
      </c>
      <c r="F158" s="5" t="n"/>
      <c r="G158" s="5" t="n"/>
      <c r="H158" s="5" t="n"/>
      <c r="I158" s="5" t="n"/>
      <c r="J158" s="7">
        <f>IF(AND(N(F158)&gt;0,N(I158)&gt;0),I158-F158-IF(N(G158)&gt;0,0.5,0)-IF(N(H158)&gt;0,0.5,0),0)</f>
        <v/>
      </c>
      <c r="K158" s="5" t="n"/>
      <c r="L158" s="7">
        <f>MIN(J158,10.0)</f>
        <v/>
      </c>
      <c r="M158" s="7">
        <f>MAX(0,MIN(J158,12)-10.0)</f>
        <v/>
      </c>
      <c r="N158" s="7">
        <f>MAX(0,J158-12)</f>
        <v/>
      </c>
      <c r="O158" s="5" t="n"/>
      <c r="P158" s="6">
        <f>E158*(L158+M158*1.5+N158*2+O158*3+N(K158))</f>
        <v/>
      </c>
      <c r="Q158" s="6" t="n">
        <v>397.43</v>
      </c>
      <c r="R158" s="6">
        <f>Q158-P158</f>
        <v/>
      </c>
    </row>
    <row r="159">
      <c r="P159" s="2" t="inlineStr">
        <is>
          <t>SETCRAFTSERVICELABOR LABOR</t>
        </is>
      </c>
      <c r="R159" s="8">
        <f>SUM(R157:R158)</f>
        <v/>
      </c>
    </row>
    <row r="161">
      <c r="B161" s="2" t="inlineStr">
        <is>
          <t>SETFIRSTAIDLABOR</t>
        </is>
      </c>
    </row>
    <row r="162">
      <c r="A162" s="5" t="inlineStr">
        <is>
          <t>2514</t>
        </is>
      </c>
      <c r="B162" s="5" t="inlineStr">
        <is>
          <t>Robert Hill</t>
        </is>
      </c>
      <c r="C162" s="5" t="inlineStr">
        <is>
          <t>SETMEDIC</t>
        </is>
      </c>
      <c r="D162" s="5" t="inlineStr">
        <is>
          <t>Local80</t>
        </is>
      </c>
      <c r="E162" s="6" t="n">
        <v>23.04</v>
      </c>
      <c r="F162" s="5" t="n"/>
      <c r="G162" s="5" t="n"/>
      <c r="H162" s="5" t="n"/>
      <c r="I162" s="5" t="n"/>
      <c r="J162" s="7">
        <f>IF(AND(N(F162)&gt;0,N(I162)&gt;0),I162-F162-IF(N(G162)&gt;0,0.5,0)-IF(N(H162)&gt;0,0.5,0),0)</f>
        <v/>
      </c>
      <c r="K162" s="5" t="n"/>
      <c r="L162" s="7">
        <f>MIN(J162,10.0)</f>
        <v/>
      </c>
      <c r="M162" s="7">
        <f>MAX(0,MIN(J162,12)-10.0)</f>
        <v/>
      </c>
      <c r="N162" s="7">
        <f>MAX(0,J162-12)</f>
        <v/>
      </c>
      <c r="O162" s="5" t="n"/>
      <c r="P162" s="6">
        <f>E162*(L162+M162*1.5+N162*2+O162*3+N(K162))</f>
        <v/>
      </c>
      <c r="Q162" s="6" t="n">
        <v>397.43</v>
      </c>
      <c r="R162" s="6">
        <f>Q162-P162</f>
        <v/>
      </c>
    </row>
    <row r="163">
      <c r="A163" s="5" t="inlineStr">
        <is>
          <t>2514</t>
        </is>
      </c>
      <c r="B163" s="5" t="inlineStr"/>
      <c r="C163" s="5" t="inlineStr">
        <is>
          <t>RIGGINGMEDICMANDAYS</t>
        </is>
      </c>
      <c r="D163" s="5" t="inlineStr">
        <is>
          <t>Local80</t>
        </is>
      </c>
      <c r="E163" s="6" t="n">
        <v>23.04</v>
      </c>
      <c r="F163" s="5" t="n"/>
      <c r="G163" s="5" t="n"/>
      <c r="H163" s="5" t="n"/>
      <c r="I163" s="5" t="n"/>
      <c r="J163" s="7">
        <f>IF(AND(N(F163)&gt;0,N(I163)&gt;0),I163-F163-IF(N(G163)&gt;0,0.5,0)-IF(N(H163)&gt;0,0.5,0),0)</f>
        <v/>
      </c>
      <c r="K163" s="5" t="n"/>
      <c r="L163" s="7">
        <f>MIN(J163,10.0)</f>
        <v/>
      </c>
      <c r="M163" s="7">
        <f>MAX(0,MIN(J163,12)-10.0)</f>
        <v/>
      </c>
      <c r="N163" s="7">
        <f>MAX(0,J163-12)</f>
        <v/>
      </c>
      <c r="O163" s="5" t="n"/>
      <c r="P163" s="6">
        <f>E163*(L163+M163*1.5+N163*2+O163*3+N(K163))</f>
        <v/>
      </c>
      <c r="Q163" s="5" t="n"/>
      <c r="R163" s="6">
        <f>Q163-P163</f>
        <v/>
      </c>
    </row>
    <row r="164">
      <c r="P164" s="2" t="inlineStr">
        <is>
          <t>SETFIRSTAIDLABOR LABOR</t>
        </is>
      </c>
      <c r="R164" s="8">
        <f>SUM(R162:R163)</f>
        <v/>
      </c>
    </row>
    <row r="166">
      <c r="B166" s="2" t="inlineStr">
        <is>
          <t>SFXCOORDINATOR</t>
        </is>
      </c>
    </row>
    <row r="167">
      <c r="A167" s="5" t="inlineStr">
        <is>
          <t>2601</t>
        </is>
      </c>
      <c r="B167" s="5" t="inlineStr">
        <is>
          <t>Zak Knight</t>
        </is>
      </c>
      <c r="C167" s="5" t="inlineStr">
        <is>
          <t>SPFXCOORDINATOR</t>
        </is>
      </c>
      <c r="D167" s="5" t="inlineStr">
        <is>
          <t>Local44</t>
        </is>
      </c>
      <c r="E167" s="6" t="n">
        <v>42</v>
      </c>
      <c r="F167" s="5" t="n"/>
      <c r="G167" s="5" t="n"/>
      <c r="H167" s="5" t="n"/>
      <c r="I167" s="5" t="n"/>
      <c r="J167" s="7">
        <f>IF(AND(N(F167)&gt;0,N(I167)&gt;0),I167-F167-IF(N(G167)&gt;0,0.5,0)-IF(N(H167)&gt;0,0.5,0),0)</f>
        <v/>
      </c>
      <c r="K167" s="5" t="n"/>
      <c r="L167" s="7">
        <f>MIN(J167,10.0)</f>
        <v/>
      </c>
      <c r="M167" s="7">
        <f>MAX(0,MIN(J167,12)-10.0)</f>
        <v/>
      </c>
      <c r="N167" s="7">
        <f>MAX(0,J167-12)</f>
        <v/>
      </c>
      <c r="O167" s="5" t="n"/>
      <c r="P167" s="6">
        <f>E167*(L167+M167*1.5+N167*2+O167*3+N(K167))</f>
        <v/>
      </c>
      <c r="Q167" s="6" t="n">
        <v>651</v>
      </c>
      <c r="R167" s="6">
        <f>Q167-P167</f>
        <v/>
      </c>
    </row>
    <row r="168">
      <c r="P168" s="2" t="inlineStr">
        <is>
          <t>SFXCOORDINATOR LABOR</t>
        </is>
      </c>
      <c r="R168" s="8">
        <f>SUM(R167:R167)</f>
        <v/>
      </c>
    </row>
    <row r="170">
      <c r="B170" s="2" t="inlineStr">
        <is>
          <t>SFXTECHMANDAYS</t>
        </is>
      </c>
    </row>
    <row r="171">
      <c r="A171" s="5" t="inlineStr">
        <is>
          <t>2609</t>
        </is>
      </c>
      <c r="B171" s="5" t="inlineStr"/>
      <c r="C171" s="5" t="inlineStr">
        <is>
          <t>SPFXTECHMANDAYS</t>
        </is>
      </c>
      <c r="D171" s="5" t="inlineStr">
        <is>
          <t>Local44</t>
        </is>
      </c>
      <c r="E171" s="6" t="n">
        <v>40</v>
      </c>
      <c r="F171" s="5" t="n"/>
      <c r="G171" s="5" t="n"/>
      <c r="H171" s="5" t="n"/>
      <c r="I171" s="5" t="n"/>
      <c r="J171" s="7">
        <f>IF(AND(N(F171)&gt;0,N(I171)&gt;0),I171-F171-IF(N(G171)&gt;0,0.5,0)-IF(N(H171)&gt;0,0.5,0),0)</f>
        <v/>
      </c>
      <c r="K171" s="5" t="n"/>
      <c r="L171" s="7">
        <f>MIN(J171,10.0)</f>
        <v/>
      </c>
      <c r="M171" s="7">
        <f>MAX(0,MIN(J171,12)-10.0)</f>
        <v/>
      </c>
      <c r="N171" s="7">
        <f>MAX(0,J171-12)</f>
        <v/>
      </c>
      <c r="O171" s="5" t="n"/>
      <c r="P171" s="6">
        <f>E171*(L171+M171*1.5+N171*2+O171*3+N(K171))</f>
        <v/>
      </c>
      <c r="Q171" s="6" t="n">
        <v>620</v>
      </c>
      <c r="R171" s="6">
        <f>Q171-P171</f>
        <v/>
      </c>
    </row>
    <row r="172">
      <c r="A172" s="5" t="inlineStr">
        <is>
          <t>2609</t>
        </is>
      </c>
      <c r="B172" s="5" t="inlineStr"/>
      <c r="C172" s="5" t="inlineStr">
        <is>
          <t>SPFXASSISTANTMANDAYS</t>
        </is>
      </c>
      <c r="D172" s="5" t="inlineStr">
        <is>
          <t>Local44</t>
        </is>
      </c>
      <c r="E172" s="6" t="n">
        <v>25.5</v>
      </c>
      <c r="F172" s="5" t="n"/>
      <c r="G172" s="5" t="n"/>
      <c r="H172" s="5" t="n"/>
      <c r="I172" s="5" t="n"/>
      <c r="J172" s="7">
        <f>IF(AND(N(F172)&gt;0,N(I172)&gt;0),I172-F172-IF(N(G172)&gt;0,0.5,0)-IF(N(H172)&gt;0,0.5,0),0)</f>
        <v/>
      </c>
      <c r="K172" s="5" t="n"/>
      <c r="L172" s="7">
        <f>MIN(J172,10.0)</f>
        <v/>
      </c>
      <c r="M172" s="7">
        <f>MAX(0,MIN(J172,12)-10.0)</f>
        <v/>
      </c>
      <c r="N172" s="7">
        <f>MAX(0,J172-12)</f>
        <v/>
      </c>
      <c r="O172" s="5" t="n"/>
      <c r="P172" s="6">
        <f>E172*(L172+M172*1.5+N172*2+O172*3+N(K172))</f>
        <v/>
      </c>
      <c r="Q172" s="6" t="n">
        <v>395.25</v>
      </c>
      <c r="R172" s="6">
        <f>Q172-P172</f>
        <v/>
      </c>
    </row>
    <row r="173">
      <c r="A173" s="5" t="inlineStr">
        <is>
          <t>2609</t>
        </is>
      </c>
      <c r="B173" s="5" t="inlineStr"/>
      <c r="C173" s="5" t="inlineStr">
        <is>
          <t>PYROMANDAYS</t>
        </is>
      </c>
      <c r="D173" s="5" t="inlineStr">
        <is>
          <t>Local44</t>
        </is>
      </c>
      <c r="E173" s="6" t="n">
        <v>68.18000000000001</v>
      </c>
      <c r="F173" s="5" t="n"/>
      <c r="G173" s="5" t="n"/>
      <c r="H173" s="5" t="n"/>
      <c r="I173" s="5" t="n"/>
      <c r="J173" s="7">
        <f>IF(AND(N(F173)&gt;0,N(I173)&gt;0),I173-F173-IF(N(G173)&gt;0,0.5,0)-IF(N(H173)&gt;0,0.5,0),0)</f>
        <v/>
      </c>
      <c r="K173" s="5" t="n"/>
      <c r="L173" s="7">
        <f>MIN(J173,10.0)</f>
        <v/>
      </c>
      <c r="M173" s="7">
        <f>MAX(0,MIN(J173,12)-10.0)</f>
        <v/>
      </c>
      <c r="N173" s="7">
        <f>MAX(0,J173-12)</f>
        <v/>
      </c>
      <c r="O173" s="5" t="n"/>
      <c r="P173" s="6">
        <f>E173*(L173+M173*1.5+N173*2+O173*3+N(K173))</f>
        <v/>
      </c>
      <c r="Q173" s="6" t="n">
        <v>749.98</v>
      </c>
      <c r="R173" s="6">
        <f>Q173-P173</f>
        <v/>
      </c>
    </row>
    <row r="174">
      <c r="P174" s="2" t="inlineStr">
        <is>
          <t>SFXTECHMANDAYS LABOR</t>
        </is>
      </c>
      <c r="R174" s="8">
        <f>SUM(R171:R173)</f>
        <v/>
      </c>
    </row>
    <row r="176">
      <c r="B176" s="2" t="inlineStr">
        <is>
          <t>SETDECORATOR</t>
        </is>
      </c>
    </row>
    <row r="177">
      <c r="A177" s="5" t="inlineStr">
        <is>
          <t>2701</t>
        </is>
      </c>
      <c r="B177" s="5" t="inlineStr">
        <is>
          <t>Sandy Skora</t>
        </is>
      </c>
      <c r="C177" s="5" t="inlineStr">
        <is>
          <t>SETDECORATOR</t>
        </is>
      </c>
      <c r="D177" s="5" t="inlineStr">
        <is>
          <t>Local44</t>
        </is>
      </c>
      <c r="E177" s="6" t="n">
        <v>400</v>
      </c>
      <c r="F177" s="5" t="n"/>
      <c r="G177" s="5" t="n"/>
      <c r="H177" s="5" t="n"/>
      <c r="I177" s="5" t="n"/>
      <c r="J177" s="7">
        <f>IF(AND(N(F177)&gt;0,N(I177)&gt;0),I177-F177-IF(N(G177)&gt;0,0.5,0)-IF(N(H177)&gt;0,0.5,0),0)</f>
        <v/>
      </c>
      <c r="K177" s="5" t="n"/>
      <c r="L177" s="7">
        <f>MIN(J177,10.0)</f>
        <v/>
      </c>
      <c r="M177" s="7">
        <f>MAX(0,MIN(J177,12)-10.0)</f>
        <v/>
      </c>
      <c r="N177" s="7">
        <f>MAX(0,J177-12)</f>
        <v/>
      </c>
      <c r="O177" s="5" t="n"/>
      <c r="P177" s="6">
        <f>E177*(L177+M177*1.5+N177*2+O177*3+N(K177))</f>
        <v/>
      </c>
      <c r="Q177" s="6" t="n">
        <v>400</v>
      </c>
      <c r="R177" s="6">
        <f>Q177-P177</f>
        <v/>
      </c>
    </row>
    <row r="178">
      <c r="P178" s="2" t="inlineStr">
        <is>
          <t>SETDECORATOR LABOR</t>
        </is>
      </c>
      <c r="R178" s="8">
        <f>SUM(R177:R177)</f>
        <v/>
      </c>
    </row>
    <row r="180">
      <c r="B180" s="2" t="inlineStr">
        <is>
          <t>LEADPERSON</t>
        </is>
      </c>
    </row>
    <row r="181">
      <c r="A181" s="5" t="inlineStr">
        <is>
          <t>2702</t>
        </is>
      </c>
      <c r="B181" s="5" t="inlineStr">
        <is>
          <t>Josh Richmond</t>
        </is>
      </c>
      <c r="C181" s="5" t="inlineStr">
        <is>
          <t>LEADPERSON</t>
        </is>
      </c>
      <c r="D181" s="5" t="inlineStr">
        <is>
          <t>Local44</t>
        </is>
      </c>
      <c r="E181" s="6" t="n">
        <v>23.04</v>
      </c>
      <c r="F181" s="5" t="n"/>
      <c r="G181" s="5" t="n"/>
      <c r="H181" s="5" t="n"/>
      <c r="I181" s="5" t="n"/>
      <c r="J181" s="7">
        <f>IF(AND(N(F181)&gt;0,N(I181)&gt;0),I181-F181-IF(N(G181)&gt;0,0.5,0)-IF(N(H181)&gt;0,0.5,0),0)</f>
        <v/>
      </c>
      <c r="K181" s="5" t="n"/>
      <c r="L181" s="7">
        <f>MIN(J181,10.0)</f>
        <v/>
      </c>
      <c r="M181" s="7">
        <f>MAX(0,MIN(J181,12)-10.0)</f>
        <v/>
      </c>
      <c r="N181" s="7">
        <f>MAX(0,J181-12)</f>
        <v/>
      </c>
      <c r="O181" s="5" t="n"/>
      <c r="P181" s="6">
        <f>E181*(L181+M181*1.5+N181*2+O181*3+N(K181))</f>
        <v/>
      </c>
      <c r="Q181" s="6" t="n">
        <v>322.56</v>
      </c>
      <c r="R181" s="6">
        <f>Q181-P181</f>
        <v/>
      </c>
    </row>
    <row r="182">
      <c r="P182" s="2" t="inlineStr">
        <is>
          <t>LEADPERSON LABOR</t>
        </is>
      </c>
      <c r="R182" s="8">
        <f>SUM(R181:R181)</f>
        <v/>
      </c>
    </row>
    <row r="184">
      <c r="B184" s="2" t="inlineStr">
        <is>
          <t>SWINGLABOR</t>
        </is>
      </c>
    </row>
    <row r="185">
      <c r="A185" s="5" t="inlineStr">
        <is>
          <t>2703</t>
        </is>
      </c>
      <c r="B185" s="5" t="inlineStr">
        <is>
          <t>Tim Dodge</t>
        </is>
      </c>
      <c r="C185" s="5" t="inlineStr">
        <is>
          <t>SWING#1</t>
        </is>
      </c>
      <c r="D185" s="5" t="inlineStr">
        <is>
          <t>Local44</t>
        </is>
      </c>
      <c r="E185" s="6" t="n">
        <v>20.57</v>
      </c>
      <c r="F185" s="5" t="n"/>
      <c r="G185" s="5" t="n"/>
      <c r="H185" s="5" t="n"/>
      <c r="I185" s="5" t="n"/>
      <c r="J185" s="7">
        <f>IF(AND(N(F185)&gt;0,N(I185)&gt;0),I185-F185-IF(N(G185)&gt;0,0.5,0)-IF(N(H185)&gt;0,0.5,0),0)</f>
        <v/>
      </c>
      <c r="K185" s="5" t="n"/>
      <c r="L185" s="7">
        <f>MIN(J185,10.0)</f>
        <v/>
      </c>
      <c r="M185" s="7">
        <f>MAX(0,MIN(J185,12)-10.0)</f>
        <v/>
      </c>
      <c r="N185" s="7">
        <f>MAX(0,J185-12)</f>
        <v/>
      </c>
      <c r="O185" s="5" t="n"/>
      <c r="P185" s="6">
        <f>E185*(L185+M185*1.5+N185*2+O185*3+N(K185))</f>
        <v/>
      </c>
      <c r="Q185" s="6" t="n">
        <v>287.98</v>
      </c>
      <c r="R185" s="6">
        <f>Q185-P185</f>
        <v/>
      </c>
    </row>
    <row r="186">
      <c r="A186" s="5" t="inlineStr">
        <is>
          <t>2703</t>
        </is>
      </c>
      <c r="B186" s="5" t="inlineStr"/>
      <c r="C186" s="5" t="inlineStr">
        <is>
          <t>SWING#2</t>
        </is>
      </c>
      <c r="D186" s="5" t="inlineStr">
        <is>
          <t>Local44</t>
        </is>
      </c>
      <c r="E186" s="6" t="n">
        <v>20.57</v>
      </c>
      <c r="F186" s="5" t="n"/>
      <c r="G186" s="5" t="n"/>
      <c r="H186" s="5" t="n"/>
      <c r="I186" s="5" t="n"/>
      <c r="J186" s="7">
        <f>IF(AND(N(F186)&gt;0,N(I186)&gt;0),I186-F186-IF(N(G186)&gt;0,0.5,0)-IF(N(H186)&gt;0,0.5,0),0)</f>
        <v/>
      </c>
      <c r="K186" s="5" t="n"/>
      <c r="L186" s="7">
        <f>MIN(J186,10.0)</f>
        <v/>
      </c>
      <c r="M186" s="7">
        <f>MAX(0,MIN(J186,12)-10.0)</f>
        <v/>
      </c>
      <c r="N186" s="7">
        <f>MAX(0,J186-12)</f>
        <v/>
      </c>
      <c r="O186" s="5" t="n"/>
      <c r="P186" s="6">
        <f>E186*(L186+M186*1.5+N186*2+O186*3+N(K186))</f>
        <v/>
      </c>
      <c r="Q186" s="6" t="n">
        <v>287.98</v>
      </c>
      <c r="R186" s="6">
        <f>Q186-P186</f>
        <v/>
      </c>
    </row>
    <row r="187">
      <c r="A187" s="5" t="inlineStr">
        <is>
          <t>2703</t>
        </is>
      </c>
      <c r="B187" s="5" t="inlineStr"/>
      <c r="C187" s="5" t="inlineStr">
        <is>
          <t>ADDITIONALSWINGMANDAYS</t>
        </is>
      </c>
      <c r="D187" s="5" t="inlineStr">
        <is>
          <t>Local44</t>
        </is>
      </c>
      <c r="E187" s="6" t="n">
        <v>20.57</v>
      </c>
      <c r="F187" s="5" t="n"/>
      <c r="G187" s="5" t="n"/>
      <c r="H187" s="5" t="n"/>
      <c r="I187" s="5" t="n"/>
      <c r="J187" s="7">
        <f>IF(AND(N(F187)&gt;0,N(I187)&gt;0),I187-F187-IF(N(G187)&gt;0,0.5,0)-IF(N(H187)&gt;0,0.5,0),0)</f>
        <v/>
      </c>
      <c r="K187" s="5" t="n"/>
      <c r="L187" s="7">
        <f>MIN(J187,10.0)</f>
        <v/>
      </c>
      <c r="M187" s="7">
        <f>MAX(0,MIN(J187,12)-10.0)</f>
        <v/>
      </c>
      <c r="N187" s="7">
        <f>MAX(0,J187-12)</f>
        <v/>
      </c>
      <c r="O187" s="5" t="n"/>
      <c r="P187" s="6">
        <f>E187*(L187+M187*1.5+N187*2+O187*3+N(K187))</f>
        <v/>
      </c>
      <c r="Q187" s="6" t="n">
        <v>287.98</v>
      </c>
      <c r="R187" s="6">
        <f>Q187-P187</f>
        <v/>
      </c>
    </row>
    <row r="188">
      <c r="P188" s="2" t="inlineStr">
        <is>
          <t>SWINGLABOR LABOR</t>
        </is>
      </c>
      <c r="R188" s="8">
        <f>SUM(R185:R187)</f>
        <v/>
      </c>
    </row>
    <row r="190">
      <c r="B190" s="2" t="inlineStr">
        <is>
          <t>ON-SETDRESSER</t>
        </is>
      </c>
    </row>
    <row r="191">
      <c r="A191" s="5" t="inlineStr">
        <is>
          <t>2705</t>
        </is>
      </c>
      <c r="B191" s="5" t="inlineStr">
        <is>
          <t>Khamisi Thurman</t>
        </is>
      </c>
      <c r="C191" s="5" t="inlineStr">
        <is>
          <t>ON-SETDRESSER</t>
        </is>
      </c>
      <c r="D191" s="5" t="inlineStr">
        <is>
          <t>Local44</t>
        </is>
      </c>
      <c r="E191" s="6" t="n">
        <v>20.57</v>
      </c>
      <c r="F191" s="5" t="n"/>
      <c r="G191" s="5" t="n"/>
      <c r="H191" s="5" t="n"/>
      <c r="I191" s="5" t="n"/>
      <c r="J191" s="7">
        <f>IF(AND(N(F191)&gt;0,N(I191)&gt;0),I191-F191-IF(N(G191)&gt;0,0.5,0)-IF(N(H191)&gt;0,0.5,0),0)</f>
        <v/>
      </c>
      <c r="K191" s="5" t="n"/>
      <c r="L191" s="7">
        <f>MIN(J191,10.0)</f>
        <v/>
      </c>
      <c r="M191" s="7">
        <f>MAX(0,MIN(J191,12)-10.0)</f>
        <v/>
      </c>
      <c r="N191" s="7">
        <f>MAX(0,J191-12)</f>
        <v/>
      </c>
      <c r="O191" s="5" t="n"/>
      <c r="P191" s="6">
        <f>E191*(L191+M191*1.5+N191*2+O191*3+N(K191))</f>
        <v/>
      </c>
      <c r="Q191" s="6" t="n">
        <v>318.83</v>
      </c>
      <c r="R191" s="6">
        <f>Q191-P191</f>
        <v/>
      </c>
    </row>
    <row r="192">
      <c r="P192" s="2" t="inlineStr">
        <is>
          <t>ON-SETDRESSER LABOR</t>
        </is>
      </c>
      <c r="R192" s="8">
        <f>SUM(R191:R191)</f>
        <v/>
      </c>
    </row>
    <row r="194">
      <c r="B194" s="2" t="inlineStr">
        <is>
          <t>BUYERS</t>
        </is>
      </c>
    </row>
    <row r="195">
      <c r="A195" s="5" t="inlineStr">
        <is>
          <t>2706</t>
        </is>
      </c>
      <c r="B195" s="5" t="inlineStr">
        <is>
          <t>Sarah Hickman</t>
        </is>
      </c>
      <c r="C195" s="5" t="inlineStr">
        <is>
          <t>BUYER</t>
        </is>
      </c>
      <c r="D195" s="5" t="inlineStr">
        <is>
          <t>Local44</t>
        </is>
      </c>
      <c r="E195" s="6" t="n">
        <v>23.04</v>
      </c>
      <c r="F195" s="5" t="n"/>
      <c r="G195" s="5" t="n"/>
      <c r="H195" s="5" t="n"/>
      <c r="I195" s="5" t="n"/>
      <c r="J195" s="7">
        <f>IF(AND(N(F195)&gt;0,N(I195)&gt;0),I195-F195-IF(N(G195)&gt;0,0.5,0)-IF(N(H195)&gt;0,0.5,0),0)</f>
        <v/>
      </c>
      <c r="K195" s="5" t="n"/>
      <c r="L195" s="7">
        <f>MIN(J195,10.0)</f>
        <v/>
      </c>
      <c r="M195" s="7">
        <f>MAX(0,MIN(J195,12)-10.0)</f>
        <v/>
      </c>
      <c r="N195" s="7">
        <f>MAX(0,J195-12)</f>
        <v/>
      </c>
      <c r="O195" s="5" t="n"/>
      <c r="P195" s="6">
        <f>E195*(L195+M195*1.5+N195*2+O195*3+N(K195))</f>
        <v/>
      </c>
      <c r="Q195" s="5" t="n"/>
      <c r="R195" s="6">
        <f>Q195-P195</f>
        <v/>
      </c>
    </row>
    <row r="196">
      <c r="P196" s="2" t="inlineStr">
        <is>
          <t>BUYERS LABOR</t>
        </is>
      </c>
      <c r="R196" s="8">
        <f>SUM(R195:R195)</f>
        <v/>
      </c>
    </row>
    <row r="198">
      <c r="B198" s="2" t="inlineStr">
        <is>
          <t>PROPMASTER</t>
        </is>
      </c>
    </row>
    <row r="199">
      <c r="A199" s="5" t="inlineStr">
        <is>
          <t>2801</t>
        </is>
      </c>
      <c r="B199" s="5" t="inlineStr">
        <is>
          <t>Annie Brandt</t>
        </is>
      </c>
      <c r="C199" s="5" t="inlineStr">
        <is>
          <t>PROPMASTER</t>
        </is>
      </c>
      <c r="D199" s="5" t="inlineStr">
        <is>
          <t>Local44</t>
        </is>
      </c>
      <c r="E199" s="6" t="n">
        <v>25.5</v>
      </c>
      <c r="F199" s="5" t="n"/>
      <c r="G199" s="5" t="n"/>
      <c r="H199" s="5" t="n"/>
      <c r="I199" s="5" t="n"/>
      <c r="J199" s="7">
        <f>IF(AND(N(F199)&gt;0,N(I199)&gt;0),I199-F199-IF(N(G199)&gt;0,0.5,0)-IF(N(H199)&gt;0,0.5,0),0)</f>
        <v/>
      </c>
      <c r="K199" s="5" t="n"/>
      <c r="L199" s="7">
        <f>MIN(J199,10.0)</f>
        <v/>
      </c>
      <c r="M199" s="7">
        <f>MAX(0,MIN(J199,12)-10.0)</f>
        <v/>
      </c>
      <c r="N199" s="7">
        <f>MAX(0,J199-12)</f>
        <v/>
      </c>
      <c r="O199" s="5" t="n"/>
      <c r="P199" s="6">
        <f>E199*(L199+M199*1.5+N199*2+O199*3+N(K199))</f>
        <v/>
      </c>
      <c r="Q199" s="6" t="n">
        <v>395.25</v>
      </c>
      <c r="R199" s="6">
        <f>Q199-P199</f>
        <v/>
      </c>
    </row>
    <row r="200">
      <c r="P200" s="2" t="inlineStr">
        <is>
          <t>PROPMASTER LABOR</t>
        </is>
      </c>
      <c r="R200" s="8">
        <f>SUM(R199:R199)</f>
        <v/>
      </c>
    </row>
    <row r="202">
      <c r="B202" s="2" t="inlineStr">
        <is>
          <t>ASSTPROPMASTER</t>
        </is>
      </c>
    </row>
    <row r="203">
      <c r="A203" s="5" t="inlineStr">
        <is>
          <t>2802</t>
        </is>
      </c>
      <c r="B203" s="5" t="inlineStr">
        <is>
          <t>Nate Bakes</t>
        </is>
      </c>
      <c r="C203" s="5" t="inlineStr">
        <is>
          <t>ASSTPROPMASTER</t>
        </is>
      </c>
      <c r="D203" s="5" t="inlineStr">
        <is>
          <t>Local44</t>
        </is>
      </c>
      <c r="E203" s="6" t="n">
        <v>23.04</v>
      </c>
      <c r="F203" s="5" t="n"/>
      <c r="G203" s="5" t="n"/>
      <c r="H203" s="5" t="n"/>
      <c r="I203" s="5" t="n"/>
      <c r="J203" s="7">
        <f>IF(AND(N(F203)&gt;0,N(I203)&gt;0),I203-F203-IF(N(G203)&gt;0,0.5,0)-IF(N(H203)&gt;0,0.5,0),0)</f>
        <v/>
      </c>
      <c r="K203" s="5" t="n"/>
      <c r="L203" s="7">
        <f>MIN(J203,10.0)</f>
        <v/>
      </c>
      <c r="M203" s="7">
        <f>MAX(0,MIN(J203,12)-10.0)</f>
        <v/>
      </c>
      <c r="N203" s="7">
        <f>MAX(0,J203-12)</f>
        <v/>
      </c>
      <c r="O203" s="5" t="n"/>
      <c r="P203" s="6">
        <f>E203*(L203+M203*1.5+N203*2+O203*3+N(K203))</f>
        <v/>
      </c>
      <c r="Q203" s="6" t="n">
        <v>357.12</v>
      </c>
      <c r="R203" s="6">
        <f>Q203-P203</f>
        <v/>
      </c>
    </row>
    <row r="204">
      <c r="P204" s="2" t="inlineStr">
        <is>
          <t>ASSTPROPMASTER LABOR</t>
        </is>
      </c>
      <c r="R204" s="8">
        <f>SUM(R203:R203)</f>
        <v/>
      </c>
    </row>
    <row r="206">
      <c r="B206" s="2" t="inlineStr">
        <is>
          <t>COSTUMEDESIGNER</t>
        </is>
      </c>
    </row>
    <row r="207">
      <c r="A207" s="5" t="inlineStr">
        <is>
          <t>2901</t>
        </is>
      </c>
      <c r="B207" s="5" t="inlineStr">
        <is>
          <t>Megan Spatz</t>
        </is>
      </c>
      <c r="C207" s="5" t="inlineStr">
        <is>
          <t>COSTUMEDESIGNER</t>
        </is>
      </c>
      <c r="D207" s="5" t="inlineStr">
        <is>
          <t>Local892</t>
        </is>
      </c>
      <c r="E207" s="6" t="n">
        <v>540</v>
      </c>
      <c r="F207" s="5" t="n"/>
      <c r="G207" s="5" t="n"/>
      <c r="H207" s="5" t="n"/>
      <c r="I207" s="5" t="n"/>
      <c r="J207" s="7">
        <f>IF(AND(N(F207)&gt;0,N(I207)&gt;0),I207-F207-IF(N(G207)&gt;0,0.5,0)-IF(N(H207)&gt;0,0.5,0),0)</f>
        <v/>
      </c>
      <c r="K207" s="5" t="n"/>
      <c r="L207" s="7">
        <f>MIN(J207,8.0)</f>
        <v/>
      </c>
      <c r="M207" s="7">
        <f>MAX(0,MIN(J207,12)-8.0)</f>
        <v/>
      </c>
      <c r="N207" s="7">
        <f>MAX(0,J207-12)</f>
        <v/>
      </c>
      <c r="O207" s="5" t="n"/>
      <c r="P207" s="6">
        <f>E207*(L207+M207*1.5+N207*2+O207*3+N(K207))</f>
        <v/>
      </c>
      <c r="Q207" s="6" t="n">
        <v>540</v>
      </c>
      <c r="R207" s="6">
        <f>Q207-P207</f>
        <v/>
      </c>
    </row>
    <row r="208">
      <c r="P208" s="2" t="inlineStr">
        <is>
          <t>COSTUMEDESIGNER LABOR</t>
        </is>
      </c>
      <c r="R208" s="8">
        <f>SUM(R207:R207)</f>
        <v/>
      </c>
    </row>
    <row r="210">
      <c r="B210" s="2" t="inlineStr">
        <is>
          <t>COSTUMESUPERVISOR</t>
        </is>
      </c>
    </row>
    <row r="211">
      <c r="A211" s="5" t="inlineStr">
        <is>
          <t>2903</t>
        </is>
      </c>
      <c r="B211" s="5" t="inlineStr">
        <is>
          <t>Danielle Schuck</t>
        </is>
      </c>
      <c r="C211" s="5" t="inlineStr">
        <is>
          <t>COSTUMESUPERVISOR</t>
        </is>
      </c>
      <c r="D211" s="5" t="inlineStr">
        <is>
          <t>Local705</t>
        </is>
      </c>
      <c r="E211" s="6" t="n">
        <v>25.5</v>
      </c>
      <c r="F211" s="5" t="n"/>
      <c r="G211" s="5" t="n"/>
      <c r="H211" s="5" t="n"/>
      <c r="I211" s="5" t="n"/>
      <c r="J211" s="7">
        <f>IF(AND(N(F211)&gt;0,N(I211)&gt;0),I211-F211-IF(N(G211)&gt;0,0.5,0)-IF(N(H211)&gt;0,0.5,0),0)</f>
        <v/>
      </c>
      <c r="K211" s="5" t="n"/>
      <c r="L211" s="7">
        <f>MIN(J211,8.0)</f>
        <v/>
      </c>
      <c r="M211" s="7">
        <f>MAX(0,MIN(J211,12)-8.0)</f>
        <v/>
      </c>
      <c r="N211" s="7">
        <f>MAX(0,J211-12)</f>
        <v/>
      </c>
      <c r="O211" s="5" t="n"/>
      <c r="P211" s="6">
        <f>E211*(L211+M211*1.5+N211*2+O211*3+N(K211))</f>
        <v/>
      </c>
      <c r="Q211" s="6" t="n">
        <v>395.25</v>
      </c>
      <c r="R211" s="6">
        <f>Q211-P211</f>
        <v/>
      </c>
    </row>
    <row r="212">
      <c r="P212" s="2" t="inlineStr">
        <is>
          <t>COSTUMESUPERVISOR LABOR</t>
        </is>
      </c>
      <c r="R212" s="8">
        <f>SUM(R211:R211)</f>
        <v/>
      </c>
    </row>
    <row r="214">
      <c r="B214" s="2" t="inlineStr">
        <is>
          <t>SETCOSTUMERS</t>
        </is>
      </c>
    </row>
    <row r="215">
      <c r="A215" s="5" t="inlineStr">
        <is>
          <t>2905</t>
        </is>
      </c>
      <c r="B215" s="5" t="inlineStr">
        <is>
          <t>Monavie Tutop</t>
        </is>
      </c>
      <c r="C215" s="5" t="inlineStr">
        <is>
          <t>COSTUMER#1</t>
        </is>
      </c>
      <c r="D215" s="5" t="inlineStr">
        <is>
          <t>Local705</t>
        </is>
      </c>
      <c r="E215" s="6" t="n">
        <v>23.04</v>
      </c>
      <c r="F215" s="5" t="n"/>
      <c r="G215" s="5" t="n"/>
      <c r="H215" s="5" t="n"/>
      <c r="I215" s="5" t="n"/>
      <c r="J215" s="7">
        <f>IF(AND(N(F215)&gt;0,N(I215)&gt;0),I215-F215-IF(N(G215)&gt;0,0.5,0)-IF(N(H215)&gt;0,0.5,0),0)</f>
        <v/>
      </c>
      <c r="K215" s="5" t="n"/>
      <c r="L215" s="7">
        <f>MIN(J215,8.0)</f>
        <v/>
      </c>
      <c r="M215" s="7">
        <f>MAX(0,MIN(J215,12)-8.0)</f>
        <v/>
      </c>
      <c r="N215" s="7">
        <f>MAX(0,J215-12)</f>
        <v/>
      </c>
      <c r="O215" s="5" t="n"/>
      <c r="P215" s="6">
        <f>E215*(L215+M215*1.5+N215*2+O215*3+N(K215))</f>
        <v/>
      </c>
      <c r="Q215" s="6" t="n">
        <v>397.43</v>
      </c>
      <c r="R215" s="6">
        <f>Q215-P215</f>
        <v/>
      </c>
    </row>
    <row r="216">
      <c r="A216" s="5" t="inlineStr">
        <is>
          <t>2905</t>
        </is>
      </c>
      <c r="B216" s="5" t="inlineStr"/>
      <c r="C216" s="5" t="inlineStr">
        <is>
          <t>COSTUMER#2</t>
        </is>
      </c>
      <c r="D216" s="5" t="inlineStr">
        <is>
          <t>Local705</t>
        </is>
      </c>
      <c r="E216" s="6" t="n">
        <v>20.57</v>
      </c>
      <c r="F216" s="5" t="n"/>
      <c r="G216" s="5" t="n"/>
      <c r="H216" s="5" t="n"/>
      <c r="I216" s="5" t="n"/>
      <c r="J216" s="7">
        <f>IF(AND(N(F216)&gt;0,N(I216)&gt;0),I216-F216-IF(N(G216)&gt;0,0.5,0)-IF(N(H216)&gt;0,0.5,0),0)</f>
        <v/>
      </c>
      <c r="K216" s="5" t="n"/>
      <c r="L216" s="7">
        <f>MIN(J216,8.0)</f>
        <v/>
      </c>
      <c r="M216" s="7">
        <f>MAX(0,MIN(J216,12)-8.0)</f>
        <v/>
      </c>
      <c r="N216" s="7">
        <f>MAX(0,J216-12)</f>
        <v/>
      </c>
      <c r="O216" s="5" t="n"/>
      <c r="P216" s="6">
        <f>E216*(L216+M216*1.5+N216*2+O216*3+N(K216))</f>
        <v/>
      </c>
      <c r="Q216" s="6" t="n">
        <v>354.83</v>
      </c>
      <c r="R216" s="6">
        <f>Q216-P216</f>
        <v/>
      </c>
    </row>
    <row r="217">
      <c r="P217" s="2" t="inlineStr">
        <is>
          <t>SETCOSTUMERS LABOR</t>
        </is>
      </c>
      <c r="R217" s="8">
        <f>SUM(R215:R216)</f>
        <v/>
      </c>
    </row>
    <row r="219">
      <c r="B219" s="2" t="inlineStr">
        <is>
          <t>KEYMAKE-UP</t>
        </is>
      </c>
    </row>
    <row r="220">
      <c r="A220" s="5" t="inlineStr">
        <is>
          <t>3101</t>
        </is>
      </c>
      <c r="B220" s="5" t="inlineStr">
        <is>
          <t>Eleanor Sabaduquia</t>
        </is>
      </c>
      <c r="C220" s="5" t="inlineStr">
        <is>
          <t>KEYMAKEUPARTIST</t>
        </is>
      </c>
      <c r="D220" s="5" t="inlineStr">
        <is>
          <t>Local706</t>
        </is>
      </c>
      <c r="E220" s="6" t="n">
        <v>25.5</v>
      </c>
      <c r="F220" s="5" t="n"/>
      <c r="G220" s="5" t="n"/>
      <c r="H220" s="5" t="n"/>
      <c r="I220" s="5" t="n"/>
      <c r="J220" s="7">
        <f>IF(AND(N(F220)&gt;0,N(I220)&gt;0),I220-F220-IF(N(G220)&gt;0,0.5,0)-IF(N(H220)&gt;0,0.5,0),0)</f>
        <v/>
      </c>
      <c r="K220" s="5" t="n"/>
      <c r="L220" s="7">
        <f>MIN(J220,10.0)</f>
        <v/>
      </c>
      <c r="M220" s="7">
        <f>MAX(0,MIN(J220,12)-10.0)</f>
        <v/>
      </c>
      <c r="N220" s="7">
        <f>MAX(0,J220-12)</f>
        <v/>
      </c>
      <c r="O220" s="5" t="n"/>
      <c r="P220" s="6">
        <f>E220*(L220+M220*1.5+N220*2+O220*3+N(K220))</f>
        <v/>
      </c>
      <c r="Q220" s="6" t="n">
        <v>439.87</v>
      </c>
      <c r="R220" s="6">
        <f>Q220-P220</f>
        <v/>
      </c>
    </row>
    <row r="221">
      <c r="P221" s="2" t="inlineStr">
        <is>
          <t>KEYMAKE-UP LABOR</t>
        </is>
      </c>
      <c r="R221" s="8">
        <f>SUM(R220:R220)</f>
        <v/>
      </c>
    </row>
    <row r="223">
      <c r="B223" s="2" t="inlineStr">
        <is>
          <t>ASSTMAKE-UP</t>
        </is>
      </c>
    </row>
    <row r="224">
      <c r="A224" s="5" t="inlineStr">
        <is>
          <t>3102</t>
        </is>
      </c>
      <c r="B224" s="5" t="inlineStr">
        <is>
          <t>Yoko Nobushi</t>
        </is>
      </c>
      <c r="C224" s="5" t="inlineStr">
        <is>
          <t>ASSTMAKEUPARTIST#1</t>
        </is>
      </c>
      <c r="D224" s="5" t="inlineStr">
        <is>
          <t>Local706</t>
        </is>
      </c>
      <c r="E224" s="6" t="n">
        <v>23.04</v>
      </c>
      <c r="F224" s="5" t="n"/>
      <c r="G224" s="5" t="n"/>
      <c r="H224" s="5" t="n"/>
      <c r="I224" s="5" t="n"/>
      <c r="J224" s="7">
        <f>IF(AND(N(F224)&gt;0,N(I224)&gt;0),I224-F224-IF(N(G224)&gt;0,0.5,0)-IF(N(H224)&gt;0,0.5,0),0)</f>
        <v/>
      </c>
      <c r="K224" s="5" t="n"/>
      <c r="L224" s="7">
        <f>MIN(J224,10.0)</f>
        <v/>
      </c>
      <c r="M224" s="7">
        <f>MAX(0,MIN(J224,12)-10.0)</f>
        <v/>
      </c>
      <c r="N224" s="7">
        <f>MAX(0,J224-12)</f>
        <v/>
      </c>
      <c r="O224" s="5" t="n"/>
      <c r="P224" s="6">
        <f>E224*(L224+M224*1.5+N224*2+O224*3+N(K224))</f>
        <v/>
      </c>
      <c r="Q224" s="6" t="n">
        <v>397.43</v>
      </c>
      <c r="R224" s="6">
        <f>Q224-P224</f>
        <v/>
      </c>
    </row>
    <row r="225">
      <c r="P225" s="2" t="inlineStr">
        <is>
          <t>ASSTMAKE-UP LABOR</t>
        </is>
      </c>
      <c r="R225" s="8">
        <f>SUM(R224:R224)</f>
        <v/>
      </c>
    </row>
    <row r="227">
      <c r="B227" s="2" t="inlineStr">
        <is>
          <t>ADDITIONALMAKE-UPLABOR</t>
        </is>
      </c>
    </row>
    <row r="228">
      <c r="A228" s="5" t="inlineStr">
        <is>
          <t>3103</t>
        </is>
      </c>
      <c r="B228" s="5" t="inlineStr"/>
      <c r="C228" s="5" t="inlineStr">
        <is>
          <t>ADDLMAKEUPARTISTDAYS</t>
        </is>
      </c>
      <c r="D228" s="5" t="inlineStr">
        <is>
          <t>Local706</t>
        </is>
      </c>
      <c r="E228" s="6" t="n">
        <v>23.04</v>
      </c>
      <c r="F228" s="5" t="n"/>
      <c r="G228" s="5" t="n"/>
      <c r="H228" s="5" t="n"/>
      <c r="I228" s="5" t="n"/>
      <c r="J228" s="7">
        <f>IF(AND(N(F228)&gt;0,N(I228)&gt;0),I228-F228-IF(N(G228)&gt;0,0.5,0)-IF(N(H228)&gt;0,0.5,0),0)</f>
        <v/>
      </c>
      <c r="K228" s="5" t="n"/>
      <c r="L228" s="7">
        <f>MIN(J228,10.0)</f>
        <v/>
      </c>
      <c r="M228" s="7">
        <f>MAX(0,MIN(J228,12)-10.0)</f>
        <v/>
      </c>
      <c r="N228" s="7">
        <f>MAX(0,J228-12)</f>
        <v/>
      </c>
      <c r="O228" s="5" t="n"/>
      <c r="P228" s="6">
        <f>E228*(L228+M228*1.5+N228*2+O228*3+N(K228))</f>
        <v/>
      </c>
      <c r="Q228" s="6" t="n">
        <v>397.43</v>
      </c>
      <c r="R228" s="6">
        <f>Q228-P228</f>
        <v/>
      </c>
    </row>
    <row r="229">
      <c r="P229" s="2" t="inlineStr">
        <is>
          <t>ADDITIONALMAKE-UPLABOR LABOR</t>
        </is>
      </c>
      <c r="R229" s="8">
        <f>SUM(R228:R228)</f>
        <v/>
      </c>
    </row>
    <row r="231">
      <c r="B231" s="2" t="inlineStr">
        <is>
          <t>PROSTHETICS</t>
        </is>
      </c>
    </row>
    <row r="232">
      <c r="A232" s="5" t="inlineStr">
        <is>
          <t>3105</t>
        </is>
      </c>
      <c r="B232" s="5" t="inlineStr"/>
      <c r="C232" s="5" t="inlineStr">
        <is>
          <t>PROSTHETICMAKEUPARTIST</t>
        </is>
      </c>
      <c r="D232" s="5" t="inlineStr">
        <is>
          <t>Local706</t>
        </is>
      </c>
      <c r="E232" s="6" t="n">
        <v>25.5</v>
      </c>
      <c r="F232" s="5" t="n"/>
      <c r="G232" s="5" t="n"/>
      <c r="H232" s="5" t="n"/>
      <c r="I232" s="5" t="n"/>
      <c r="J232" s="7">
        <f>IF(AND(N(F232)&gt;0,N(I232)&gt;0),I232-F232-IF(N(G232)&gt;0,0.5,0)-IF(N(H232)&gt;0,0.5,0),0)</f>
        <v/>
      </c>
      <c r="K232" s="5" t="n"/>
      <c r="L232" s="7">
        <f>MIN(J232,10.0)</f>
        <v/>
      </c>
      <c r="M232" s="7">
        <f>MAX(0,MIN(J232,12)-10.0)</f>
        <v/>
      </c>
      <c r="N232" s="7">
        <f>MAX(0,J232-12)</f>
        <v/>
      </c>
      <c r="O232" s="5" t="n"/>
      <c r="P232" s="6">
        <f>E232*(L232+M232*1.5+N232*2+O232*3+N(K232))</f>
        <v/>
      </c>
      <c r="Q232" s="6" t="n">
        <v>439.87</v>
      </c>
      <c r="R232" s="6">
        <f>Q232-P232</f>
        <v/>
      </c>
    </row>
    <row r="233">
      <c r="A233" s="5" t="inlineStr">
        <is>
          <t>3105</t>
        </is>
      </c>
      <c r="B233" s="5" t="inlineStr"/>
      <c r="C233" s="5" t="inlineStr">
        <is>
          <t>LENSCONSULTANT</t>
        </is>
      </c>
      <c r="D233" s="5" t="inlineStr"/>
      <c r="E233" s="6" t="n">
        <v>50</v>
      </c>
      <c r="F233" s="5" t="n"/>
      <c r="G233" s="5" t="n"/>
      <c r="H233" s="5" t="n"/>
      <c r="I233" s="5" t="n"/>
      <c r="J233" s="7">
        <f>IF(AND(N(F233)&gt;0,N(I233)&gt;0),I233-F233-IF(N(G233)&gt;0,0.5,0)-IF(N(H233)&gt;0,0.5,0),0)</f>
        <v/>
      </c>
      <c r="K233" s="5" t="n"/>
      <c r="L233" s="7">
        <f>MIN(J233,8.0)</f>
        <v/>
      </c>
      <c r="M233" s="7">
        <f>MAX(0,MIN(J233,12)-8.0)</f>
        <v/>
      </c>
      <c r="N233" s="7">
        <f>MAX(0,J233-12)</f>
        <v/>
      </c>
      <c r="O233" s="5" t="n"/>
      <c r="P233" s="6">
        <f>E233*(L233+M233*1.5+N233*2+O233*3+N(K233))</f>
        <v/>
      </c>
      <c r="Q233" s="6" t="n">
        <v>862.53</v>
      </c>
      <c r="R233" s="6">
        <f>Q233-P233</f>
        <v/>
      </c>
    </row>
    <row r="234">
      <c r="P234" s="2" t="inlineStr">
        <is>
          <t>PROSTHETICS LABOR</t>
        </is>
      </c>
      <c r="R234" s="8">
        <f>SUM(R232:R233)</f>
        <v/>
      </c>
    </row>
    <row r="236">
      <c r="B236" s="2" t="inlineStr">
        <is>
          <t>KEYHAIR</t>
        </is>
      </c>
    </row>
    <row r="237">
      <c r="A237" s="5" t="inlineStr">
        <is>
          <t>3111</t>
        </is>
      </c>
      <c r="B237" s="5" t="inlineStr">
        <is>
          <t>Traci Smithe</t>
        </is>
      </c>
      <c r="C237" s="5" t="inlineStr">
        <is>
          <t>KEYHAIR</t>
        </is>
      </c>
      <c r="D237" s="5" t="inlineStr">
        <is>
          <t>Local706</t>
        </is>
      </c>
      <c r="E237" s="6" t="n">
        <v>25.5</v>
      </c>
      <c r="F237" s="5" t="n"/>
      <c r="G237" s="5" t="n"/>
      <c r="H237" s="5" t="n"/>
      <c r="I237" s="5" t="n"/>
      <c r="J237" s="7">
        <f>IF(AND(N(F237)&gt;0,N(I237)&gt;0),I237-F237-IF(N(G237)&gt;0,0.5,0)-IF(N(H237)&gt;0,0.5,0),0)</f>
        <v/>
      </c>
      <c r="K237" s="5" t="n"/>
      <c r="L237" s="7">
        <f>MIN(J237,10.0)</f>
        <v/>
      </c>
      <c r="M237" s="7">
        <f>MAX(0,MIN(J237,12)-10.0)</f>
        <v/>
      </c>
      <c r="N237" s="7">
        <f>MAX(0,J237-12)</f>
        <v/>
      </c>
      <c r="O237" s="5" t="n"/>
      <c r="P237" s="6">
        <f>E237*(L237+M237*1.5+N237*2+O237*3+N(K237))</f>
        <v/>
      </c>
      <c r="Q237" s="6" t="n">
        <v>439.87</v>
      </c>
      <c r="R237" s="6">
        <f>Q237-P237</f>
        <v/>
      </c>
    </row>
    <row r="238">
      <c r="P238" s="2" t="inlineStr">
        <is>
          <t>KEYHAIR LABOR</t>
        </is>
      </c>
      <c r="R238" s="8">
        <f>SUM(R237:R237)</f>
        <v/>
      </c>
    </row>
    <row r="240">
      <c r="B240" s="2" t="inlineStr">
        <is>
          <t>ASSTHAIR</t>
        </is>
      </c>
    </row>
    <row r="241">
      <c r="A241" s="5" t="inlineStr">
        <is>
          <t>3112</t>
        </is>
      </c>
      <c r="B241" s="5" t="inlineStr">
        <is>
          <t>Yunea Cruz</t>
        </is>
      </c>
      <c r="C241" s="5" t="inlineStr">
        <is>
          <t>ASSTHAIRSTYLIST#1</t>
        </is>
      </c>
      <c r="D241" s="5" t="inlineStr">
        <is>
          <t>Local706</t>
        </is>
      </c>
      <c r="E241" s="6" t="n">
        <v>23.04</v>
      </c>
      <c r="F241" s="5" t="n"/>
      <c r="G241" s="5" t="n"/>
      <c r="H241" s="5" t="n"/>
      <c r="I241" s="5" t="n"/>
      <c r="J241" s="7">
        <f>IF(AND(N(F241)&gt;0,N(I241)&gt;0),I241-F241-IF(N(G241)&gt;0,0.5,0)-IF(N(H241)&gt;0,0.5,0),0)</f>
        <v/>
      </c>
      <c r="K241" s="5" t="n"/>
      <c r="L241" s="7">
        <f>MIN(J241,10.0)</f>
        <v/>
      </c>
      <c r="M241" s="7">
        <f>MAX(0,MIN(J241,12)-10.0)</f>
        <v/>
      </c>
      <c r="N241" s="7">
        <f>MAX(0,J241-12)</f>
        <v/>
      </c>
      <c r="O241" s="5" t="n"/>
      <c r="P241" s="6">
        <f>E241*(L241+M241*1.5+N241*2+O241*3+N(K241))</f>
        <v/>
      </c>
      <c r="Q241" s="6" t="n">
        <v>397.43</v>
      </c>
      <c r="R241" s="6">
        <f>Q241-P241</f>
        <v/>
      </c>
    </row>
    <row r="242">
      <c r="P242" s="2" t="inlineStr">
        <is>
          <t>ASSTHAIR LABOR</t>
        </is>
      </c>
      <c r="R242" s="8">
        <f>SUM(R241:R241)</f>
        <v/>
      </c>
    </row>
    <row r="244">
      <c r="B244" s="2" t="inlineStr">
        <is>
          <t>ADDITIONALHAIRLABOR</t>
        </is>
      </c>
    </row>
    <row r="245">
      <c r="A245" s="5" t="inlineStr">
        <is>
          <t>3113</t>
        </is>
      </c>
      <c r="B245" s="5" t="inlineStr"/>
      <c r="C245" s="5" t="inlineStr">
        <is>
          <t>ADDLHAIRSTYLISTDAYS</t>
        </is>
      </c>
      <c r="D245" s="5" t="inlineStr">
        <is>
          <t>Local706</t>
        </is>
      </c>
      <c r="E245" s="6" t="n">
        <v>23.04</v>
      </c>
      <c r="F245" s="5" t="n"/>
      <c r="G245" s="5" t="n"/>
      <c r="H245" s="5" t="n"/>
      <c r="I245" s="5" t="n"/>
      <c r="J245" s="7">
        <f>IF(AND(N(F245)&gt;0,N(I245)&gt;0),I245-F245-IF(N(G245)&gt;0,0.5,0)-IF(N(H245)&gt;0,0.5,0),0)</f>
        <v/>
      </c>
      <c r="K245" s="5" t="n"/>
      <c r="L245" s="7">
        <f>MIN(J245,10.0)</f>
        <v/>
      </c>
      <c r="M245" s="7">
        <f>MAX(0,MIN(J245,12)-10.0)</f>
        <v/>
      </c>
      <c r="N245" s="7">
        <f>MAX(0,J245-12)</f>
        <v/>
      </c>
      <c r="O245" s="5" t="n"/>
      <c r="P245" s="6">
        <f>E245*(L245+M245*1.5+N245*2+O245*3+N(K245))</f>
        <v/>
      </c>
      <c r="Q245" s="6" t="n">
        <v>397.43</v>
      </c>
      <c r="R245" s="6">
        <f>Q245-P245</f>
        <v/>
      </c>
    </row>
    <row r="246">
      <c r="P246" s="2" t="inlineStr">
        <is>
          <t>ADDITIONALHAIRLABOR LABOR</t>
        </is>
      </c>
      <c r="R246" s="8">
        <f>SUM(R245:R245)</f>
        <v/>
      </c>
    </row>
    <row r="248">
      <c r="B248" s="2" t="inlineStr">
        <is>
          <t>GAFFER</t>
        </is>
      </c>
    </row>
    <row r="249">
      <c r="A249" s="5" t="inlineStr">
        <is>
          <t>3201</t>
        </is>
      </c>
      <c r="B249" s="5" t="inlineStr">
        <is>
          <t>Nicholas Kaat</t>
        </is>
      </c>
      <c r="C249" s="5" t="inlineStr">
        <is>
          <t>GAFFER</t>
        </is>
      </c>
      <c r="D249" s="5" t="inlineStr">
        <is>
          <t>Local728</t>
        </is>
      </c>
      <c r="E249" s="6" t="n">
        <v>25.5</v>
      </c>
      <c r="F249" s="5" t="n"/>
      <c r="G249" s="5" t="n"/>
      <c r="H249" s="5" t="n"/>
      <c r="I249" s="5" t="n"/>
      <c r="J249" s="7">
        <f>IF(AND(N(F249)&gt;0,N(I249)&gt;0),I249-F249-IF(N(G249)&gt;0,0.5,0)-IF(N(H249)&gt;0,0.5,0),0)</f>
        <v/>
      </c>
      <c r="K249" s="5" t="n"/>
      <c r="L249" s="7">
        <f>MIN(J249,10.0)</f>
        <v/>
      </c>
      <c r="M249" s="7">
        <f>MAX(0,MIN(J249,12)-10.0)</f>
        <v/>
      </c>
      <c r="N249" s="7">
        <f>MAX(0,J249-12)</f>
        <v/>
      </c>
      <c r="O249" s="5" t="n"/>
      <c r="P249" s="6">
        <f>E249*(L249+M249*1.5+N249*2+O249*3+N(K249))</f>
        <v/>
      </c>
      <c r="Q249" s="6" t="n">
        <v>395.25</v>
      </c>
      <c r="R249" s="6">
        <f>Q249-P249</f>
        <v/>
      </c>
    </row>
    <row r="250">
      <c r="P250" s="2" t="inlineStr">
        <is>
          <t>GAFFER LABOR</t>
        </is>
      </c>
      <c r="R250" s="8">
        <f>SUM(R249:R249)</f>
        <v/>
      </c>
    </row>
    <row r="252">
      <c r="B252" s="2" t="inlineStr">
        <is>
          <t>BESTBOYELECTRIC</t>
        </is>
      </c>
    </row>
    <row r="253">
      <c r="A253" s="5" t="inlineStr">
        <is>
          <t>3202</t>
        </is>
      </c>
      <c r="B253" s="5" t="inlineStr">
        <is>
          <t>Nathan Fetzer</t>
        </is>
      </c>
      <c r="C253" s="5" t="inlineStr">
        <is>
          <t>BESTBOYELECTRIC</t>
        </is>
      </c>
      <c r="D253" s="5" t="inlineStr">
        <is>
          <t>Local728</t>
        </is>
      </c>
      <c r="E253" s="6" t="n">
        <v>23.04</v>
      </c>
      <c r="F253" s="5" t="n"/>
      <c r="G253" s="5" t="n"/>
      <c r="H253" s="5" t="n"/>
      <c r="I253" s="5" t="n"/>
      <c r="J253" s="7">
        <f>IF(AND(N(F253)&gt;0,N(I253)&gt;0),I253-F253-IF(N(G253)&gt;0,0.5,0)-IF(N(H253)&gt;0,0.5,0),0)</f>
        <v/>
      </c>
      <c r="K253" s="5" t="n"/>
      <c r="L253" s="7">
        <f>MIN(J253,10.0)</f>
        <v/>
      </c>
      <c r="M253" s="7">
        <f>MAX(0,MIN(J253,12)-10.0)</f>
        <v/>
      </c>
      <c r="N253" s="7">
        <f>MAX(0,J253-12)</f>
        <v/>
      </c>
      <c r="O253" s="5" t="n"/>
      <c r="P253" s="6">
        <f>E253*(L253+M253*1.5+N253*2+O253*3+N(K253))</f>
        <v/>
      </c>
      <c r="Q253" s="6" t="n">
        <v>357.12</v>
      </c>
      <c r="R253" s="6">
        <f>Q253-P253</f>
        <v/>
      </c>
    </row>
    <row r="254">
      <c r="A254" s="5" t="inlineStr">
        <is>
          <t>3202</t>
        </is>
      </c>
      <c r="B254" s="5" t="inlineStr"/>
      <c r="C254" s="5" t="inlineStr">
        <is>
          <t>STUDIOBESTBOYELECTRIC</t>
        </is>
      </c>
      <c r="D254" s="5" t="inlineStr">
        <is>
          <t>Local728</t>
        </is>
      </c>
      <c r="E254" s="6" t="n">
        <v>43.05</v>
      </c>
      <c r="F254" s="5" t="n"/>
      <c r="G254" s="5" t="n"/>
      <c r="H254" s="5" t="n"/>
      <c r="I254" s="5" t="n"/>
      <c r="J254" s="7">
        <f>IF(AND(N(F254)&gt;0,N(I254)&gt;0),I254-F254-IF(N(G254)&gt;0,0.5,0)-IF(N(H254)&gt;0,0.5,0),0)</f>
        <v/>
      </c>
      <c r="K254" s="5" t="n"/>
      <c r="L254" s="7">
        <f>MIN(J254,10.0)</f>
        <v/>
      </c>
      <c r="M254" s="7">
        <f>MAX(0,MIN(J254,12)-10.0)</f>
        <v/>
      </c>
      <c r="N254" s="7">
        <f>MAX(0,J254-12)</f>
        <v/>
      </c>
      <c r="O254" s="5" t="n"/>
      <c r="P254" s="6">
        <f>E254*(L254+M254*1.5+N254*2+O254*3+N(K254))</f>
        <v/>
      </c>
      <c r="Q254" s="6" t="n">
        <v>667.27</v>
      </c>
      <c r="R254" s="6">
        <f>Q254-P254</f>
        <v/>
      </c>
    </row>
    <row r="255">
      <c r="P255" s="2" t="inlineStr">
        <is>
          <t>BESTBOYELECTRIC LABOR</t>
        </is>
      </c>
      <c r="R255" s="8">
        <f>SUM(R253:R254)</f>
        <v/>
      </c>
    </row>
    <row r="257">
      <c r="B257" s="2" t="inlineStr">
        <is>
          <t>ELECTRICIANS</t>
        </is>
      </c>
    </row>
    <row r="258">
      <c r="A258" s="5" t="inlineStr">
        <is>
          <t>3204</t>
        </is>
      </c>
      <c r="B258" s="5" t="inlineStr"/>
      <c r="C258" s="5" t="inlineStr">
        <is>
          <t>ELECTRICIAN#1</t>
        </is>
      </c>
      <c r="D258" s="5" t="inlineStr">
        <is>
          <t>Local728</t>
        </is>
      </c>
      <c r="E258" s="6" t="n">
        <v>20.57</v>
      </c>
      <c r="F258" s="5" t="n"/>
      <c r="G258" s="5" t="n"/>
      <c r="H258" s="5" t="n"/>
      <c r="I258" s="5" t="n"/>
      <c r="J258" s="7">
        <f>IF(AND(N(F258)&gt;0,N(I258)&gt;0),I258-F258-IF(N(G258)&gt;0,0.5,0)-IF(N(H258)&gt;0,0.5,0),0)</f>
        <v/>
      </c>
      <c r="K258" s="5" t="n"/>
      <c r="L258" s="7">
        <f>MIN(J258,10.0)</f>
        <v/>
      </c>
      <c r="M258" s="7">
        <f>MAX(0,MIN(J258,12)-10.0)</f>
        <v/>
      </c>
      <c r="N258" s="7">
        <f>MAX(0,J258-12)</f>
        <v/>
      </c>
      <c r="O258" s="5" t="n"/>
      <c r="P258" s="6">
        <f>E258*(L258+M258*1.5+N258*2+O258*3+N(K258))</f>
        <v/>
      </c>
      <c r="Q258" s="6" t="n">
        <v>318.83</v>
      </c>
      <c r="R258" s="6">
        <f>Q258-P258</f>
        <v/>
      </c>
    </row>
    <row r="259">
      <c r="A259" s="5" t="inlineStr">
        <is>
          <t>3204</t>
        </is>
      </c>
      <c r="B259" s="5" t="inlineStr"/>
      <c r="C259" s="5" t="inlineStr">
        <is>
          <t>ELECTRICIAN#2</t>
        </is>
      </c>
      <c r="D259" s="5" t="inlineStr">
        <is>
          <t>Local728</t>
        </is>
      </c>
      <c r="E259" s="6" t="n">
        <v>20.57</v>
      </c>
      <c r="F259" s="5" t="n"/>
      <c r="G259" s="5" t="n"/>
      <c r="H259" s="5" t="n"/>
      <c r="I259" s="5" t="n"/>
      <c r="J259" s="7">
        <f>IF(AND(N(F259)&gt;0,N(I259)&gt;0),I259-F259-IF(N(G259)&gt;0,0.5,0)-IF(N(H259)&gt;0,0.5,0),0)</f>
        <v/>
      </c>
      <c r="K259" s="5" t="n"/>
      <c r="L259" s="7">
        <f>MIN(J259,10.0)</f>
        <v/>
      </c>
      <c r="M259" s="7">
        <f>MAX(0,MIN(J259,12)-10.0)</f>
        <v/>
      </c>
      <c r="N259" s="7">
        <f>MAX(0,J259-12)</f>
        <v/>
      </c>
      <c r="O259" s="5" t="n"/>
      <c r="P259" s="6">
        <f>E259*(L259+M259*1.5+N259*2+O259*3+N(K259))</f>
        <v/>
      </c>
      <c r="Q259" s="6" t="n">
        <v>318.83</v>
      </c>
      <c r="R259" s="6">
        <f>Q259-P259</f>
        <v/>
      </c>
    </row>
    <row r="260">
      <c r="A260" s="5" t="inlineStr">
        <is>
          <t>3204</t>
        </is>
      </c>
      <c r="B260" s="5" t="inlineStr"/>
      <c r="C260" s="5" t="inlineStr">
        <is>
          <t>ELECTRICIAN#3</t>
        </is>
      </c>
      <c r="D260" s="5" t="inlineStr">
        <is>
          <t>Local728</t>
        </is>
      </c>
      <c r="E260" s="6" t="n">
        <v>20.57</v>
      </c>
      <c r="F260" s="5" t="n"/>
      <c r="G260" s="5" t="n"/>
      <c r="H260" s="5" t="n"/>
      <c r="I260" s="5" t="n"/>
      <c r="J260" s="7">
        <f>IF(AND(N(F260)&gt;0,N(I260)&gt;0),I260-F260-IF(N(G260)&gt;0,0.5,0)-IF(N(H260)&gt;0,0.5,0),0)</f>
        <v/>
      </c>
      <c r="K260" s="5" t="n"/>
      <c r="L260" s="7">
        <f>MIN(J260,10.0)</f>
        <v/>
      </c>
      <c r="M260" s="7">
        <f>MAX(0,MIN(J260,12)-10.0)</f>
        <v/>
      </c>
      <c r="N260" s="7">
        <f>MAX(0,J260-12)</f>
        <v/>
      </c>
      <c r="O260" s="5" t="n"/>
      <c r="P260" s="6">
        <f>E260*(L260+M260*1.5+N260*2+O260*3+N(K260))</f>
        <v/>
      </c>
      <c r="Q260" s="6" t="n">
        <v>318.83</v>
      </c>
      <c r="R260" s="6">
        <f>Q260-P260</f>
        <v/>
      </c>
    </row>
    <row r="261">
      <c r="P261" s="2" t="inlineStr">
        <is>
          <t>ELECTRICIANS LABOR</t>
        </is>
      </c>
      <c r="R261" s="8">
        <f>SUM(R258:R260)</f>
        <v/>
      </c>
    </row>
    <row r="263">
      <c r="B263" s="2" t="inlineStr">
        <is>
          <t>ADDITIONALELECTRICLABOR</t>
        </is>
      </c>
    </row>
    <row r="264">
      <c r="A264" s="5" t="inlineStr">
        <is>
          <t>3206</t>
        </is>
      </c>
      <c r="B264" s="5" t="inlineStr"/>
      <c r="C264" s="5" t="inlineStr">
        <is>
          <t>ELECTRICMANDAYS&amp;RIGGINGMANDAYS</t>
        </is>
      </c>
      <c r="D264" s="5" t="inlineStr">
        <is>
          <t>Local728</t>
        </is>
      </c>
      <c r="E264" s="6" t="n">
        <v>20.57</v>
      </c>
      <c r="F264" s="5" t="n"/>
      <c r="G264" s="5" t="n"/>
      <c r="H264" s="5" t="n"/>
      <c r="I264" s="5" t="n"/>
      <c r="J264" s="7">
        <f>IF(AND(N(F264)&gt;0,N(I264)&gt;0),I264-F264-IF(N(G264)&gt;0,0.5,0)-IF(N(H264)&gt;0,0.5,0),0)</f>
        <v/>
      </c>
      <c r="K264" s="5" t="n"/>
      <c r="L264" s="7">
        <f>MIN(J264,10.0)</f>
        <v/>
      </c>
      <c r="M264" s="7">
        <f>MAX(0,MIN(J264,12)-10.0)</f>
        <v/>
      </c>
      <c r="N264" s="7">
        <f>MAX(0,J264-12)</f>
        <v/>
      </c>
      <c r="O264" s="5" t="n"/>
      <c r="P264" s="6">
        <f>E264*(L264+M264*1.5+N264*2+O264*3+N(K264))</f>
        <v/>
      </c>
      <c r="Q264" s="6" t="n">
        <v>318.83</v>
      </c>
      <c r="R264" s="6">
        <f>Q264-P264</f>
        <v/>
      </c>
    </row>
    <row r="265">
      <c r="P265" s="2" t="inlineStr">
        <is>
          <t>ADDITIONALELECTRICLABOR LABOR</t>
        </is>
      </c>
      <c r="R265" s="8">
        <f>SUM(R264:R264)</f>
        <v/>
      </c>
    </row>
    <row r="267">
      <c r="B267" s="2" t="inlineStr">
        <is>
          <t>DIRECTOROFPHOTOGRAPHY</t>
        </is>
      </c>
    </row>
    <row r="268">
      <c r="A268" s="5" t="inlineStr">
        <is>
          <t>3301</t>
        </is>
      </c>
      <c r="B268" s="5" t="inlineStr">
        <is>
          <t>Michael Burgess</t>
        </is>
      </c>
      <c r="C268" s="5" t="inlineStr">
        <is>
          <t>DIRECTOROFPHOTOGRAPHY</t>
        </is>
      </c>
      <c r="D268" s="5" t="inlineStr">
        <is>
          <t>Local600</t>
        </is>
      </c>
      <c r="E268" s="6" t="n">
        <v>700</v>
      </c>
      <c r="F268" s="5" t="n"/>
      <c r="G268" s="5" t="n"/>
      <c r="H268" s="5" t="n"/>
      <c r="I268" s="5" t="n"/>
      <c r="J268" s="7">
        <f>IF(AND(N(F268)&gt;0,N(I268)&gt;0),I268-F268-IF(N(G268)&gt;0,0.5,0)-IF(N(H268)&gt;0,0.5,0),0)</f>
        <v/>
      </c>
      <c r="K268" s="5" t="n"/>
      <c r="L268" s="7">
        <f>MIN(J268,8.0)</f>
        <v/>
      </c>
      <c r="M268" s="7">
        <f>MAX(0,MIN(J268,12)-8.0)</f>
        <v/>
      </c>
      <c r="N268" s="7">
        <f>MAX(0,J268-12)</f>
        <v/>
      </c>
      <c r="O268" s="5" t="n"/>
      <c r="P268" s="6">
        <f>E268*(L268+M268*1.5+N268*2+O268*3+N(K268))</f>
        <v/>
      </c>
      <c r="Q268" s="6" t="n">
        <v>700</v>
      </c>
      <c r="R268" s="6">
        <f>Q268-P268</f>
        <v/>
      </c>
    </row>
    <row r="269">
      <c r="P269" s="2" t="inlineStr">
        <is>
          <t>DIRECTOROFPHOTOGRAPHY LABOR</t>
        </is>
      </c>
      <c r="R269" s="8">
        <f>SUM(R268:R268)</f>
        <v/>
      </c>
    </row>
    <row r="271">
      <c r="B271" s="2" t="inlineStr">
        <is>
          <t>CAMERAOPERATORS</t>
        </is>
      </c>
    </row>
    <row r="272">
      <c r="A272" s="5" t="inlineStr">
        <is>
          <t>3302</t>
        </is>
      </c>
      <c r="B272" s="5" t="inlineStr">
        <is>
          <t>Craig Bauer</t>
        </is>
      </c>
      <c r="C272" s="5" t="inlineStr">
        <is>
          <t>"B"CAMERAOP</t>
        </is>
      </c>
      <c r="D272" s="5" t="inlineStr">
        <is>
          <t>Local600</t>
        </is>
      </c>
      <c r="E272" s="6" t="n">
        <v>45</v>
      </c>
      <c r="F272" s="5" t="n"/>
      <c r="G272" s="5" t="n"/>
      <c r="H272" s="5" t="n"/>
      <c r="I272" s="5" t="n"/>
      <c r="J272" s="7">
        <f>IF(AND(N(F272)&gt;0,N(I272)&gt;0),I272-F272-IF(N(G272)&gt;0,0.5,0)-IF(N(H272)&gt;0,0.5,0),0)</f>
        <v/>
      </c>
      <c r="K272" s="5" t="n"/>
      <c r="L272" s="7">
        <f>MIN(J272,8.0)</f>
        <v/>
      </c>
      <c r="M272" s="7">
        <f>MAX(0,MIN(J272,12)-8.0)</f>
        <v/>
      </c>
      <c r="N272" s="7">
        <f>MAX(0,J272-12)</f>
        <v/>
      </c>
      <c r="O272" s="5" t="n"/>
      <c r="P272" s="6">
        <f>E272*(L272+M272*1.5+N272*2+O272*3+N(K272))</f>
        <v/>
      </c>
      <c r="Q272" s="6" t="n">
        <v>630</v>
      </c>
      <c r="R272" s="6">
        <f>Q272-P272</f>
        <v/>
      </c>
    </row>
    <row r="273">
      <c r="P273" s="2" t="inlineStr">
        <is>
          <t>CAMERAOPERATORS LABOR</t>
        </is>
      </c>
      <c r="R273" s="8">
        <f>SUM(R272:R272)</f>
        <v/>
      </c>
    </row>
    <row r="275">
      <c r="B275" s="2" t="inlineStr">
        <is>
          <t>DIGITALIMAGINGTECHS</t>
        </is>
      </c>
    </row>
    <row r="276">
      <c r="A276" s="5" t="inlineStr">
        <is>
          <t>3304</t>
        </is>
      </c>
      <c r="B276" s="5" t="inlineStr">
        <is>
          <t>Oliver Mancebo</t>
        </is>
      </c>
      <c r="C276" s="5" t="inlineStr">
        <is>
          <t>DIT</t>
        </is>
      </c>
      <c r="D276" s="5" t="inlineStr">
        <is>
          <t>Local600</t>
        </is>
      </c>
      <c r="E276" s="6" t="n">
        <v>35</v>
      </c>
      <c r="F276" s="5" t="n"/>
      <c r="G276" s="5" t="n"/>
      <c r="H276" s="5" t="n"/>
      <c r="I276" s="5" t="n"/>
      <c r="J276" s="7">
        <f>IF(AND(N(F276)&gt;0,N(I276)&gt;0),I276-F276-IF(N(G276)&gt;0,0.5,0)-IF(N(H276)&gt;0,0.5,0),0)</f>
        <v/>
      </c>
      <c r="K276" s="5" t="n"/>
      <c r="L276" s="7">
        <f>MIN(J276,8.0)</f>
        <v/>
      </c>
      <c r="M276" s="7">
        <f>MAX(0,MIN(J276,12)-8.0)</f>
        <v/>
      </c>
      <c r="N276" s="7">
        <f>MAX(0,J276-12)</f>
        <v/>
      </c>
      <c r="O276" s="5" t="n"/>
      <c r="P276" s="6">
        <f>E276*(L276+M276*1.5+N276*2+O276*3+N(K276))</f>
        <v/>
      </c>
      <c r="Q276" s="6" t="n">
        <v>542.5</v>
      </c>
      <c r="R276" s="6">
        <f>Q276-P276</f>
        <v/>
      </c>
    </row>
    <row r="277">
      <c r="P277" s="2" t="inlineStr">
        <is>
          <t>DIGITALIMAGINGTECHS LABOR</t>
        </is>
      </c>
      <c r="R277" s="8">
        <f>SUM(R276:R276)</f>
        <v/>
      </c>
    </row>
    <row r="279">
      <c r="B279" s="2" t="inlineStr">
        <is>
          <t>1STASSTCAMERA</t>
        </is>
      </c>
    </row>
    <row r="280">
      <c r="A280" s="5" t="inlineStr">
        <is>
          <t>3305</t>
        </is>
      </c>
      <c r="B280" s="5" t="inlineStr">
        <is>
          <t>Steve Cueva</t>
        </is>
      </c>
      <c r="C280" s="5" t="inlineStr">
        <is>
          <t>"A"CAMERA 1STAC</t>
        </is>
      </c>
      <c r="D280" s="5" t="inlineStr">
        <is>
          <t>Local600</t>
        </is>
      </c>
      <c r="E280" s="6" t="n">
        <v>25.5</v>
      </c>
      <c r="F280" s="5" t="n"/>
      <c r="G280" s="5" t="n"/>
      <c r="H280" s="5" t="n"/>
      <c r="I280" s="5" t="n"/>
      <c r="J280" s="7">
        <f>IF(AND(N(F280)&gt;0,N(I280)&gt;0),I280-F280-IF(N(G280)&gt;0,0.5,0)-IF(N(H280)&gt;0,0.5,0),0)</f>
        <v/>
      </c>
      <c r="K280" s="5" t="n"/>
      <c r="L280" s="7">
        <f>MIN(J280,8.0)</f>
        <v/>
      </c>
      <c r="M280" s="7">
        <f>MAX(0,MIN(J280,12)-8.0)</f>
        <v/>
      </c>
      <c r="N280" s="7">
        <f>MAX(0,J280-12)</f>
        <v/>
      </c>
      <c r="O280" s="5" t="n"/>
      <c r="P280" s="6">
        <f>E280*(L280+M280*1.5+N280*2+O280*3+N(K280))</f>
        <v/>
      </c>
      <c r="Q280" s="6" t="n">
        <v>395.25</v>
      </c>
      <c r="R280" s="6">
        <f>Q280-P280</f>
        <v/>
      </c>
    </row>
    <row r="281">
      <c r="A281" s="5" t="inlineStr">
        <is>
          <t>3305</t>
        </is>
      </c>
      <c r="B281" s="5" t="inlineStr">
        <is>
          <t>Chris Garcia</t>
        </is>
      </c>
      <c r="C281" s="5" t="inlineStr">
        <is>
          <t>"B"CAMERA 1STAC</t>
        </is>
      </c>
      <c r="D281" s="5" t="inlineStr">
        <is>
          <t>Local600</t>
        </is>
      </c>
      <c r="E281" s="6" t="n">
        <v>25.5</v>
      </c>
      <c r="F281" s="5" t="n"/>
      <c r="G281" s="5" t="n"/>
      <c r="H281" s="5" t="n"/>
      <c r="I281" s="5" t="n"/>
      <c r="J281" s="7">
        <f>IF(AND(N(F281)&gt;0,N(I281)&gt;0),I281-F281-IF(N(G281)&gt;0,0.5,0)-IF(N(H281)&gt;0,0.5,0),0)</f>
        <v/>
      </c>
      <c r="K281" s="5" t="n"/>
      <c r="L281" s="7">
        <f>MIN(J281,8.0)</f>
        <v/>
      </c>
      <c r="M281" s="7">
        <f>MAX(0,MIN(J281,12)-8.0)</f>
        <v/>
      </c>
      <c r="N281" s="7">
        <f>MAX(0,J281-12)</f>
        <v/>
      </c>
      <c r="O281" s="5" t="n"/>
      <c r="P281" s="6">
        <f>E281*(L281+M281*1.5+N281*2+O281*3+N(K281))</f>
        <v/>
      </c>
      <c r="Q281" s="6" t="n">
        <v>395.25</v>
      </c>
      <c r="R281" s="6">
        <f>Q281-P281</f>
        <v/>
      </c>
    </row>
    <row r="282">
      <c r="P282" s="2" t="inlineStr">
        <is>
          <t>1STASSTCAMERA LABOR</t>
        </is>
      </c>
      <c r="R282" s="8">
        <f>SUM(R280:R281)</f>
        <v/>
      </c>
    </row>
    <row r="284">
      <c r="B284" s="2" t="inlineStr">
        <is>
          <t>2NDASSTCAMERA</t>
        </is>
      </c>
    </row>
    <row r="285">
      <c r="A285" s="5" t="inlineStr">
        <is>
          <t>3306</t>
        </is>
      </c>
      <c r="B285" s="5" t="inlineStr">
        <is>
          <t>Manny Serrano</t>
        </is>
      </c>
      <c r="C285" s="5" t="inlineStr">
        <is>
          <t>"A"CAMERA 2NDAC</t>
        </is>
      </c>
      <c r="D285" s="5" t="inlineStr">
        <is>
          <t>Local600</t>
        </is>
      </c>
      <c r="E285" s="6" t="n">
        <v>23.04</v>
      </c>
      <c r="F285" s="5" t="n"/>
      <c r="G285" s="5" t="n"/>
      <c r="H285" s="5" t="n"/>
      <c r="I285" s="5" t="n"/>
      <c r="J285" s="7">
        <f>IF(AND(N(F285)&gt;0,N(I285)&gt;0),I285-F285-IF(N(G285)&gt;0,0.5,0)-IF(N(H285)&gt;0,0.5,0),0)</f>
        <v/>
      </c>
      <c r="K285" s="5" t="n"/>
      <c r="L285" s="7">
        <f>MIN(J285,8.0)</f>
        <v/>
      </c>
      <c r="M285" s="7">
        <f>MAX(0,MIN(J285,12)-8.0)</f>
        <v/>
      </c>
      <c r="N285" s="7">
        <f>MAX(0,J285-12)</f>
        <v/>
      </c>
      <c r="O285" s="5" t="n"/>
      <c r="P285" s="6">
        <f>E285*(L285+M285*1.5+N285*2+O285*3+N(K285))</f>
        <v/>
      </c>
      <c r="Q285" s="6" t="n">
        <v>357.12</v>
      </c>
      <c r="R285" s="6">
        <f>Q285-P285</f>
        <v/>
      </c>
    </row>
    <row r="286">
      <c r="A286" s="5" t="inlineStr">
        <is>
          <t>3306</t>
        </is>
      </c>
      <c r="B286" s="5" t="inlineStr"/>
      <c r="C286" s="5" t="inlineStr">
        <is>
          <t>"B"CAMERA 2NDAC</t>
        </is>
      </c>
      <c r="D286" s="5" t="inlineStr">
        <is>
          <t>Local600</t>
        </is>
      </c>
      <c r="E286" s="6" t="n">
        <v>23.04</v>
      </c>
      <c r="F286" s="5" t="n"/>
      <c r="G286" s="5" t="n"/>
      <c r="H286" s="5" t="n"/>
      <c r="I286" s="5" t="n"/>
      <c r="J286" s="7">
        <f>IF(AND(N(F286)&gt;0,N(I286)&gt;0),I286-F286-IF(N(G286)&gt;0,0.5,0)-IF(N(H286)&gt;0,0.5,0),0)</f>
        <v/>
      </c>
      <c r="K286" s="5" t="n"/>
      <c r="L286" s="7">
        <f>MIN(J286,8.0)</f>
        <v/>
      </c>
      <c r="M286" s="7">
        <f>MAX(0,MIN(J286,12)-8.0)</f>
        <v/>
      </c>
      <c r="N286" s="7">
        <f>MAX(0,J286-12)</f>
        <v/>
      </c>
      <c r="O286" s="5" t="n"/>
      <c r="P286" s="6">
        <f>E286*(L286+M286*1.5+N286*2+O286*3+N(K286))</f>
        <v/>
      </c>
      <c r="Q286" s="6" t="n">
        <v>357.12</v>
      </c>
      <c r="R286" s="6">
        <f>Q286-P286</f>
        <v/>
      </c>
    </row>
    <row r="287">
      <c r="P287" s="2" t="inlineStr">
        <is>
          <t>2NDASSTCAMERA LABOR</t>
        </is>
      </c>
      <c r="R287" s="8">
        <f>SUM(R285:R286)</f>
        <v/>
      </c>
    </row>
    <row r="289">
      <c r="B289" s="2" t="inlineStr">
        <is>
          <t>STILLPHOTOGRAPHER</t>
        </is>
      </c>
    </row>
    <row r="290">
      <c r="A290" s="5" t="inlineStr">
        <is>
          <t>3308</t>
        </is>
      </c>
      <c r="B290" s="5" t="inlineStr">
        <is>
          <t>Scott Patrick Green</t>
        </is>
      </c>
      <c r="C290" s="5" t="inlineStr">
        <is>
          <t>STILLPHOTOGRAPHER</t>
        </is>
      </c>
      <c r="D290" s="5" t="inlineStr">
        <is>
          <t>Local600</t>
        </is>
      </c>
      <c r="E290" s="6" t="n">
        <v>26.5</v>
      </c>
      <c r="F290" s="5" t="n"/>
      <c r="G290" s="5" t="n"/>
      <c r="H290" s="5" t="n"/>
      <c r="I290" s="5" t="n"/>
      <c r="J290" s="7">
        <f>IF(AND(N(F290)&gt;0,N(I290)&gt;0),I290-F290-IF(N(G290)&gt;0,0.5,0)-IF(N(H290)&gt;0,0.5,0),0)</f>
        <v/>
      </c>
      <c r="K290" s="5" t="n"/>
      <c r="L290" s="7">
        <f>MIN(J290,8.0)</f>
        <v/>
      </c>
      <c r="M290" s="7">
        <f>MAX(0,MIN(J290,12)-8.0)</f>
        <v/>
      </c>
      <c r="N290" s="7">
        <f>MAX(0,J290-12)</f>
        <v/>
      </c>
      <c r="O290" s="5" t="n"/>
      <c r="P290" s="6">
        <f>E290*(L290+M290*1.5+N290*2+O290*3+N(K290))</f>
        <v/>
      </c>
      <c r="Q290" s="6" t="n">
        <v>291.5</v>
      </c>
      <c r="R290" s="6">
        <f>Q290-P290</f>
        <v/>
      </c>
    </row>
    <row r="291">
      <c r="P291" s="2" t="inlineStr">
        <is>
          <t>STILLPHOTOGRAPHER LABOR</t>
        </is>
      </c>
      <c r="R291" s="8">
        <f>SUM(R290:R290)</f>
        <v/>
      </c>
    </row>
    <row r="293">
      <c r="B293" s="2" t="inlineStr">
        <is>
          <t>AERIAL/UNDERWATERPHOTOGRAPHY</t>
        </is>
      </c>
    </row>
    <row r="294">
      <c r="A294" s="5" t="inlineStr">
        <is>
          <t>3385</t>
        </is>
      </c>
      <c r="B294" s="5" t="inlineStr"/>
      <c r="C294" s="5" t="inlineStr">
        <is>
          <t>UNDERWATEROPERATOR</t>
        </is>
      </c>
      <c r="D294" s="5" t="inlineStr">
        <is>
          <t>Local600</t>
        </is>
      </c>
      <c r="E294" s="6" t="n">
        <v>65</v>
      </c>
      <c r="F294" s="5" t="n"/>
      <c r="G294" s="5" t="n"/>
      <c r="H294" s="5" t="n"/>
      <c r="I294" s="5" t="n"/>
      <c r="J294" s="7">
        <f>IF(AND(N(F294)&gt;0,N(I294)&gt;0),I294-F294-IF(N(G294)&gt;0,0.5,0)-IF(N(H294)&gt;0,0.5,0),0)</f>
        <v/>
      </c>
      <c r="K294" s="5" t="n"/>
      <c r="L294" s="7">
        <f>MIN(J294,8.0)</f>
        <v/>
      </c>
      <c r="M294" s="7">
        <f>MAX(0,MIN(J294,12)-8.0)</f>
        <v/>
      </c>
      <c r="N294" s="7">
        <f>MAX(0,J294-12)</f>
        <v/>
      </c>
      <c r="O294" s="5" t="n"/>
      <c r="P294" s="6">
        <f>E294*(L294+M294*1.5+N294*2+O294*3+N(K294))</f>
        <v/>
      </c>
      <c r="Q294" s="6" t="n">
        <v>910</v>
      </c>
      <c r="R294" s="6">
        <f>Q294-P294</f>
        <v/>
      </c>
    </row>
    <row r="295">
      <c r="P295" s="2" t="inlineStr">
        <is>
          <t>AERIAL/UNDERWATERPHOTOGRAPHY LABOR</t>
        </is>
      </c>
      <c r="R295" s="8">
        <f>SUM(R294:R294)</f>
        <v/>
      </c>
    </row>
    <row r="297">
      <c r="B297" s="2" t="inlineStr">
        <is>
          <t>SOUNDMIXER</t>
        </is>
      </c>
    </row>
    <row r="298">
      <c r="A298" s="5" t="inlineStr">
        <is>
          <t>3401</t>
        </is>
      </c>
      <c r="B298" s="5" t="inlineStr">
        <is>
          <t>Julian Howarth</t>
        </is>
      </c>
      <c r="C298" s="5" t="inlineStr">
        <is>
          <t>SOUNDMIXER</t>
        </is>
      </c>
      <c r="D298" s="5" t="inlineStr">
        <is>
          <t>Local695</t>
        </is>
      </c>
      <c r="E298" s="6" t="n">
        <v>26.5</v>
      </c>
      <c r="F298" s="5" t="n"/>
      <c r="G298" s="5" t="n"/>
      <c r="H298" s="5" t="n"/>
      <c r="I298" s="5" t="n"/>
      <c r="J298" s="7">
        <f>IF(AND(N(F298)&gt;0,N(I298)&gt;0),I298-F298-IF(N(G298)&gt;0,0.5,0)-IF(N(H298)&gt;0,0.5,0),0)</f>
        <v/>
      </c>
      <c r="K298" s="5" t="n"/>
      <c r="L298" s="7">
        <f>MIN(J298,10.0)</f>
        <v/>
      </c>
      <c r="M298" s="7">
        <f>MAX(0,MIN(J298,12)-10.0)</f>
        <v/>
      </c>
      <c r="N298" s="7">
        <f>MAX(0,J298-12)</f>
        <v/>
      </c>
      <c r="O298" s="5" t="n"/>
      <c r="P298" s="6">
        <f>E298*(L298+M298*1.5+N298*2+O298*3+N(K298))</f>
        <v/>
      </c>
      <c r="Q298" s="6" t="n">
        <v>410.75</v>
      </c>
      <c r="R298" s="6">
        <f>Q298-P298</f>
        <v/>
      </c>
    </row>
    <row r="299">
      <c r="P299" s="2" t="inlineStr">
        <is>
          <t>SOUNDMIXER LABOR</t>
        </is>
      </c>
      <c r="R299" s="8">
        <f>SUM(R298:R298)</f>
        <v/>
      </c>
    </row>
    <row r="301">
      <c r="B301" s="2" t="inlineStr">
        <is>
          <t>BOOMOPERATOR</t>
        </is>
      </c>
    </row>
    <row r="302">
      <c r="A302" s="5" t="inlineStr">
        <is>
          <t>3402</t>
        </is>
      </c>
      <c r="B302" s="5" t="inlineStr">
        <is>
          <t>Tim Song Jones</t>
        </is>
      </c>
      <c r="C302" s="5" t="inlineStr">
        <is>
          <t>BOOMOPERATOR</t>
        </is>
      </c>
      <c r="D302" s="5" t="inlineStr">
        <is>
          <t>Local695</t>
        </is>
      </c>
      <c r="E302" s="6" t="n">
        <v>23.04</v>
      </c>
      <c r="F302" s="5" t="n"/>
      <c r="G302" s="5" t="n"/>
      <c r="H302" s="5" t="n"/>
      <c r="I302" s="5" t="n"/>
      <c r="J302" s="7">
        <f>IF(AND(N(F302)&gt;0,N(I302)&gt;0),I302-F302-IF(N(G302)&gt;0,0.5,0)-IF(N(H302)&gt;0,0.5,0),0)</f>
        <v/>
      </c>
      <c r="K302" s="5" t="n"/>
      <c r="L302" s="7">
        <f>MIN(J302,10.0)</f>
        <v/>
      </c>
      <c r="M302" s="7">
        <f>MAX(0,MIN(J302,12)-10.0)</f>
        <v/>
      </c>
      <c r="N302" s="7">
        <f>MAX(0,J302-12)</f>
        <v/>
      </c>
      <c r="O302" s="5" t="n"/>
      <c r="P302" s="6">
        <f>E302*(L302+M302*1.5+N302*2+O302*3+N(K302))</f>
        <v/>
      </c>
      <c r="Q302" s="6" t="n">
        <v>357.12</v>
      </c>
      <c r="R302" s="6">
        <f>Q302-P302</f>
        <v/>
      </c>
    </row>
    <row r="303">
      <c r="P303" s="2" t="inlineStr">
        <is>
          <t>BOOMOPERATOR LABOR</t>
        </is>
      </c>
      <c r="R303" s="8">
        <f>SUM(R302:R302)</f>
        <v/>
      </c>
    </row>
    <row r="305">
      <c r="B305" s="2" t="inlineStr">
        <is>
          <t>CABLEPERSON</t>
        </is>
      </c>
    </row>
    <row r="306">
      <c r="A306" s="5" t="inlineStr">
        <is>
          <t>3403</t>
        </is>
      </c>
      <c r="B306" s="5" t="inlineStr"/>
      <c r="C306" s="5" t="inlineStr">
        <is>
          <t>UTILITYSOUND</t>
        </is>
      </c>
      <c r="D306" s="5" t="inlineStr">
        <is>
          <t>Local695</t>
        </is>
      </c>
      <c r="E306" s="6" t="n">
        <v>20.57</v>
      </c>
      <c r="F306" s="5" t="n"/>
      <c r="G306" s="5" t="n"/>
      <c r="H306" s="5" t="n"/>
      <c r="I306" s="5" t="n"/>
      <c r="J306" s="7">
        <f>IF(AND(N(F306)&gt;0,N(I306)&gt;0),I306-F306-IF(N(G306)&gt;0,0.5,0)-IF(N(H306)&gt;0,0.5,0),0)</f>
        <v/>
      </c>
      <c r="K306" s="5" t="n"/>
      <c r="L306" s="7">
        <f>MIN(J306,10.0)</f>
        <v/>
      </c>
      <c r="M306" s="7">
        <f>MAX(0,MIN(J306,12)-10.0)</f>
        <v/>
      </c>
      <c r="N306" s="7">
        <f>MAX(0,J306-12)</f>
        <v/>
      </c>
      <c r="O306" s="5" t="n"/>
      <c r="P306" s="6">
        <f>E306*(L306+M306*1.5+N306*2+O306*3+N(K306))</f>
        <v/>
      </c>
      <c r="Q306" s="6" t="n">
        <v>318.83</v>
      </c>
      <c r="R306" s="6">
        <f>Q306-P306</f>
        <v/>
      </c>
    </row>
    <row r="307">
      <c r="P307" s="2" t="inlineStr">
        <is>
          <t>CABLEPERSON LABOR</t>
        </is>
      </c>
      <c r="R307" s="8">
        <f>SUM(R306:R306)</f>
        <v/>
      </c>
    </row>
    <row r="309">
      <c r="B309" s="2" t="inlineStr">
        <is>
          <t>VIDEOASSIST</t>
        </is>
      </c>
    </row>
    <row r="310">
      <c r="A310" s="5" t="inlineStr">
        <is>
          <t>3404</t>
        </is>
      </c>
      <c r="B310" s="5" t="inlineStr">
        <is>
          <t>Jeff Snyder</t>
        </is>
      </c>
      <c r="C310" s="5" t="inlineStr">
        <is>
          <t>VIDEOASSISTOPERATOR</t>
        </is>
      </c>
      <c r="D310" s="5" t="inlineStr">
        <is>
          <t>Local695</t>
        </is>
      </c>
      <c r="E310" s="6" t="n">
        <v>23.04</v>
      </c>
      <c r="F310" s="5" t="n"/>
      <c r="G310" s="5" t="n"/>
      <c r="H310" s="5" t="n"/>
      <c r="I310" s="5" t="n"/>
      <c r="J310" s="7">
        <f>IF(AND(N(F310)&gt;0,N(I310)&gt;0),I310-F310-IF(N(G310)&gt;0,0.5,0)-IF(N(H310)&gt;0,0.5,0),0)</f>
        <v/>
      </c>
      <c r="K310" s="5" t="n"/>
      <c r="L310" s="7">
        <f>MIN(J310,10.0)</f>
        <v/>
      </c>
      <c r="M310" s="7">
        <f>MAX(0,MIN(J310,12)-10.0)</f>
        <v/>
      </c>
      <c r="N310" s="7">
        <f>MAX(0,J310-12)</f>
        <v/>
      </c>
      <c r="O310" s="5" t="n"/>
      <c r="P310" s="6">
        <f>E310*(L310+M310*1.5+N310*2+O310*3+N(K310))</f>
        <v/>
      </c>
      <c r="Q310" s="6" t="n">
        <v>357.12</v>
      </c>
      <c r="R310" s="6">
        <f>Q310-P310</f>
        <v/>
      </c>
    </row>
    <row r="311">
      <c r="P311" s="2" t="inlineStr">
        <is>
          <t>VIDEOASSIST LABOR</t>
        </is>
      </c>
      <c r="R311" s="8">
        <f>SUM(R310:R310)</f>
        <v/>
      </c>
    </row>
    <row r="313">
      <c r="B313" s="2" t="inlineStr">
        <is>
          <t>CAPTAIN</t>
        </is>
      </c>
    </row>
    <row r="314">
      <c r="A314" s="5" t="inlineStr">
        <is>
          <t>3502</t>
        </is>
      </c>
      <c r="B314" s="5" t="inlineStr">
        <is>
          <t>Kevin Caira</t>
        </is>
      </c>
      <c r="C314" s="5" t="inlineStr">
        <is>
          <t>TRANSPOCAPTAIN(LA)</t>
        </is>
      </c>
      <c r="D314" s="5" t="inlineStr">
        <is>
          <t>Local399</t>
        </is>
      </c>
      <c r="E314" s="6" t="n">
        <v>37.21</v>
      </c>
      <c r="F314" s="5" t="n"/>
      <c r="G314" s="5" t="n"/>
      <c r="H314" s="5" t="n"/>
      <c r="I314" s="5" t="n"/>
      <c r="J314" s="7">
        <f>IF(AND(N(F314)&gt;0,N(I314)&gt;0),I314-F314-IF(N(G314)&gt;0,0.5,0)-IF(N(H314)&gt;0,0.5,0),0)</f>
        <v/>
      </c>
      <c r="K314" s="5" t="n"/>
      <c r="L314" s="7">
        <f>MIN(J314,8.0)</f>
        <v/>
      </c>
      <c r="M314" s="7">
        <f>MAX(0,MIN(J314,12)-8.0)</f>
        <v/>
      </c>
      <c r="N314" s="7">
        <f>MAX(0,J314-12)</f>
        <v/>
      </c>
      <c r="O314" s="5" t="n"/>
      <c r="P314" s="6">
        <f>E314*(L314+M314*1.5+N314*2+O314*3+N(K314))</f>
        <v/>
      </c>
      <c r="Q314" s="6" t="n">
        <v>651.17</v>
      </c>
      <c r="R314" s="6">
        <f>Q314-P314</f>
        <v/>
      </c>
    </row>
    <row r="315">
      <c r="A315" s="5" t="inlineStr">
        <is>
          <t>3502</t>
        </is>
      </c>
      <c r="B315" s="5" t="inlineStr">
        <is>
          <t>Tina Peterson</t>
        </is>
      </c>
      <c r="C315" s="5" t="inlineStr">
        <is>
          <t>CO-CAPTAIN</t>
        </is>
      </c>
      <c r="D315" s="5" t="inlineStr">
        <is>
          <t>Local399</t>
        </is>
      </c>
      <c r="E315" s="6" t="n">
        <v>37.21</v>
      </c>
      <c r="F315" s="5" t="n"/>
      <c r="G315" s="5" t="n"/>
      <c r="H315" s="5" t="n"/>
      <c r="I315" s="5" t="n"/>
      <c r="J315" s="7">
        <f>IF(AND(N(F315)&gt;0,N(I315)&gt;0),I315-F315-IF(N(G315)&gt;0,0.5,0)-IF(N(H315)&gt;0,0.5,0),0)</f>
        <v/>
      </c>
      <c r="K315" s="5" t="n"/>
      <c r="L315" s="7">
        <f>MIN(J315,8.0)</f>
        <v/>
      </c>
      <c r="M315" s="7">
        <f>MAX(0,MIN(J315,12)-8.0)</f>
        <v/>
      </c>
      <c r="N315" s="7">
        <f>MAX(0,J315-12)</f>
        <v/>
      </c>
      <c r="O315" s="5" t="n"/>
      <c r="P315" s="6">
        <f>E315*(L315+M315*1.5+N315*2+O315*3+N(K315))</f>
        <v/>
      </c>
      <c r="Q315" s="6" t="n">
        <v>576.75</v>
      </c>
      <c r="R315" s="6">
        <f>Q315-P315</f>
        <v/>
      </c>
    </row>
    <row r="316">
      <c r="P316" s="2" t="inlineStr">
        <is>
          <t>CAPTAIN LABOR</t>
        </is>
      </c>
      <c r="R316" s="8">
        <f>SUM(R314:R315)</f>
        <v/>
      </c>
    </row>
    <row r="318">
      <c r="B318" s="2" t="inlineStr">
        <is>
          <t>DRIVERS</t>
        </is>
      </c>
    </row>
    <row r="319">
      <c r="A319" s="5" t="inlineStr">
        <is>
          <t>3503</t>
        </is>
      </c>
      <c r="B319" s="5" t="inlineStr"/>
      <c r="C319" s="5" t="inlineStr">
        <is>
          <t>GRIPTRUCK 48'TRACTORTRAILERDRIVER</t>
        </is>
      </c>
      <c r="D319" s="5" t="inlineStr"/>
      <c r="E319" s="6" t="n">
        <v>32.36</v>
      </c>
      <c r="F319" s="5" t="n"/>
      <c r="G319" s="5" t="n"/>
      <c r="H319" s="5" t="n"/>
      <c r="I319" s="5" t="n"/>
      <c r="J319" s="7">
        <f>IF(AND(N(F319)&gt;0,N(I319)&gt;0),I319-F319-IF(N(G319)&gt;0,0.5,0)-IF(N(H319)&gt;0,0.5,0),0)</f>
        <v/>
      </c>
      <c r="K319" s="5" t="n"/>
      <c r="L319" s="7">
        <f>MIN(J319,8.0)</f>
        <v/>
      </c>
      <c r="M319" s="7">
        <f>MAX(0,MIN(J319,12)-8.0)</f>
        <v/>
      </c>
      <c r="N319" s="7">
        <f>MAX(0,J319-12)</f>
        <v/>
      </c>
      <c r="O319" s="5" t="n"/>
      <c r="P319" s="6">
        <f>E319*(L319+M319*1.5+N319*2+O319*3+N(K319))</f>
        <v/>
      </c>
      <c r="Q319" s="6" t="n">
        <v>501.58</v>
      </c>
      <c r="R319" s="6">
        <f>Q319-P319</f>
        <v/>
      </c>
    </row>
    <row r="320">
      <c r="A320" s="5" t="inlineStr">
        <is>
          <t>3503</t>
        </is>
      </c>
      <c r="B320" s="5" t="inlineStr">
        <is>
          <t>Donald Wilson</t>
        </is>
      </c>
      <c r="C320" s="5" t="inlineStr">
        <is>
          <t>PROP 5-TON(ENCLOSED)</t>
        </is>
      </c>
      <c r="D320" s="5" t="inlineStr"/>
      <c r="E320" s="6" t="n">
        <v>32.36</v>
      </c>
      <c r="F320" s="5" t="n"/>
      <c r="G320" s="5" t="n"/>
      <c r="H320" s="5" t="n"/>
      <c r="I320" s="5" t="n"/>
      <c r="J320" s="7">
        <f>IF(AND(N(F320)&gt;0,N(I320)&gt;0),I320-F320-IF(N(G320)&gt;0,0.5,0)-IF(N(H320)&gt;0,0.5,0),0)</f>
        <v/>
      </c>
      <c r="K320" s="5" t="n"/>
      <c r="L320" s="7">
        <f>MIN(J320,8.0)</f>
        <v/>
      </c>
      <c r="M320" s="7">
        <f>MAX(0,MIN(J320,12)-8.0)</f>
        <v/>
      </c>
      <c r="N320" s="7">
        <f>MAX(0,J320-12)</f>
        <v/>
      </c>
      <c r="O320" s="5" t="n"/>
      <c r="P320" s="6">
        <f>E320*(L320+M320*1.5+N320*2+O320*3+N(K320))</f>
        <v/>
      </c>
      <c r="Q320" s="6" t="n">
        <v>501.58</v>
      </c>
      <c r="R320" s="6">
        <f>Q320-P320</f>
        <v/>
      </c>
    </row>
    <row r="321">
      <c r="A321" s="5" t="inlineStr">
        <is>
          <t>3503</t>
        </is>
      </c>
      <c r="B321" s="5" t="inlineStr"/>
      <c r="C321" s="5" t="inlineStr">
        <is>
          <t>WARDROBESTAKEBEDDRIVER#1</t>
        </is>
      </c>
      <c r="D321" s="5" t="inlineStr"/>
      <c r="E321" s="6" t="n">
        <v>37.99</v>
      </c>
      <c r="F321" s="5" t="n"/>
      <c r="G321" s="5" t="n"/>
      <c r="H321" s="5" t="n"/>
      <c r="I321" s="5" t="n"/>
      <c r="J321" s="7">
        <f>IF(AND(N(F321)&gt;0,N(I321)&gt;0),I321-F321-IF(N(G321)&gt;0,0.5,0)-IF(N(H321)&gt;0,0.5,0),0)</f>
        <v/>
      </c>
      <c r="K321" s="5" t="n"/>
      <c r="L321" s="7">
        <f>MIN(J321,8.0)</f>
        <v/>
      </c>
      <c r="M321" s="7">
        <f>MAX(0,MIN(J321,12)-8.0)</f>
        <v/>
      </c>
      <c r="N321" s="7">
        <f>MAX(0,J321-12)</f>
        <v/>
      </c>
      <c r="O321" s="5" t="n"/>
      <c r="P321" s="6">
        <f>E321*(L321+M321*1.5+N321*2+O321*3+N(K321))</f>
        <v/>
      </c>
      <c r="Q321" s="6" t="n">
        <v>588.85</v>
      </c>
      <c r="R321" s="6">
        <f>Q321-P321</f>
        <v/>
      </c>
    </row>
    <row r="322">
      <c r="A322" s="5" t="inlineStr">
        <is>
          <t>3503</t>
        </is>
      </c>
      <c r="B322" s="5" t="inlineStr"/>
      <c r="C322" s="5" t="inlineStr">
        <is>
          <t>MAKEUPHAIRTRAILERDRIVER</t>
        </is>
      </c>
      <c r="D322" s="5" t="inlineStr"/>
      <c r="E322" s="6" t="n">
        <v>32.36</v>
      </c>
      <c r="F322" s="5" t="n"/>
      <c r="G322" s="5" t="n"/>
      <c r="H322" s="5" t="n"/>
      <c r="I322" s="5" t="n"/>
      <c r="J322" s="7">
        <f>IF(AND(N(F322)&gt;0,N(I322)&gt;0),I322-F322-IF(N(G322)&gt;0,0.5,0)-IF(N(H322)&gt;0,0.5,0),0)</f>
        <v/>
      </c>
      <c r="K322" s="5" t="n"/>
      <c r="L322" s="7">
        <f>MIN(J322,8.0)</f>
        <v/>
      </c>
      <c r="M322" s="7">
        <f>MAX(0,MIN(J322,12)-8.0)</f>
        <v/>
      </c>
      <c r="N322" s="7">
        <f>MAX(0,J322-12)</f>
        <v/>
      </c>
      <c r="O322" s="5" t="n"/>
      <c r="P322" s="6">
        <f>E322*(L322+M322*1.5+N322*2+O322*3+N(K322))</f>
        <v/>
      </c>
      <c r="Q322" s="6" t="n">
        <v>501.58</v>
      </c>
      <c r="R322" s="6">
        <f>Q322-P322</f>
        <v/>
      </c>
    </row>
    <row r="323">
      <c r="A323" s="5" t="inlineStr">
        <is>
          <t>3503</t>
        </is>
      </c>
      <c r="B323" s="5" t="inlineStr"/>
      <c r="C323" s="5" t="inlineStr">
        <is>
          <t>ELECTRIC 10TONDRIVER(GENIEOPERATOR)</t>
        </is>
      </c>
      <c r="D323" s="5" t="inlineStr"/>
      <c r="E323" s="6" t="n">
        <v>37.99</v>
      </c>
      <c r="F323" s="5" t="n"/>
      <c r="G323" s="5" t="n"/>
      <c r="H323" s="5" t="n"/>
      <c r="I323" s="5" t="n"/>
      <c r="J323" s="7">
        <f>IF(AND(N(F323)&gt;0,N(I323)&gt;0),I323-F323-IF(N(G323)&gt;0,0.5,0)-IF(N(H323)&gt;0,0.5,0),0)</f>
        <v/>
      </c>
      <c r="K323" s="5" t="n"/>
      <c r="L323" s="7">
        <f>MIN(J323,8.0)</f>
        <v/>
      </c>
      <c r="M323" s="7">
        <f>MAX(0,MIN(J323,12)-8.0)</f>
        <v/>
      </c>
      <c r="N323" s="7">
        <f>MAX(0,J323-12)</f>
        <v/>
      </c>
      <c r="O323" s="5" t="n"/>
      <c r="P323" s="6">
        <f>E323*(L323+M323*1.5+N323*2+O323*3+N(K323))</f>
        <v/>
      </c>
      <c r="Q323" s="6" t="n">
        <v>588.85</v>
      </c>
      <c r="R323" s="6">
        <f>Q323-P323</f>
        <v/>
      </c>
    </row>
    <row r="324">
      <c r="A324" s="5" t="inlineStr">
        <is>
          <t>3503</t>
        </is>
      </c>
      <c r="B324" s="5" t="inlineStr"/>
      <c r="C324" s="5" t="inlineStr">
        <is>
          <t>SOUNDCCSTAKEBEDFUELTRUCKDRIVER</t>
        </is>
      </c>
      <c r="D324" s="5" t="inlineStr"/>
      <c r="E324" s="6" t="n">
        <v>32.36</v>
      </c>
      <c r="F324" s="5" t="n"/>
      <c r="G324" s="5" t="n"/>
      <c r="H324" s="5" t="n"/>
      <c r="I324" s="5" t="n"/>
      <c r="J324" s="7">
        <f>IF(AND(N(F324)&gt;0,N(I324)&gt;0),I324-F324-IF(N(G324)&gt;0,0.5,0)-IF(N(H324)&gt;0,0.5,0),0)</f>
        <v/>
      </c>
      <c r="K324" s="5" t="n"/>
      <c r="L324" s="7">
        <f>MIN(J324,8.0)</f>
        <v/>
      </c>
      <c r="M324" s="7">
        <f>MAX(0,MIN(J324,12)-8.0)</f>
        <v/>
      </c>
      <c r="N324" s="7">
        <f>MAX(0,J324-12)</f>
        <v/>
      </c>
      <c r="O324" s="5" t="n"/>
      <c r="P324" s="6">
        <f>E324*(L324+M324*1.5+N324*2+O324*3+N(K324))</f>
        <v/>
      </c>
      <c r="Q324" s="6" t="n">
        <v>501.58</v>
      </c>
      <c r="R324" s="6">
        <f>Q324-P324</f>
        <v/>
      </c>
    </row>
    <row r="325">
      <c r="A325" s="5" t="inlineStr">
        <is>
          <t>3503</t>
        </is>
      </c>
      <c r="B325" s="5" t="inlineStr"/>
      <c r="C325" s="5" t="inlineStr">
        <is>
          <t>9-ROOMHONEYWAGONTRACTORDRIVER</t>
        </is>
      </c>
      <c r="D325" s="5" t="inlineStr"/>
      <c r="E325" s="6" t="n">
        <v>32.36</v>
      </c>
      <c r="F325" s="5" t="n"/>
      <c r="G325" s="5" t="n"/>
      <c r="H325" s="5" t="n"/>
      <c r="I325" s="5" t="n"/>
      <c r="J325" s="7">
        <f>IF(AND(N(F325)&gt;0,N(I325)&gt;0),I325-F325-IF(N(G325)&gt;0,0.5,0)-IF(N(H325)&gt;0,0.5,0),0)</f>
        <v/>
      </c>
      <c r="K325" s="5" t="n"/>
      <c r="L325" s="7">
        <f>MIN(J325,8.0)</f>
        <v/>
      </c>
      <c r="M325" s="7">
        <f>MAX(0,MIN(J325,12)-8.0)</f>
        <v/>
      </c>
      <c r="N325" s="7">
        <f>MAX(0,J325-12)</f>
        <v/>
      </c>
      <c r="O325" s="5" t="n"/>
      <c r="P325" s="6">
        <f>E325*(L325+M325*1.5+N325*2+O325*3+N(K325))</f>
        <v/>
      </c>
      <c r="Q325" s="6" t="n">
        <v>501.58</v>
      </c>
      <c r="R325" s="6">
        <f>Q325-P325</f>
        <v/>
      </c>
    </row>
    <row r="326">
      <c r="A326" s="5" t="inlineStr">
        <is>
          <t>3503</t>
        </is>
      </c>
      <c r="B326" s="5" t="inlineStr"/>
      <c r="C326" s="5" t="inlineStr">
        <is>
          <t>FORDTRANSITVANDRIVER#1</t>
        </is>
      </c>
      <c r="D326" s="5" t="inlineStr"/>
      <c r="E326" s="6" t="n">
        <v>32.36</v>
      </c>
      <c r="F326" s="5" t="n"/>
      <c r="G326" s="5" t="n"/>
      <c r="H326" s="5" t="n"/>
      <c r="I326" s="5" t="n"/>
      <c r="J326" s="7">
        <f>IF(AND(N(F326)&gt;0,N(I326)&gt;0),I326-F326-IF(N(G326)&gt;0,0.5,0)-IF(N(H326)&gt;0,0.5,0),0)</f>
        <v/>
      </c>
      <c r="K326" s="5" t="n"/>
      <c r="L326" s="7">
        <f>MIN(J326,8.0)</f>
        <v/>
      </c>
      <c r="M326" s="7">
        <f>MAX(0,MIN(J326,12)-8.0)</f>
        <v/>
      </c>
      <c r="N326" s="7">
        <f>MAX(0,J326-12)</f>
        <v/>
      </c>
      <c r="O326" s="5" t="n"/>
      <c r="P326" s="6">
        <f>E326*(L326+M326*1.5+N326*2+O326*3+N(K326))</f>
        <v/>
      </c>
      <c r="Q326" s="6" t="n">
        <v>501.58</v>
      </c>
      <c r="R326" s="6">
        <f>Q326-P326</f>
        <v/>
      </c>
    </row>
    <row r="327">
      <c r="A327" s="5" t="inlineStr">
        <is>
          <t>3503</t>
        </is>
      </c>
      <c r="B327" s="5" t="inlineStr">
        <is>
          <t>Kaiser Clark</t>
        </is>
      </c>
      <c r="C327" s="5" t="inlineStr">
        <is>
          <t>CSETDECTRUCKDRIVER#1</t>
        </is>
      </c>
      <c r="D327" s="5" t="inlineStr"/>
      <c r="E327" s="6" t="n">
        <v>32.36</v>
      </c>
      <c r="F327" s="5" t="n"/>
      <c r="G327" s="5" t="n"/>
      <c r="H327" s="5" t="n"/>
      <c r="I327" s="5" t="n"/>
      <c r="J327" s="7">
        <f>IF(AND(N(F327)&gt;0,N(I327)&gt;0),I327-F327-IF(N(G327)&gt;0,0.5,0)-IF(N(H327)&gt;0,0.5,0),0)</f>
        <v/>
      </c>
      <c r="K327" s="5" t="n"/>
      <c r="L327" s="7">
        <f>MIN(J327,8.0)</f>
        <v/>
      </c>
      <c r="M327" s="7">
        <f>MAX(0,MIN(J327,12)-8.0)</f>
        <v/>
      </c>
      <c r="N327" s="7">
        <f>MAX(0,J327-12)</f>
        <v/>
      </c>
      <c r="O327" s="5" t="n"/>
      <c r="P327" s="6">
        <f>E327*(L327+M327*1.5+N327*2+O327*3+N(K327))</f>
        <v/>
      </c>
      <c r="Q327" s="6" t="n">
        <v>501.58</v>
      </c>
      <c r="R327" s="6">
        <f>Q327-P327</f>
        <v/>
      </c>
    </row>
    <row r="328">
      <c r="A328" s="5" t="inlineStr">
        <is>
          <t>3503</t>
        </is>
      </c>
      <c r="B328" s="5" t="inlineStr"/>
      <c r="C328" s="5" t="inlineStr">
        <is>
          <t>C 5-TONENCLOSEDRIGGINGGRIPDRIVER</t>
        </is>
      </c>
      <c r="D328" s="5" t="inlineStr"/>
      <c r="E328" s="6" t="n">
        <v>32.36</v>
      </c>
      <c r="F328" s="5" t="n"/>
      <c r="G328" s="5" t="n"/>
      <c r="H328" s="5" t="n"/>
      <c r="I328" s="5" t="n"/>
      <c r="J328" s="7">
        <f>IF(AND(N(F328)&gt;0,N(I328)&gt;0),I328-F328-IF(N(G328)&gt;0,0.5,0)-IF(N(H328)&gt;0,0.5,0),0)</f>
        <v/>
      </c>
      <c r="K328" s="5" t="n"/>
      <c r="L328" s="7">
        <f>MIN(J328,8.0)</f>
        <v/>
      </c>
      <c r="M328" s="7">
        <f>MAX(0,MIN(J328,12)-8.0)</f>
        <v/>
      </c>
      <c r="N328" s="7">
        <f>MAX(0,J328-12)</f>
        <v/>
      </c>
      <c r="O328" s="5" t="n"/>
      <c r="P328" s="6">
        <f>E328*(L328+M328*1.5+N328*2+O328*3+N(K328))</f>
        <v/>
      </c>
      <c r="Q328" s="5" t="n"/>
      <c r="R328" s="6">
        <f>Q328-P328</f>
        <v/>
      </c>
    </row>
    <row r="329">
      <c r="A329" s="5" t="inlineStr">
        <is>
          <t>3503</t>
        </is>
      </c>
      <c r="B329" s="5" t="inlineStr"/>
      <c r="C329" s="5" t="inlineStr">
        <is>
          <t>SCOUTBUS</t>
        </is>
      </c>
      <c r="D329" s="5" t="inlineStr"/>
      <c r="E329" s="6" t="n">
        <v>32.36</v>
      </c>
      <c r="F329" s="5" t="n"/>
      <c r="G329" s="5" t="n"/>
      <c r="H329" s="5" t="n"/>
      <c r="I329" s="5" t="n"/>
      <c r="J329" s="7">
        <f>IF(AND(N(F329)&gt;0,N(I329)&gt;0),I329-F329-IF(N(G329)&gt;0,0.5,0)-IF(N(H329)&gt;0,0.5,0),0)</f>
        <v/>
      </c>
      <c r="K329" s="5" t="n"/>
      <c r="L329" s="7">
        <f>MIN(J329,8.0)</f>
        <v/>
      </c>
      <c r="M329" s="7">
        <f>MAX(0,MIN(J329,12)-8.0)</f>
        <v/>
      </c>
      <c r="N329" s="7">
        <f>MAX(0,J329-12)</f>
        <v/>
      </c>
      <c r="O329" s="5" t="n"/>
      <c r="P329" s="6">
        <f>E329*(L329+M329*1.5+N329*2+O329*3+N(K329))</f>
        <v/>
      </c>
      <c r="Q329" s="5" t="n"/>
      <c r="R329" s="6">
        <f>Q329-P329</f>
        <v/>
      </c>
    </row>
    <row r="330">
      <c r="A330" s="5" t="inlineStr">
        <is>
          <t>3503</t>
        </is>
      </c>
      <c r="B330" s="5" t="inlineStr"/>
      <c r="C330" s="5" t="inlineStr">
        <is>
          <t>DRIVERMANDAYS</t>
        </is>
      </c>
      <c r="D330" s="5" t="inlineStr"/>
      <c r="E330" s="6" t="n">
        <v>32.36</v>
      </c>
      <c r="F330" s="5" t="n"/>
      <c r="G330" s="5" t="n"/>
      <c r="H330" s="5" t="n"/>
      <c r="I330" s="5" t="n"/>
      <c r="J330" s="7">
        <f>IF(AND(N(F330)&gt;0,N(I330)&gt;0),I330-F330-IF(N(G330)&gt;0,0.5,0)-IF(N(H330)&gt;0,0.5,0),0)</f>
        <v/>
      </c>
      <c r="K330" s="5" t="n"/>
      <c r="L330" s="7">
        <f>MIN(J330,8.0)</f>
        <v/>
      </c>
      <c r="M330" s="7">
        <f>MAX(0,MIN(J330,12)-8.0)</f>
        <v/>
      </c>
      <c r="N330" s="7">
        <f>MAX(0,J330-12)</f>
        <v/>
      </c>
      <c r="O330" s="5" t="n"/>
      <c r="P330" s="6">
        <f>E330*(L330+M330*1.5+N330*2+O330*3+N(K330))</f>
        <v/>
      </c>
      <c r="Q330" s="5" t="n"/>
      <c r="R330" s="6">
        <f>Q330-P330</f>
        <v/>
      </c>
    </row>
    <row r="331">
      <c r="P331" s="2" t="inlineStr">
        <is>
          <t>DRIVERS LABOR</t>
        </is>
      </c>
      <c r="R331" s="8">
        <f>SUM(R319:R330)</f>
        <v/>
      </c>
    </row>
    <row r="333">
      <c r="B333" s="2" t="inlineStr">
        <is>
          <t>LOCATIONSITEFEES</t>
        </is>
      </c>
    </row>
    <row r="334">
      <c r="A334" s="5" t="inlineStr">
        <is>
          <t>3607</t>
        </is>
      </c>
      <c r="B334" s="5" t="inlineStr"/>
      <c r="C334" s="5" t="inlineStr">
        <is>
          <t>Location#1(Hospital ER, LACountry Childrens Shelter, Shelter Dorm, Dept...</t>
        </is>
      </c>
      <c r="D334" s="5" t="inlineStr">
        <is>
          <t>Local400</t>
        </is>
      </c>
      <c r="E334" s="6" t="n">
        <v>50000</v>
      </c>
      <c r="F334" s="5" t="n"/>
      <c r="G334" s="5" t="n"/>
      <c r="H334" s="5" t="n"/>
      <c r="I334" s="5" t="n"/>
      <c r="J334" s="7">
        <f>IF(AND(N(F334)&gt;0,N(I334)&gt;0),I334-F334-IF(N(G334)&gt;0,0.5,0)-IF(N(H334)&gt;0,0.5,0),0)</f>
        <v/>
      </c>
      <c r="K334" s="5" t="n"/>
      <c r="L334" s="7">
        <f>MIN(J334,8.0)</f>
        <v/>
      </c>
      <c r="M334" s="7">
        <f>MAX(0,MIN(J334,12)-8.0)</f>
        <v/>
      </c>
      <c r="N334" s="7">
        <f>MAX(0,J334-12)</f>
        <v/>
      </c>
      <c r="O334" s="5" t="n"/>
      <c r="P334" s="6">
        <f>E334*(L334+M334*1.5+N334*2+O334*3+N(K334))</f>
        <v/>
      </c>
      <c r="Q334" s="6" t="n">
        <v>50000</v>
      </c>
      <c r="R334" s="6">
        <f>Q334-P334</f>
        <v/>
      </c>
    </row>
    <row r="335">
      <c r="P335" s="2" t="inlineStr">
        <is>
          <t>LOCATIONSITEFEES LABOR</t>
        </is>
      </c>
      <c r="R335" s="8">
        <f>SUM(R334:R334)</f>
        <v/>
      </c>
    </row>
    <row r="337">
      <c r="B337" s="2" t="inlineStr">
        <is>
          <t>CATERINGLABOR</t>
        </is>
      </c>
    </row>
    <row r="338">
      <c r="A338" s="5" t="inlineStr">
        <is>
          <t>3621</t>
        </is>
      </c>
      <c r="B338" s="5" t="inlineStr"/>
      <c r="C338" s="5" t="inlineStr">
        <is>
          <t>COOKDRIVER#1</t>
        </is>
      </c>
      <c r="D338" s="5" t="inlineStr">
        <is>
          <t>Local399</t>
        </is>
      </c>
      <c r="E338" s="6" t="n">
        <v>32.36</v>
      </c>
      <c r="F338" s="5" t="n"/>
      <c r="G338" s="5" t="n"/>
      <c r="H338" s="5" t="n"/>
      <c r="I338" s="5" t="n"/>
      <c r="J338" s="7">
        <f>IF(AND(N(F338)&gt;0,N(I338)&gt;0),I338-F338-IF(N(G338)&gt;0,0.5,0)-IF(N(H338)&gt;0,0.5,0),0)</f>
        <v/>
      </c>
      <c r="K338" s="5" t="n"/>
      <c r="L338" s="7">
        <f>MIN(J338,8.0)</f>
        <v/>
      </c>
      <c r="M338" s="7">
        <f>MAX(0,MIN(J338,12)-8.0)</f>
        <v/>
      </c>
      <c r="N338" s="7">
        <f>MAX(0,J338-12)</f>
        <v/>
      </c>
      <c r="O338" s="5" t="n"/>
      <c r="P338" s="6">
        <f>E338*(L338+M338*1.5+N338*2+O338*3+N(K338))</f>
        <v/>
      </c>
      <c r="Q338" s="6" t="n">
        <v>647.2</v>
      </c>
      <c r="R338" s="6">
        <f>Q338-P338</f>
        <v/>
      </c>
    </row>
    <row r="339">
      <c r="A339" s="5" t="inlineStr">
        <is>
          <t>3621</t>
        </is>
      </c>
      <c r="B339" s="5" t="inlineStr"/>
      <c r="C339" s="5" t="inlineStr">
        <is>
          <t>1STASSTCATERER#1</t>
        </is>
      </c>
      <c r="D339" s="5" t="inlineStr"/>
      <c r="E339" s="6" t="n">
        <v>17</v>
      </c>
      <c r="F339" s="5" t="n"/>
      <c r="G339" s="5" t="n"/>
      <c r="H339" s="5" t="n"/>
      <c r="I339" s="5" t="n"/>
      <c r="J339" s="7">
        <f>IF(AND(N(F339)&gt;0,N(I339)&gt;0),I339-F339-IF(N(G339)&gt;0,0.5,0)-IF(N(H339)&gt;0,0.5,0),0)</f>
        <v/>
      </c>
      <c r="K339" s="5" t="n"/>
      <c r="L339" s="7">
        <f>MIN(J339,8.0)</f>
        <v/>
      </c>
      <c r="M339" s="7">
        <f>MAX(0,MIN(J339,12)-8.0)</f>
        <v/>
      </c>
      <c r="N339" s="7">
        <f>MAX(0,J339-12)</f>
        <v/>
      </c>
      <c r="O339" s="5" t="n"/>
      <c r="P339" s="6">
        <f>E339*(L339+M339*1.5+N339*2+O339*3+N(K339))</f>
        <v/>
      </c>
      <c r="Q339" s="6" t="n">
        <v>340</v>
      </c>
      <c r="R339" s="6">
        <f>Q339-P339</f>
        <v/>
      </c>
    </row>
    <row r="340">
      <c r="A340" s="5" t="inlineStr">
        <is>
          <t>3621</t>
        </is>
      </c>
      <c r="B340" s="5" t="inlineStr"/>
      <c r="C340" s="5" t="inlineStr">
        <is>
          <t>1STASSTCATERER#2</t>
        </is>
      </c>
      <c r="D340" s="5" t="inlineStr"/>
      <c r="E340" s="6" t="n">
        <v>16</v>
      </c>
      <c r="F340" s="5" t="n"/>
      <c r="G340" s="5" t="n"/>
      <c r="H340" s="5" t="n"/>
      <c r="I340" s="5" t="n"/>
      <c r="J340" s="7">
        <f>IF(AND(N(F340)&gt;0,N(I340)&gt;0),I340-F340-IF(N(G340)&gt;0,0.5,0)-IF(N(H340)&gt;0,0.5,0),0)</f>
        <v/>
      </c>
      <c r="K340" s="5" t="n"/>
      <c r="L340" s="7">
        <f>MIN(J340,8.0)</f>
        <v/>
      </c>
      <c r="M340" s="7">
        <f>MAX(0,MIN(J340,12)-8.0)</f>
        <v/>
      </c>
      <c r="N340" s="7">
        <f>MAX(0,J340-12)</f>
        <v/>
      </c>
      <c r="O340" s="5" t="n"/>
      <c r="P340" s="6">
        <f>E340*(L340+M340*1.5+N340*2+O340*3+N(K340))</f>
        <v/>
      </c>
      <c r="Q340" s="6" t="n">
        <v>320</v>
      </c>
      <c r="R340" s="6">
        <f>Q340-P340</f>
        <v/>
      </c>
    </row>
    <row r="341">
      <c r="P341" s="2" t="inlineStr">
        <is>
          <t>CATERINGLABOR LABOR</t>
        </is>
      </c>
      <c r="R341" s="8">
        <f>SUM(R338:R340)</f>
        <v/>
      </c>
    </row>
    <row r="343">
      <c r="K343" s="9" t="inlineStr">
        <is>
          <t>TOTAL</t>
        </is>
      </c>
      <c r="P343" s="9" t="inlineStr">
        <is>
          <t>ACTUAL</t>
        </is>
      </c>
      <c r="Q343" s="9" t="inlineStr">
        <is>
          <t>BUDGET</t>
        </is>
      </c>
      <c r="R343" s="9" t="inlineStr">
        <is>
          <t>TOTAL VAR</t>
        </is>
      </c>
    </row>
    <row r="344">
      <c r="P344" s="9" t="inlineStr">
        <is>
          <t>DAY COST</t>
        </is>
      </c>
      <c r="Q344" s="9" t="inlineStr">
        <is>
          <t>DY COST</t>
        </is>
      </c>
      <c r="R344" s="9" t="inlineStr">
        <is>
          <t>(OVER) / UNDER</t>
        </is>
      </c>
    </row>
    <row r="345">
      <c r="P345" s="10">
        <f>SUM(P6:P6)+SUM(P10:P11)+SUM(P15:P17)+SUM(P21:P22)+SUM(P26:P32)+SUM(P36:P36)+SUM(P40:P41)+SUM(P45:P45)+SUM(P49:P49)+SUM(P53:P54)+SUM(P58:P58)+SUM(P62:P62)+SUM(P66:P67)+SUM(P71:P71)+SUM(P75:P75)+SUM(P79:P80)+SUM(P84:P84)+SUM(P88:P88)+SUM(P92:P93)+SUM(P97:P100)+SUM(P104:P104)+SUM(P108:P109)+SUM(P113:P113)+SUM(P117:P117)+SUM(P121:P121)+SUM(P125:P125)+SUM(P129:P130)+SUM(P134:P134)+SUM(P138:P139)+SUM(P143:P145)+SUM(P149:P149)+SUM(P153:P153)+SUM(P157:P158)+SUM(P162:P163)+SUM(P167:P167)+SUM(P171:P173)+SUM(P177:P177)+SUM(P181:P181)+SUM(P185:P187)+SUM(P191:P191)+SUM(P195:P195)+SUM(P199:P199)+SUM(P203:P203)+SUM(P207:P207)+SUM(P211:P211)+SUM(P215:P216)+SUM(P220:P220)+SUM(P224:P224)+SUM(P228:P228)+SUM(P232:P233)+SUM(P237:P237)+SUM(P241:P241)+SUM(P245:P245)+SUM(P249:P249)+SUM(P253:P254)+SUM(P258:P260)+SUM(P264:P264)+SUM(P268:P268)+SUM(P272:P272)+SUM(P276:P276)+SUM(P280:P281)+SUM(P285:P286)+SUM(P290:P290)+SUM(P294:P294)+SUM(P298:P298)+SUM(P302:P302)+SUM(P306:P306)+SUM(P310:P310)+SUM(P314:P315)+SUM(P319:P330)+SUM(P334:P334)+SUM(P338:P340)</f>
        <v/>
      </c>
      <c r="Q345" s="10">
        <f>SUM(Q6:Q6)+SUM(Q10:Q11)+SUM(Q15:Q17)+SUM(Q21:Q22)+SUM(Q26:Q32)+SUM(Q36:Q36)+SUM(Q40:Q41)+SUM(Q45:Q45)+SUM(Q49:Q49)+SUM(Q53:Q54)+SUM(Q58:Q58)+SUM(Q62:Q62)+SUM(Q66:Q67)+SUM(Q71:Q71)+SUM(Q75:Q75)+SUM(Q79:Q80)+SUM(Q84:Q84)+SUM(Q88:Q88)+SUM(Q92:Q93)+SUM(Q97:Q100)+SUM(Q104:Q104)+SUM(Q108:Q109)+SUM(Q113:Q113)+SUM(Q117:Q117)+SUM(Q121:Q121)+SUM(Q125:Q125)+SUM(Q129:Q130)+SUM(Q134:Q134)+SUM(Q138:Q139)+SUM(Q143:Q145)+SUM(Q149:Q149)+SUM(Q153:Q153)+SUM(Q157:Q158)+SUM(Q162:Q163)+SUM(Q167:Q167)+SUM(Q171:Q173)+SUM(Q177:Q177)+SUM(Q181:Q181)+SUM(Q185:Q187)+SUM(Q191:Q191)+SUM(Q195:Q195)+SUM(Q199:Q199)+SUM(Q203:Q203)+SUM(Q207:Q207)+SUM(Q211:Q211)+SUM(Q215:Q216)+SUM(Q220:Q220)+SUM(Q224:Q224)+SUM(Q228:Q228)+SUM(Q232:Q233)+SUM(Q237:Q237)+SUM(Q241:Q241)+SUM(Q245:Q245)+SUM(Q249:Q249)+SUM(Q253:Q254)+SUM(Q258:Q260)+SUM(Q264:Q264)+SUM(Q268:Q268)+SUM(Q272:Q272)+SUM(Q276:Q276)+SUM(Q280:Q281)+SUM(Q285:Q286)+SUM(Q290:Q290)+SUM(Q294:Q294)+SUM(Q298:Q298)+SUM(Q302:Q302)+SUM(Q306:Q306)+SUM(Q310:Q310)+SUM(Q314:Q315)+SUM(Q319:Q330)+SUM(Q334:Q334)+SUM(Q338:Q340)</f>
        <v/>
      </c>
      <c r="R345" s="10">
        <f>SUM(R6:R6)+SUM(R10:R11)+SUM(R15:R17)+SUM(R21:R22)+SUM(R26:R32)+SUM(R36:R36)+SUM(R40:R41)+SUM(R45:R45)+SUM(R49:R49)+SUM(R53:R54)+SUM(R58:R58)+SUM(R62:R62)+SUM(R66:R67)+SUM(R71:R71)+SUM(R75:R75)+SUM(R79:R80)+SUM(R84:R84)+SUM(R88:R88)+SUM(R92:R93)+SUM(R97:R100)+SUM(R104:R104)+SUM(R108:R109)+SUM(R113:R113)+SUM(R117:R117)+SUM(R121:R121)+SUM(R125:R125)+SUM(R129:R130)+SUM(R134:R134)+SUM(R138:R139)+SUM(R143:R145)+SUM(R149:R149)+SUM(R153:R153)+SUM(R157:R158)+SUM(R162:R163)+SUM(R167:R167)+SUM(R171:R173)+SUM(R177:R177)+SUM(R181:R181)+SUM(R185:R187)+SUM(R191:R191)+SUM(R195:R195)+SUM(R199:R199)+SUM(R203:R203)+SUM(R207:R207)+SUM(R211:R211)+SUM(R215:R216)+SUM(R220:R220)+SUM(R224:R224)+SUM(R228:R228)+SUM(R232:R233)+SUM(R237:R237)+SUM(R241:R241)+SUM(R245:R245)+SUM(R249:R249)+SUM(R253:R254)+SUM(R258:R260)+SUM(R264:R264)+SUM(R268:R268)+SUM(R272:R272)+SUM(R276:R276)+SUM(R280:R281)+SUM(R285:R286)+SUM(R290:R290)+SUM(R294:R294)+SUM(R298:R298)+SUM(R302:R302)+SUM(R306:R306)+SUM(R310:R310)+SUM(R314:R315)+SUM(R319:R330)+SUM(R334:R334)+SUM(R338:R340)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2026-08-12T22:08:27Z</dcterms:created>
  <dcterms:modified xsi:type="dcterms:W3CDTF">2026-08-12T22:08:28Z</dcterms:modified>
</cp:coreProperties>
</file>